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di\Downloads\"/>
    </mc:Choice>
  </mc:AlternateContent>
  <xr:revisionPtr revIDLastSave="0" documentId="13_ncr:1_{3167C3E4-C1B0-4C11-80FE-F41FDF6D59C7}" xr6:coauthVersionLast="47" xr6:coauthVersionMax="47" xr10:uidLastSave="{00000000-0000-0000-0000-000000000000}"/>
  <bookViews>
    <workbookView xWindow="-120" yWindow="-120" windowWidth="20730" windowHeight="11160" xr2:uid="{EAD1A29D-24BA-4D59-ABAF-38F9641F8675}"/>
  </bookViews>
  <sheets>
    <sheet name="11-2025" sheetId="1" r:id="rId1"/>
    <sheet name="خزينه السلف " sheetId="2" r:id="rId2"/>
    <sheet name="خزينه السلف  (2)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xlnm._FilterDatabase" localSheetId="0" hidden="1">'11-2025'!$A$2:$BY$404</definedName>
    <definedName name="_Key1" hidden="1">[1]ACCRCAI!#REF!</definedName>
    <definedName name="_Order1" hidden="1">0</definedName>
    <definedName name="AAA">'[2]28-02-97'!#REF!</definedName>
    <definedName name="ACCRUAL">'[3]Acc&amp;Prep'!$A$1:$J$700</definedName>
    <definedName name="ACCRUALS">'[3]Acc&amp;Prep'!$D$701</definedName>
    <definedName name="AS2DocOpenMode" hidden="1">"AS2DocumentEdit"</definedName>
    <definedName name="Beg_Bal">#REF!</definedName>
    <definedName name="CCY">#REF!</definedName>
    <definedName name="copy.P_LtoAC">#REF!</definedName>
    <definedName name="copyCons_toAA">#REF!</definedName>
    <definedName name="_xlnm.Criteria">#REF!</definedName>
    <definedName name="Cum_Int">#REF!</definedName>
    <definedName name="Data">#REF!</definedName>
    <definedName name="data84">'[4]Purchase Order'!$E$52</definedName>
    <definedName name="Def.Income">#REF!</definedName>
    <definedName name="Direct">[3]TB!$42:$124</definedName>
    <definedName name="dtrj" localSheetId="1">DATE(YEAR([5]Payments!Loan_Start),MONTH([5]Payments!Loan_Start)+Payment_Number,DAY([5]Payments!Loan_Start))</definedName>
    <definedName name="dtrj" localSheetId="2">DATE(YEAR([5]Payments!Loan_Start),MONTH([5]Payments!Loan_Start)+Payment_Number,DAY([5]Payments!Loan_Start))</definedName>
    <definedName name="dtrj">DATE(YEAR([6]Payments!Loan_Start),MONTH([6]Payments!Loan_Start)+Payment_Number,DAY([6]Payments!Loan_Start))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 localSheetId="1">IF('خزينه السلف '!Values_Entered,Header_Row+'خزينه السلف '!Number_of_Payments,Header_Row)</definedName>
    <definedName name="Last_Row" localSheetId="2">IF('خزينه السلف  (2)'!Values_Entered,Header_Row+'خزينه السلف  (2)'!Number_of_Payments,Header_Row)</definedName>
    <definedName name="Last_Row">IF([7]!Values_Entered,Header_Row+[7]!Number_of_Payments,Header_Row)</definedName>
    <definedName name="Loan_Amount">#REF!</definedName>
    <definedName name="Loan_Start">#REF!</definedName>
    <definedName name="Loan_Years">#REF!</definedName>
    <definedName name="MonthEnding">#REF!</definedName>
    <definedName name="nnn" localSheetId="1">Scheduled_Payment+Extra_Payment</definedName>
    <definedName name="nnn" localSheetId="2">Scheduled_Payment+Extra_Payment</definedName>
    <definedName name="nnn">Scheduled_Payment+Extra_Payment</definedName>
    <definedName name="Num_Pmt_Per_Year">#REF!</definedName>
    <definedName name="Number_of_Payments" localSheetId="1">MATCH(0.01,End_Bal,-1)+1</definedName>
    <definedName name="Number_of_Payments" localSheetId="2">MATCH(0.01,End_Bal,-1)+1</definedName>
    <definedName name="Number_of_Payments">MATCH(0.01,End_Bal,-1)+1</definedName>
    <definedName name="Pay_Date">#REF!</definedName>
    <definedName name="Pay_Num">#REF!</definedName>
    <definedName name="Payment_Date" localSheetId="1">DATE(YEAR(Loan_Start),MONTH(Loan_Start)+Payment_Number,DAY(Loan_Start))</definedName>
    <definedName name="Payment_Date" localSheetId="2">DATE(YEAR(Loan_Start),MONTH(Loan_Start)+Payment_Number,DAY(Loan_Start))</definedName>
    <definedName name="Payment_Date">DATE(YEAR(Loan_Start),MONTH(Loan_Start)+Payment_Number,DAY(Loan_Start))</definedName>
    <definedName name="Period">#REF!</definedName>
    <definedName name="Princ">#REF!</definedName>
    <definedName name="print.accruals">'[8]Accruals CPT'!$A$1:$G$469</definedName>
    <definedName name="print.B_S">#REF!</definedName>
    <definedName name="Print.Bus_Tours">#REF!</definedName>
    <definedName name="_xlnm.Print_Area" localSheetId="0">'11-2025'!$A$1:$BV$71</definedName>
    <definedName name="_xlnm.Print_Area" localSheetId="1">'خزينه السلف '!$A$1:$I$55</definedName>
    <definedName name="Print_Area_MI">'[2]28-02-97'!#REF!</definedName>
    <definedName name="Print_Area_Reset" localSheetId="1">OFFSET(Full_Print,0,0,'خزينه السلف '!Last_Row)</definedName>
    <definedName name="Print_Area_Reset" localSheetId="2">OFFSET(Full_Print,0,0,'خزينه السلف  (2)'!Last_Row)</definedName>
    <definedName name="Print_Area_Reset">OFFSET(Full_Print,0,0,Last_Row)</definedName>
    <definedName name="Salaries_Template">#N/A</definedName>
    <definedName name="sales">[3]TB!$8:$38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Total_Payment" localSheetId="1">Scheduled_Payment+Extra_Payment</definedName>
    <definedName name="Total_Payment" localSheetId="2">Scheduled_Payment+Extra_Payment</definedName>
    <definedName name="Total_Payment">Scheduled_Payment+Extra_Payment</definedName>
    <definedName name="Values_Entered" localSheetId="1">IF(Loan_Amount*Interest_Rate*Loan_Years*Loan_Start&gt;0,1,0)</definedName>
    <definedName name="Values_Entered" localSheetId="2">IF(Loan_Amount*Interest_Rate*Loan_Years*Loan_Start&gt;0,1,0)</definedName>
    <definedName name="Values_Entered">IF(Loan_Amount*Interest_Rate*Loan_Years*Loan_Start&gt;0,1,0)</definedName>
    <definedName name="XREF_COLUMN_1" hidden="1">#REF!</definedName>
    <definedName name="XRefActiveRow" hidden="1">#REF!</definedName>
    <definedName name="XRefColumnsCount" hidden="1">1</definedName>
    <definedName name="XRefPaste2" hidden="1">#REF!</definedName>
    <definedName name="XRefPaste2Row" hidden="1">#REF!</definedName>
    <definedName name="XRefPasteRangeCount" hidden="1">2</definedName>
    <definedName name="الفريد" hidden="1">#REF!</definedName>
    <definedName name="بشر">OFFSET(Full_Print,0,0,Last_Row)</definedName>
    <definedName name="ميزان_المراجعة___غير_مرحل">#REF!</definedName>
  </definedNames>
  <calcPr calcId="191029"/>
  <pivotCaches>
    <pivotCache cacheId="0" r:id="rId16"/>
    <pivotCache cacheId="1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I243" i="1" l="1"/>
  <c r="AM5" i="1" l="1"/>
  <c r="AM84" i="1"/>
  <c r="F50" i="3" l="1"/>
  <c r="E50" i="3"/>
  <c r="D50" i="3"/>
  <c r="B50" i="3"/>
  <c r="F49" i="3"/>
  <c r="E49" i="3"/>
  <c r="D49" i="3"/>
  <c r="B49" i="3"/>
  <c r="F48" i="3"/>
  <c r="E48" i="3"/>
  <c r="D48" i="3"/>
  <c r="B48" i="3"/>
  <c r="F47" i="3"/>
  <c r="E47" i="3"/>
  <c r="D47" i="3"/>
  <c r="B47" i="3"/>
  <c r="F46" i="3"/>
  <c r="E46" i="3"/>
  <c r="D46" i="3"/>
  <c r="B46" i="3"/>
  <c r="F45" i="3"/>
  <c r="E45" i="3"/>
  <c r="D45" i="3"/>
  <c r="B45" i="3"/>
  <c r="F44" i="3"/>
  <c r="E44" i="3"/>
  <c r="D44" i="3"/>
  <c r="B44" i="3"/>
  <c r="F43" i="3"/>
  <c r="E43" i="3"/>
  <c r="D43" i="3"/>
  <c r="B43" i="3"/>
  <c r="F42" i="3"/>
  <c r="E42" i="3"/>
  <c r="D42" i="3"/>
  <c r="B42" i="3"/>
  <c r="F41" i="3"/>
  <c r="E41" i="3"/>
  <c r="D41" i="3"/>
  <c r="B41" i="3"/>
  <c r="F40" i="3"/>
  <c r="E40" i="3"/>
  <c r="D40" i="3"/>
  <c r="B40" i="3"/>
  <c r="F39" i="3"/>
  <c r="E39" i="3"/>
  <c r="D39" i="3"/>
  <c r="B39" i="3"/>
  <c r="F38" i="3"/>
  <c r="E38" i="3"/>
  <c r="D38" i="3"/>
  <c r="B38" i="3"/>
  <c r="F37" i="3"/>
  <c r="E37" i="3"/>
  <c r="D37" i="3"/>
  <c r="B37" i="3"/>
  <c r="F36" i="3"/>
  <c r="E36" i="3"/>
  <c r="D36" i="3"/>
  <c r="B36" i="3"/>
  <c r="F35" i="3"/>
  <c r="E35" i="3"/>
  <c r="D35" i="3"/>
  <c r="B35" i="3"/>
  <c r="F34" i="3"/>
  <c r="E34" i="3"/>
  <c r="D34" i="3"/>
  <c r="B34" i="3"/>
  <c r="F33" i="3"/>
  <c r="E33" i="3"/>
  <c r="D33" i="3"/>
  <c r="B33" i="3"/>
  <c r="F32" i="3"/>
  <c r="E32" i="3"/>
  <c r="D32" i="3"/>
  <c r="B32" i="3"/>
  <c r="F31" i="3"/>
  <c r="E31" i="3"/>
  <c r="D31" i="3"/>
  <c r="B31" i="3"/>
  <c r="F30" i="3"/>
  <c r="E30" i="3"/>
  <c r="D30" i="3"/>
  <c r="B30" i="3"/>
  <c r="F29" i="3"/>
  <c r="E29" i="3"/>
  <c r="D29" i="3"/>
  <c r="B29" i="3"/>
  <c r="F28" i="3"/>
  <c r="E28" i="3"/>
  <c r="D28" i="3"/>
  <c r="B28" i="3"/>
  <c r="F27" i="3"/>
  <c r="E27" i="3"/>
  <c r="D27" i="3"/>
  <c r="B27" i="3"/>
  <c r="F26" i="3"/>
  <c r="E26" i="3"/>
  <c r="D26" i="3"/>
  <c r="B26" i="3"/>
  <c r="F25" i="3"/>
  <c r="E25" i="3"/>
  <c r="D25" i="3"/>
  <c r="B25" i="3"/>
  <c r="F24" i="3"/>
  <c r="E24" i="3"/>
  <c r="D24" i="3"/>
  <c r="B24" i="3"/>
  <c r="F23" i="3"/>
  <c r="E23" i="3"/>
  <c r="D23" i="3"/>
  <c r="B23" i="3"/>
  <c r="F22" i="3"/>
  <c r="E22" i="3"/>
  <c r="D22" i="3"/>
  <c r="B22" i="3"/>
  <c r="F21" i="3"/>
  <c r="E21" i="3"/>
  <c r="D21" i="3"/>
  <c r="B21" i="3"/>
  <c r="F20" i="3"/>
  <c r="E20" i="3"/>
  <c r="D20" i="3"/>
  <c r="B20" i="3"/>
  <c r="F19" i="3"/>
  <c r="E19" i="3"/>
  <c r="D19" i="3"/>
  <c r="B19" i="3"/>
  <c r="F18" i="3"/>
  <c r="E18" i="3"/>
  <c r="D18" i="3"/>
  <c r="B18" i="3"/>
  <c r="F17" i="3"/>
  <c r="E17" i="3"/>
  <c r="D17" i="3"/>
  <c r="B17" i="3"/>
  <c r="F16" i="3"/>
  <c r="E16" i="3"/>
  <c r="D16" i="3"/>
  <c r="B16" i="3"/>
  <c r="F15" i="3"/>
  <c r="E15" i="3"/>
  <c r="D15" i="3"/>
  <c r="B15" i="3"/>
  <c r="F14" i="3"/>
  <c r="E14" i="3"/>
  <c r="D14" i="3"/>
  <c r="B14" i="3"/>
  <c r="F13" i="3"/>
  <c r="E13" i="3"/>
  <c r="D13" i="3"/>
  <c r="B13" i="3"/>
  <c r="F12" i="3"/>
  <c r="E12" i="3"/>
  <c r="D12" i="3"/>
  <c r="B12" i="3"/>
  <c r="F11" i="3"/>
  <c r="E11" i="3"/>
  <c r="D11" i="3"/>
  <c r="B11" i="3"/>
  <c r="F10" i="3"/>
  <c r="E10" i="3"/>
  <c r="D10" i="3"/>
  <c r="B10" i="3"/>
  <c r="F9" i="3"/>
  <c r="E9" i="3"/>
  <c r="D9" i="3"/>
  <c r="B9" i="3"/>
  <c r="F8" i="3"/>
  <c r="E8" i="3"/>
  <c r="D8" i="3"/>
  <c r="B8" i="3"/>
  <c r="F7" i="3"/>
  <c r="E7" i="3"/>
  <c r="D7" i="3"/>
  <c r="B7" i="3"/>
  <c r="F6" i="3"/>
  <c r="E6" i="3"/>
  <c r="D6" i="3"/>
  <c r="B6" i="3"/>
  <c r="F5" i="3"/>
  <c r="E5" i="3"/>
  <c r="D5" i="3"/>
  <c r="B5" i="3"/>
  <c r="F4" i="3"/>
  <c r="E4" i="3"/>
  <c r="D4" i="3"/>
  <c r="B4" i="3"/>
  <c r="F3" i="3"/>
  <c r="E3" i="3"/>
  <c r="D3" i="3"/>
  <c r="B3" i="3"/>
  <c r="H1" i="3"/>
  <c r="F189" i="2" l="1"/>
  <c r="E189" i="2"/>
  <c r="D189" i="2"/>
  <c r="B189" i="2"/>
  <c r="F188" i="2"/>
  <c r="E188" i="2"/>
  <c r="D188" i="2"/>
  <c r="B188" i="2"/>
  <c r="F187" i="2"/>
  <c r="E187" i="2"/>
  <c r="D187" i="2"/>
  <c r="B187" i="2"/>
  <c r="F186" i="2"/>
  <c r="E186" i="2"/>
  <c r="D186" i="2"/>
  <c r="B186" i="2"/>
  <c r="F185" i="2"/>
  <c r="E185" i="2"/>
  <c r="D185" i="2"/>
  <c r="B185" i="2"/>
  <c r="F184" i="2"/>
  <c r="E184" i="2"/>
  <c r="D184" i="2"/>
  <c r="B184" i="2"/>
  <c r="F183" i="2"/>
  <c r="E183" i="2"/>
  <c r="D183" i="2"/>
  <c r="B183" i="2"/>
  <c r="F182" i="2"/>
  <c r="E182" i="2"/>
  <c r="D182" i="2"/>
  <c r="B182" i="2"/>
  <c r="F181" i="2"/>
  <c r="E181" i="2"/>
  <c r="D181" i="2"/>
  <c r="B181" i="2"/>
  <c r="F180" i="2"/>
  <c r="E180" i="2"/>
  <c r="D180" i="2"/>
  <c r="B180" i="2"/>
  <c r="F179" i="2"/>
  <c r="E179" i="2"/>
  <c r="D179" i="2"/>
  <c r="B179" i="2"/>
  <c r="F178" i="2"/>
  <c r="E178" i="2"/>
  <c r="D178" i="2"/>
  <c r="B178" i="2"/>
  <c r="F177" i="2"/>
  <c r="E177" i="2"/>
  <c r="D177" i="2"/>
  <c r="B177" i="2"/>
  <c r="F176" i="2"/>
  <c r="E176" i="2"/>
  <c r="D176" i="2"/>
  <c r="B176" i="2"/>
  <c r="F175" i="2"/>
  <c r="E175" i="2"/>
  <c r="D175" i="2"/>
  <c r="B175" i="2"/>
  <c r="F174" i="2"/>
  <c r="E174" i="2"/>
  <c r="D174" i="2"/>
  <c r="B174" i="2"/>
  <c r="F173" i="2"/>
  <c r="E173" i="2"/>
  <c r="D173" i="2"/>
  <c r="B173" i="2"/>
  <c r="F172" i="2"/>
  <c r="E172" i="2"/>
  <c r="D172" i="2"/>
  <c r="B172" i="2"/>
  <c r="F171" i="2"/>
  <c r="E171" i="2"/>
  <c r="D171" i="2"/>
  <c r="B171" i="2"/>
  <c r="F170" i="2"/>
  <c r="E170" i="2"/>
  <c r="D170" i="2"/>
  <c r="B170" i="2"/>
  <c r="F169" i="2"/>
  <c r="E169" i="2"/>
  <c r="D169" i="2"/>
  <c r="B169" i="2"/>
  <c r="F168" i="2"/>
  <c r="E168" i="2"/>
  <c r="D168" i="2"/>
  <c r="B168" i="2"/>
  <c r="F167" i="2"/>
  <c r="E167" i="2"/>
  <c r="D167" i="2"/>
  <c r="B167" i="2"/>
  <c r="F166" i="2"/>
  <c r="E166" i="2"/>
  <c r="D166" i="2"/>
  <c r="B166" i="2"/>
  <c r="F165" i="2"/>
  <c r="E165" i="2"/>
  <c r="D165" i="2"/>
  <c r="B165" i="2"/>
  <c r="F164" i="2"/>
  <c r="E164" i="2"/>
  <c r="D164" i="2"/>
  <c r="B164" i="2"/>
  <c r="F163" i="2"/>
  <c r="E163" i="2"/>
  <c r="D163" i="2"/>
  <c r="B163" i="2"/>
  <c r="F162" i="2"/>
  <c r="E162" i="2"/>
  <c r="D162" i="2"/>
  <c r="B162" i="2"/>
  <c r="F161" i="2"/>
  <c r="E161" i="2"/>
  <c r="D161" i="2"/>
  <c r="B161" i="2"/>
  <c r="F160" i="2"/>
  <c r="E160" i="2"/>
  <c r="D160" i="2"/>
  <c r="B160" i="2"/>
  <c r="F159" i="2"/>
  <c r="E159" i="2"/>
  <c r="D159" i="2"/>
  <c r="B159" i="2"/>
  <c r="F158" i="2"/>
  <c r="E158" i="2"/>
  <c r="D158" i="2"/>
  <c r="B158" i="2"/>
  <c r="F157" i="2"/>
  <c r="E157" i="2"/>
  <c r="D157" i="2"/>
  <c r="B157" i="2"/>
  <c r="F156" i="2"/>
  <c r="E156" i="2"/>
  <c r="D156" i="2"/>
  <c r="B156" i="2"/>
  <c r="F155" i="2"/>
  <c r="E155" i="2"/>
  <c r="D155" i="2"/>
  <c r="B155" i="2"/>
  <c r="F154" i="2"/>
  <c r="E154" i="2"/>
  <c r="D154" i="2"/>
  <c r="B154" i="2"/>
  <c r="F153" i="2"/>
  <c r="E153" i="2"/>
  <c r="D153" i="2"/>
  <c r="B153" i="2"/>
  <c r="F152" i="2"/>
  <c r="E152" i="2"/>
  <c r="D152" i="2"/>
  <c r="B152" i="2"/>
  <c r="F151" i="2"/>
  <c r="E151" i="2"/>
  <c r="D151" i="2"/>
  <c r="B151" i="2"/>
  <c r="F150" i="2"/>
  <c r="E150" i="2"/>
  <c r="D150" i="2"/>
  <c r="B150" i="2"/>
  <c r="F149" i="2"/>
  <c r="E149" i="2"/>
  <c r="D149" i="2"/>
  <c r="B149" i="2"/>
  <c r="F148" i="2"/>
  <c r="E148" i="2"/>
  <c r="D148" i="2"/>
  <c r="B148" i="2"/>
  <c r="F147" i="2"/>
  <c r="E147" i="2"/>
  <c r="D147" i="2"/>
  <c r="B147" i="2"/>
  <c r="F146" i="2"/>
  <c r="E146" i="2"/>
  <c r="D146" i="2"/>
  <c r="B146" i="2"/>
  <c r="F145" i="2"/>
  <c r="E145" i="2"/>
  <c r="D145" i="2"/>
  <c r="B145" i="2"/>
  <c r="F144" i="2"/>
  <c r="E144" i="2"/>
  <c r="D144" i="2"/>
  <c r="B144" i="2"/>
  <c r="F143" i="2"/>
  <c r="E143" i="2"/>
  <c r="D143" i="2"/>
  <c r="B143" i="2"/>
  <c r="F142" i="2"/>
  <c r="E142" i="2"/>
  <c r="D142" i="2"/>
  <c r="B142" i="2"/>
  <c r="F141" i="2"/>
  <c r="E141" i="2"/>
  <c r="D141" i="2"/>
  <c r="B141" i="2"/>
  <c r="F140" i="2"/>
  <c r="E140" i="2"/>
  <c r="D140" i="2"/>
  <c r="B140" i="2"/>
  <c r="F139" i="2"/>
  <c r="E139" i="2"/>
  <c r="D139" i="2"/>
  <c r="B139" i="2"/>
  <c r="F138" i="2"/>
  <c r="E138" i="2"/>
  <c r="D138" i="2"/>
  <c r="B138" i="2"/>
  <c r="F137" i="2"/>
  <c r="E137" i="2"/>
  <c r="D137" i="2"/>
  <c r="B137" i="2"/>
  <c r="F136" i="2"/>
  <c r="E136" i="2"/>
  <c r="D136" i="2"/>
  <c r="B136" i="2"/>
  <c r="F135" i="2"/>
  <c r="E135" i="2"/>
  <c r="D135" i="2"/>
  <c r="B135" i="2"/>
  <c r="F134" i="2"/>
  <c r="E134" i="2"/>
  <c r="D134" i="2"/>
  <c r="B134" i="2"/>
  <c r="F133" i="2"/>
  <c r="E133" i="2"/>
  <c r="D133" i="2"/>
  <c r="B133" i="2"/>
  <c r="F132" i="2"/>
  <c r="E132" i="2"/>
  <c r="D132" i="2"/>
  <c r="B132" i="2"/>
  <c r="F131" i="2"/>
  <c r="E131" i="2"/>
  <c r="D131" i="2"/>
  <c r="B131" i="2"/>
  <c r="F130" i="2"/>
  <c r="E130" i="2"/>
  <c r="D130" i="2"/>
  <c r="B130" i="2"/>
  <c r="F129" i="2"/>
  <c r="E129" i="2"/>
  <c r="D129" i="2"/>
  <c r="B129" i="2"/>
  <c r="F128" i="2"/>
  <c r="E128" i="2"/>
  <c r="D128" i="2"/>
  <c r="B128" i="2"/>
  <c r="F127" i="2"/>
  <c r="E127" i="2"/>
  <c r="D127" i="2"/>
  <c r="B127" i="2"/>
  <c r="F126" i="2"/>
  <c r="E126" i="2"/>
  <c r="D126" i="2"/>
  <c r="B126" i="2"/>
  <c r="F125" i="2"/>
  <c r="E125" i="2"/>
  <c r="D125" i="2"/>
  <c r="B125" i="2"/>
  <c r="F124" i="2"/>
  <c r="E124" i="2"/>
  <c r="D124" i="2"/>
  <c r="B124" i="2"/>
  <c r="F123" i="2"/>
  <c r="E123" i="2"/>
  <c r="D123" i="2"/>
  <c r="B123" i="2"/>
  <c r="F122" i="2"/>
  <c r="E122" i="2"/>
  <c r="D122" i="2"/>
  <c r="B122" i="2"/>
  <c r="F121" i="2"/>
  <c r="E121" i="2"/>
  <c r="D121" i="2"/>
  <c r="B121" i="2"/>
  <c r="F120" i="2"/>
  <c r="E120" i="2"/>
  <c r="D120" i="2"/>
  <c r="B120" i="2"/>
  <c r="F119" i="2"/>
  <c r="E119" i="2"/>
  <c r="D119" i="2"/>
  <c r="B119" i="2"/>
  <c r="F118" i="2"/>
  <c r="E118" i="2"/>
  <c r="D118" i="2"/>
  <c r="B118" i="2"/>
  <c r="F117" i="2"/>
  <c r="E117" i="2"/>
  <c r="D117" i="2"/>
  <c r="B117" i="2"/>
  <c r="F116" i="2"/>
  <c r="E116" i="2"/>
  <c r="D116" i="2"/>
  <c r="B116" i="2"/>
  <c r="F115" i="2"/>
  <c r="E115" i="2"/>
  <c r="D115" i="2"/>
  <c r="B115" i="2"/>
  <c r="F114" i="2"/>
  <c r="E114" i="2"/>
  <c r="D114" i="2"/>
  <c r="B114" i="2"/>
  <c r="F113" i="2"/>
  <c r="E113" i="2"/>
  <c r="D113" i="2"/>
  <c r="B113" i="2"/>
  <c r="F112" i="2"/>
  <c r="E112" i="2"/>
  <c r="D112" i="2"/>
  <c r="B112" i="2"/>
  <c r="F111" i="2"/>
  <c r="E111" i="2"/>
  <c r="D111" i="2"/>
  <c r="B111" i="2"/>
  <c r="F110" i="2"/>
  <c r="E110" i="2"/>
  <c r="D110" i="2"/>
  <c r="B110" i="2"/>
  <c r="F109" i="2"/>
  <c r="E109" i="2"/>
  <c r="D109" i="2"/>
  <c r="B109" i="2"/>
  <c r="F108" i="2"/>
  <c r="E108" i="2"/>
  <c r="D108" i="2"/>
  <c r="B108" i="2"/>
  <c r="F107" i="2"/>
  <c r="E107" i="2"/>
  <c r="D107" i="2"/>
  <c r="B107" i="2"/>
  <c r="F106" i="2"/>
  <c r="E106" i="2"/>
  <c r="D106" i="2"/>
  <c r="B106" i="2"/>
  <c r="F105" i="2"/>
  <c r="E105" i="2"/>
  <c r="D105" i="2"/>
  <c r="B105" i="2"/>
  <c r="F104" i="2"/>
  <c r="E104" i="2"/>
  <c r="D104" i="2"/>
  <c r="B104" i="2"/>
  <c r="F103" i="2"/>
  <c r="E103" i="2"/>
  <c r="D103" i="2"/>
  <c r="B103" i="2"/>
  <c r="F102" i="2"/>
  <c r="E102" i="2"/>
  <c r="D102" i="2"/>
  <c r="B102" i="2"/>
  <c r="F101" i="2"/>
  <c r="E101" i="2"/>
  <c r="D101" i="2"/>
  <c r="B101" i="2"/>
  <c r="F100" i="2"/>
  <c r="E100" i="2"/>
  <c r="D100" i="2"/>
  <c r="B100" i="2"/>
  <c r="F99" i="2"/>
  <c r="E99" i="2"/>
  <c r="D99" i="2"/>
  <c r="B99" i="2"/>
  <c r="F98" i="2"/>
  <c r="E98" i="2"/>
  <c r="D98" i="2"/>
  <c r="B98" i="2"/>
  <c r="F97" i="2"/>
  <c r="E97" i="2"/>
  <c r="D97" i="2"/>
  <c r="B97" i="2"/>
  <c r="F96" i="2"/>
  <c r="E96" i="2"/>
  <c r="D96" i="2"/>
  <c r="B96" i="2"/>
  <c r="F95" i="2"/>
  <c r="E95" i="2"/>
  <c r="D95" i="2"/>
  <c r="B95" i="2"/>
  <c r="F94" i="2"/>
  <c r="E94" i="2"/>
  <c r="D94" i="2"/>
  <c r="B94" i="2"/>
  <c r="F93" i="2"/>
  <c r="E93" i="2"/>
  <c r="D93" i="2"/>
  <c r="B93" i="2"/>
  <c r="F92" i="2"/>
  <c r="D92" i="2"/>
  <c r="B92" i="2"/>
  <c r="F91" i="2"/>
  <c r="E91" i="2"/>
  <c r="D91" i="2"/>
  <c r="B91" i="2"/>
  <c r="F90" i="2"/>
  <c r="E90" i="2"/>
  <c r="D90" i="2"/>
  <c r="B90" i="2"/>
  <c r="F89" i="2"/>
  <c r="E89" i="2"/>
  <c r="D89" i="2"/>
  <c r="B89" i="2"/>
  <c r="F88" i="2"/>
  <c r="E88" i="2"/>
  <c r="D88" i="2"/>
  <c r="B88" i="2"/>
  <c r="F87" i="2"/>
  <c r="E87" i="2"/>
  <c r="D87" i="2"/>
  <c r="B87" i="2"/>
  <c r="F86" i="2"/>
  <c r="E86" i="2"/>
  <c r="D86" i="2"/>
  <c r="B86" i="2"/>
  <c r="F85" i="2"/>
  <c r="E85" i="2"/>
  <c r="D85" i="2"/>
  <c r="B85" i="2"/>
  <c r="F84" i="2"/>
  <c r="E84" i="2"/>
  <c r="D84" i="2"/>
  <c r="B84" i="2"/>
  <c r="F83" i="2"/>
  <c r="E83" i="2"/>
  <c r="D83" i="2"/>
  <c r="B83" i="2"/>
  <c r="F82" i="2"/>
  <c r="E82" i="2"/>
  <c r="D82" i="2"/>
  <c r="B82" i="2"/>
  <c r="F81" i="2"/>
  <c r="E81" i="2"/>
  <c r="D81" i="2"/>
  <c r="B81" i="2"/>
  <c r="F80" i="2"/>
  <c r="E80" i="2"/>
  <c r="D80" i="2"/>
  <c r="B80" i="2"/>
  <c r="F79" i="2"/>
  <c r="E79" i="2"/>
  <c r="D79" i="2"/>
  <c r="B79" i="2"/>
  <c r="F78" i="2"/>
  <c r="E78" i="2"/>
  <c r="D78" i="2"/>
  <c r="B78" i="2"/>
  <c r="F77" i="2"/>
  <c r="E77" i="2"/>
  <c r="D77" i="2"/>
  <c r="B77" i="2"/>
  <c r="F76" i="2"/>
  <c r="E76" i="2"/>
  <c r="D76" i="2"/>
  <c r="B76" i="2"/>
  <c r="F75" i="2"/>
  <c r="E75" i="2"/>
  <c r="D75" i="2"/>
  <c r="B75" i="2"/>
  <c r="F74" i="2"/>
  <c r="D74" i="2"/>
  <c r="B74" i="2"/>
  <c r="F73" i="2"/>
  <c r="E73" i="2"/>
  <c r="D73" i="2"/>
  <c r="B73" i="2"/>
  <c r="F72" i="2"/>
  <c r="E72" i="2"/>
  <c r="D72" i="2"/>
  <c r="B72" i="2"/>
  <c r="F71" i="2"/>
  <c r="E71" i="2"/>
  <c r="D71" i="2"/>
  <c r="B71" i="2"/>
  <c r="F70" i="2"/>
  <c r="E70" i="2"/>
  <c r="D70" i="2"/>
  <c r="B70" i="2"/>
  <c r="F69" i="2"/>
  <c r="E69" i="2"/>
  <c r="D69" i="2"/>
  <c r="B69" i="2"/>
  <c r="F68" i="2"/>
  <c r="E68" i="2"/>
  <c r="D68" i="2"/>
  <c r="B68" i="2"/>
  <c r="F67" i="2"/>
  <c r="E67" i="2"/>
  <c r="D67" i="2"/>
  <c r="B67" i="2"/>
  <c r="F66" i="2"/>
  <c r="E66" i="2"/>
  <c r="D66" i="2"/>
  <c r="B66" i="2"/>
  <c r="F65" i="2"/>
  <c r="E65" i="2"/>
  <c r="D65" i="2"/>
  <c r="B65" i="2"/>
  <c r="F64" i="2"/>
  <c r="E64" i="2"/>
  <c r="D64" i="2"/>
  <c r="B64" i="2"/>
  <c r="F63" i="2"/>
  <c r="E63" i="2"/>
  <c r="D63" i="2"/>
  <c r="B63" i="2"/>
  <c r="F62" i="2"/>
  <c r="E62" i="2"/>
  <c r="D62" i="2"/>
  <c r="B62" i="2"/>
  <c r="F61" i="2"/>
  <c r="E61" i="2"/>
  <c r="D61" i="2"/>
  <c r="B61" i="2"/>
  <c r="F60" i="2"/>
  <c r="E60" i="2"/>
  <c r="D60" i="2"/>
  <c r="B60" i="2"/>
  <c r="F59" i="2"/>
  <c r="E59" i="2"/>
  <c r="D59" i="2"/>
  <c r="B59" i="2"/>
  <c r="F58" i="2"/>
  <c r="E58" i="2"/>
  <c r="D58" i="2"/>
  <c r="B58" i="2"/>
  <c r="F57" i="2"/>
  <c r="E57" i="2"/>
  <c r="D57" i="2"/>
  <c r="B57" i="2"/>
  <c r="F56" i="2"/>
  <c r="E56" i="2"/>
  <c r="D56" i="2"/>
  <c r="B56" i="2"/>
  <c r="F55" i="2"/>
  <c r="E55" i="2"/>
  <c r="D55" i="2"/>
  <c r="B55" i="2"/>
  <c r="F54" i="2"/>
  <c r="E54" i="2"/>
  <c r="D54" i="2"/>
  <c r="B54" i="2"/>
  <c r="F53" i="2"/>
  <c r="E53" i="2"/>
  <c r="D53" i="2"/>
  <c r="B53" i="2"/>
  <c r="F52" i="2"/>
  <c r="E52" i="2"/>
  <c r="D52" i="2"/>
  <c r="B52" i="2"/>
  <c r="F51" i="2"/>
  <c r="E51" i="2"/>
  <c r="D51" i="2"/>
  <c r="B51" i="2"/>
  <c r="F50" i="2"/>
  <c r="E50" i="2"/>
  <c r="D50" i="2"/>
  <c r="B50" i="2"/>
  <c r="F49" i="2"/>
  <c r="E49" i="2"/>
  <c r="D49" i="2"/>
  <c r="B49" i="2"/>
  <c r="F48" i="2"/>
  <c r="E48" i="2"/>
  <c r="D48" i="2"/>
  <c r="B48" i="2"/>
  <c r="F47" i="2"/>
  <c r="E47" i="2"/>
  <c r="D47" i="2"/>
  <c r="B47" i="2"/>
  <c r="F46" i="2"/>
  <c r="E46" i="2"/>
  <c r="D46" i="2"/>
  <c r="B46" i="2"/>
  <c r="F45" i="2"/>
  <c r="E45" i="2"/>
  <c r="D45" i="2"/>
  <c r="B45" i="2"/>
  <c r="F44" i="2"/>
  <c r="E44" i="2"/>
  <c r="D44" i="2"/>
  <c r="B44" i="2"/>
  <c r="F43" i="2"/>
  <c r="E43" i="2"/>
  <c r="D43" i="2"/>
  <c r="B43" i="2"/>
  <c r="F42" i="2"/>
  <c r="E42" i="2"/>
  <c r="D42" i="2"/>
  <c r="B42" i="2"/>
  <c r="F41" i="2"/>
  <c r="E41" i="2"/>
  <c r="D41" i="2"/>
  <c r="B41" i="2"/>
  <c r="F40" i="2"/>
  <c r="E40" i="2"/>
  <c r="D40" i="2"/>
  <c r="B40" i="2"/>
  <c r="F39" i="2"/>
  <c r="E39" i="2"/>
  <c r="D39" i="2"/>
  <c r="B39" i="2"/>
  <c r="F38" i="2"/>
  <c r="E38" i="2"/>
  <c r="D38" i="2"/>
  <c r="B38" i="2"/>
  <c r="F37" i="2"/>
  <c r="E37" i="2"/>
  <c r="D37" i="2"/>
  <c r="B37" i="2"/>
  <c r="F36" i="2"/>
  <c r="E36" i="2"/>
  <c r="D36" i="2"/>
  <c r="B36" i="2"/>
  <c r="F35" i="2"/>
  <c r="E35" i="2"/>
  <c r="D35" i="2"/>
  <c r="B35" i="2"/>
  <c r="F34" i="2"/>
  <c r="E34" i="2"/>
  <c r="D34" i="2"/>
  <c r="B34" i="2"/>
  <c r="F33" i="2"/>
  <c r="E33" i="2"/>
  <c r="D33" i="2"/>
  <c r="B33" i="2"/>
  <c r="F32" i="2"/>
  <c r="E32" i="2"/>
  <c r="D32" i="2"/>
  <c r="B32" i="2"/>
  <c r="F31" i="2"/>
  <c r="E31" i="2"/>
  <c r="D31" i="2"/>
  <c r="B31" i="2"/>
  <c r="F30" i="2"/>
  <c r="E30" i="2"/>
  <c r="D30" i="2"/>
  <c r="B30" i="2"/>
  <c r="F29" i="2"/>
  <c r="E29" i="2"/>
  <c r="D29" i="2"/>
  <c r="B29" i="2"/>
  <c r="F28" i="2"/>
  <c r="E28" i="2"/>
  <c r="D28" i="2"/>
  <c r="B28" i="2"/>
  <c r="F27" i="2"/>
  <c r="E27" i="2"/>
  <c r="D27" i="2"/>
  <c r="B27" i="2"/>
  <c r="F26" i="2"/>
  <c r="E26" i="2"/>
  <c r="D26" i="2"/>
  <c r="B26" i="2"/>
  <c r="F25" i="2"/>
  <c r="E25" i="2"/>
  <c r="D25" i="2"/>
  <c r="B25" i="2"/>
  <c r="F24" i="2"/>
  <c r="E24" i="2"/>
  <c r="D24" i="2"/>
  <c r="B24" i="2"/>
  <c r="F23" i="2"/>
  <c r="E23" i="2"/>
  <c r="D23" i="2"/>
  <c r="B23" i="2"/>
  <c r="F22" i="2"/>
  <c r="E22" i="2"/>
  <c r="D22" i="2"/>
  <c r="B22" i="2"/>
  <c r="F21" i="2"/>
  <c r="E21" i="2"/>
  <c r="D21" i="2"/>
  <c r="B21" i="2"/>
  <c r="F20" i="2"/>
  <c r="E20" i="2"/>
  <c r="D20" i="2"/>
  <c r="B20" i="2"/>
  <c r="F19" i="2"/>
  <c r="E19" i="2"/>
  <c r="D19" i="2"/>
  <c r="B19" i="2"/>
  <c r="F18" i="2"/>
  <c r="E18" i="2"/>
  <c r="D18" i="2"/>
  <c r="B18" i="2"/>
  <c r="F17" i="2"/>
  <c r="E17" i="2"/>
  <c r="D17" i="2"/>
  <c r="B17" i="2"/>
  <c r="F16" i="2"/>
  <c r="E16" i="2"/>
  <c r="D16" i="2"/>
  <c r="B16" i="2"/>
  <c r="F15" i="2"/>
  <c r="D15" i="2"/>
  <c r="B15" i="2"/>
  <c r="F14" i="2"/>
  <c r="E14" i="2"/>
  <c r="D14" i="2"/>
  <c r="B14" i="2"/>
  <c r="F13" i="2"/>
  <c r="E13" i="2"/>
  <c r="D13" i="2"/>
  <c r="B13" i="2"/>
  <c r="F12" i="2"/>
  <c r="E12" i="2"/>
  <c r="D12" i="2"/>
  <c r="B12" i="2"/>
  <c r="F11" i="2"/>
  <c r="E11" i="2"/>
  <c r="D11" i="2"/>
  <c r="B11" i="2"/>
  <c r="F10" i="2"/>
  <c r="B10" i="2"/>
  <c r="F9" i="2"/>
  <c r="E9" i="2"/>
  <c r="D9" i="2"/>
  <c r="B9" i="2"/>
  <c r="F8" i="2"/>
  <c r="E8" i="2"/>
  <c r="D8" i="2"/>
  <c r="B8" i="2"/>
  <c r="F7" i="2"/>
  <c r="E7" i="2"/>
  <c r="D7" i="2"/>
  <c r="B7" i="2"/>
  <c r="F6" i="2"/>
  <c r="E6" i="2"/>
  <c r="D6" i="2"/>
  <c r="B6" i="2"/>
  <c r="F5" i="2"/>
  <c r="E5" i="2"/>
  <c r="D5" i="2"/>
  <c r="B5" i="2"/>
  <c r="F4" i="2"/>
  <c r="E4" i="2"/>
  <c r="D4" i="2"/>
  <c r="B4" i="2"/>
  <c r="F3" i="2"/>
  <c r="E3" i="2"/>
  <c r="D3" i="2"/>
  <c r="B3" i="2"/>
  <c r="H1" i="2"/>
  <c r="E1" i="2"/>
  <c r="N204" i="1" l="1"/>
  <c r="P204" i="1"/>
  <c r="Q204" i="1"/>
  <c r="BJ204" i="1"/>
  <c r="BL204" i="1"/>
  <c r="BN204" i="1" s="1"/>
  <c r="BO204" i="1"/>
  <c r="N205" i="1"/>
  <c r="P205" i="1"/>
  <c r="Q205" i="1"/>
  <c r="BJ205" i="1"/>
  <c r="BL205" i="1"/>
  <c r="BN205" i="1" s="1"/>
  <c r="BO205" i="1"/>
  <c r="N206" i="1"/>
  <c r="P206" i="1"/>
  <c r="Q206" i="1"/>
  <c r="BJ206" i="1"/>
  <c r="BL206" i="1"/>
  <c r="BN206" i="1" s="1"/>
  <c r="BO206" i="1"/>
  <c r="N207" i="1"/>
  <c r="P207" i="1"/>
  <c r="Q207" i="1"/>
  <c r="BJ207" i="1"/>
  <c r="BL207" i="1"/>
  <c r="BN207" i="1" s="1"/>
  <c r="BO207" i="1"/>
  <c r="N208" i="1"/>
  <c r="P208" i="1"/>
  <c r="Q208" i="1"/>
  <c r="BJ208" i="1"/>
  <c r="BL208" i="1"/>
  <c r="BM208" i="1" s="1"/>
  <c r="BO208" i="1"/>
  <c r="N209" i="1"/>
  <c r="P209" i="1"/>
  <c r="Q209" i="1"/>
  <c r="BJ209" i="1"/>
  <c r="BL209" i="1"/>
  <c r="BN209" i="1" s="1"/>
  <c r="BO209" i="1"/>
  <c r="N210" i="1"/>
  <c r="P210" i="1"/>
  <c r="Q210" i="1"/>
  <c r="BJ210" i="1"/>
  <c r="BL210" i="1"/>
  <c r="BM210" i="1" s="1"/>
  <c r="BO210" i="1"/>
  <c r="N211" i="1"/>
  <c r="P211" i="1"/>
  <c r="Q211" i="1"/>
  <c r="BJ211" i="1"/>
  <c r="BL211" i="1"/>
  <c r="BN211" i="1" s="1"/>
  <c r="BO211" i="1"/>
  <c r="N212" i="1"/>
  <c r="P212" i="1"/>
  <c r="Q212" i="1"/>
  <c r="BJ212" i="1"/>
  <c r="BL212" i="1"/>
  <c r="BM212" i="1" s="1"/>
  <c r="BO212" i="1"/>
  <c r="N213" i="1"/>
  <c r="P213" i="1"/>
  <c r="Q213" i="1"/>
  <c r="BJ213" i="1"/>
  <c r="BL213" i="1"/>
  <c r="BN213" i="1" s="1"/>
  <c r="BO213" i="1"/>
  <c r="N214" i="1"/>
  <c r="P214" i="1"/>
  <c r="Q214" i="1"/>
  <c r="BJ214" i="1"/>
  <c r="BL214" i="1"/>
  <c r="BM214" i="1" s="1"/>
  <c r="BO214" i="1"/>
  <c r="N215" i="1"/>
  <c r="P215" i="1"/>
  <c r="Q215" i="1"/>
  <c r="BJ215" i="1"/>
  <c r="BL215" i="1"/>
  <c r="BM215" i="1" s="1"/>
  <c r="BO215" i="1"/>
  <c r="N216" i="1"/>
  <c r="P216" i="1"/>
  <c r="Q216" i="1"/>
  <c r="BJ216" i="1"/>
  <c r="BL216" i="1"/>
  <c r="BM216" i="1" s="1"/>
  <c r="BO216" i="1"/>
  <c r="N217" i="1"/>
  <c r="P217" i="1"/>
  <c r="Q217" i="1"/>
  <c r="BJ217" i="1"/>
  <c r="BL217" i="1"/>
  <c r="BN217" i="1" s="1"/>
  <c r="BO217" i="1"/>
  <c r="N218" i="1"/>
  <c r="P218" i="1"/>
  <c r="Q218" i="1"/>
  <c r="BJ218" i="1"/>
  <c r="BL218" i="1"/>
  <c r="BM218" i="1" s="1"/>
  <c r="BO218" i="1"/>
  <c r="N219" i="1"/>
  <c r="P219" i="1"/>
  <c r="Q219" i="1"/>
  <c r="BJ219" i="1"/>
  <c r="BL219" i="1"/>
  <c r="BO219" i="1"/>
  <c r="N220" i="1"/>
  <c r="P220" i="1"/>
  <c r="Q220" i="1"/>
  <c r="BJ220" i="1"/>
  <c r="BL220" i="1"/>
  <c r="BN220" i="1" s="1"/>
  <c r="BO220" i="1"/>
  <c r="N221" i="1"/>
  <c r="P221" i="1"/>
  <c r="Q221" i="1"/>
  <c r="X221" i="1"/>
  <c r="AH221" i="1" s="1"/>
  <c r="BJ221" i="1"/>
  <c r="BL221" i="1"/>
  <c r="BN221" i="1" s="1"/>
  <c r="BO221" i="1"/>
  <c r="N222" i="1"/>
  <c r="P222" i="1"/>
  <c r="Q222" i="1"/>
  <c r="X222" i="1"/>
  <c r="AD222" i="1" s="1"/>
  <c r="BJ222" i="1"/>
  <c r="BL222" i="1"/>
  <c r="BN222" i="1" s="1"/>
  <c r="BO222" i="1"/>
  <c r="N223" i="1"/>
  <c r="P223" i="1"/>
  <c r="Q223" i="1"/>
  <c r="X223" i="1"/>
  <c r="AH223" i="1" s="1"/>
  <c r="BJ223" i="1"/>
  <c r="BL223" i="1"/>
  <c r="BM223" i="1" s="1"/>
  <c r="BO223" i="1"/>
  <c r="N224" i="1"/>
  <c r="P224" i="1"/>
  <c r="Q224" i="1"/>
  <c r="X224" i="1"/>
  <c r="AF224" i="1" s="1"/>
  <c r="BJ224" i="1"/>
  <c r="BL224" i="1"/>
  <c r="BN224" i="1" s="1"/>
  <c r="BO224" i="1"/>
  <c r="N225" i="1"/>
  <c r="P225" i="1"/>
  <c r="Q225" i="1"/>
  <c r="X225" i="1"/>
  <c r="AD225" i="1" s="1"/>
  <c r="BJ225" i="1"/>
  <c r="BL225" i="1"/>
  <c r="BO225" i="1"/>
  <c r="N226" i="1"/>
  <c r="P226" i="1"/>
  <c r="Q226" i="1"/>
  <c r="X226" i="1"/>
  <c r="AF226" i="1" s="1"/>
  <c r="BJ226" i="1"/>
  <c r="BL226" i="1"/>
  <c r="BN226" i="1" s="1"/>
  <c r="BO226" i="1"/>
  <c r="N227" i="1"/>
  <c r="P227" i="1"/>
  <c r="Q227" i="1"/>
  <c r="X227" i="1"/>
  <c r="Z227" i="1" s="1"/>
  <c r="BJ227" i="1"/>
  <c r="BL227" i="1"/>
  <c r="BM227" i="1" s="1"/>
  <c r="BO227" i="1"/>
  <c r="N228" i="1"/>
  <c r="P228" i="1"/>
  <c r="Q228" i="1"/>
  <c r="X228" i="1"/>
  <c r="AD228" i="1" s="1"/>
  <c r="BJ228" i="1"/>
  <c r="BL228" i="1"/>
  <c r="BM228" i="1" s="1"/>
  <c r="BO228" i="1"/>
  <c r="BN218" i="1" l="1"/>
  <c r="BM209" i="1"/>
  <c r="BN215" i="1"/>
  <c r="AG243" i="1"/>
  <c r="S220" i="1"/>
  <c r="BM224" i="1"/>
  <c r="BN223" i="1"/>
  <c r="S204" i="1"/>
  <c r="S228" i="1"/>
  <c r="T228" i="1" s="1"/>
  <c r="U228" i="1" s="1"/>
  <c r="V228" i="1" s="1"/>
  <c r="BM226" i="1"/>
  <c r="S215" i="1"/>
  <c r="BK222" i="1"/>
  <c r="BP222" i="1" s="1"/>
  <c r="BQ222" i="1" s="1"/>
  <c r="BR222" i="1" s="1"/>
  <c r="BS222" i="1" s="1"/>
  <c r="S227" i="1"/>
  <c r="T227" i="1" s="1"/>
  <c r="U227" i="1" s="1"/>
  <c r="V227" i="1" s="1"/>
  <c r="S218" i="1"/>
  <c r="BK228" i="1"/>
  <c r="BK219" i="1"/>
  <c r="BN214" i="1"/>
  <c r="AB227" i="1"/>
  <c r="S217" i="1"/>
  <c r="BK205" i="1"/>
  <c r="BP205" i="1" s="1"/>
  <c r="BQ205" i="1" s="1"/>
  <c r="BR205" i="1" s="1"/>
  <c r="BS205" i="1" s="1"/>
  <c r="BK215" i="1"/>
  <c r="S211" i="1"/>
  <c r="S212" i="1"/>
  <c r="BN212" i="1"/>
  <c r="S206" i="1"/>
  <c r="BK213" i="1"/>
  <c r="BP213" i="1" s="1"/>
  <c r="BQ213" i="1" s="1"/>
  <c r="BR213" i="1" s="1"/>
  <c r="BS213" i="1" s="1"/>
  <c r="BM207" i="1"/>
  <c r="BM206" i="1"/>
  <c r="S214" i="1"/>
  <c r="S208" i="1"/>
  <c r="BN228" i="1"/>
  <c r="BM204" i="1"/>
  <c r="AD226" i="1"/>
  <c r="AF225" i="1"/>
  <c r="BM217" i="1"/>
  <c r="AB223" i="1"/>
  <c r="BN227" i="1"/>
  <c r="Z223" i="1"/>
  <c r="AH222" i="1"/>
  <c r="BM221" i="1"/>
  <c r="BM220" i="1"/>
  <c r="BK211" i="1"/>
  <c r="BP211" i="1" s="1"/>
  <c r="BQ211" i="1" s="1"/>
  <c r="BR211" i="1" s="1"/>
  <c r="BS211" i="1" s="1"/>
  <c r="AF222" i="1"/>
  <c r="S216" i="1"/>
  <c r="BK221" i="1"/>
  <c r="BP221" i="1" s="1"/>
  <c r="BQ221" i="1" s="1"/>
  <c r="BR221" i="1" s="1"/>
  <c r="BS221" i="1" s="1"/>
  <c r="BM213" i="1"/>
  <c r="BM211" i="1"/>
  <c r="BK227" i="1"/>
  <c r="S224" i="1"/>
  <c r="T224" i="1" s="1"/>
  <c r="U224" i="1" s="1"/>
  <c r="V224" i="1" s="1"/>
  <c r="S213" i="1"/>
  <c r="S210" i="1"/>
  <c r="BM205" i="1"/>
  <c r="S226" i="1"/>
  <c r="T226" i="1" s="1"/>
  <c r="U226" i="1" s="1"/>
  <c r="V226" i="1" s="1"/>
  <c r="BK217" i="1"/>
  <c r="BP217" i="1" s="1"/>
  <c r="BQ217" i="1" s="1"/>
  <c r="BR217" i="1" s="1"/>
  <c r="BS217" i="1" s="1"/>
  <c r="BM222" i="1"/>
  <c r="S222" i="1"/>
  <c r="T222" i="1" s="1"/>
  <c r="U222" i="1" s="1"/>
  <c r="V222" i="1" s="1"/>
  <c r="S225" i="1"/>
  <c r="T225" i="1" s="1"/>
  <c r="U225" i="1" s="1"/>
  <c r="V225" i="1" s="1"/>
  <c r="BK225" i="1"/>
  <c r="BK226" i="1"/>
  <c r="BP226" i="1" s="1"/>
  <c r="BQ226" i="1" s="1"/>
  <c r="BR226" i="1" s="1"/>
  <c r="BS226" i="1" s="1"/>
  <c r="AH226" i="1"/>
  <c r="AF223" i="1"/>
  <c r="BN216" i="1"/>
  <c r="BN210" i="1"/>
  <c r="BN208" i="1"/>
  <c r="BK224" i="1"/>
  <c r="BP224" i="1" s="1"/>
  <c r="BQ224" i="1" s="1"/>
  <c r="BR224" i="1" s="1"/>
  <c r="BS224" i="1" s="1"/>
  <c r="S223" i="1"/>
  <c r="T223" i="1" s="1"/>
  <c r="U223" i="1" s="1"/>
  <c r="V223" i="1" s="1"/>
  <c r="S221" i="1"/>
  <c r="T221" i="1" s="1"/>
  <c r="U221" i="1" s="1"/>
  <c r="V221" i="1" s="1"/>
  <c r="AD223" i="1"/>
  <c r="S219" i="1"/>
  <c r="S207" i="1"/>
  <c r="BK216" i="1"/>
  <c r="AH227" i="1"/>
  <c r="AD227" i="1"/>
  <c r="AF227" i="1"/>
  <c r="BK210" i="1"/>
  <c r="BK220" i="1"/>
  <c r="BP220" i="1" s="1"/>
  <c r="BQ220" i="1" s="1"/>
  <c r="BR220" i="1" s="1"/>
  <c r="BS220" i="1" s="1"/>
  <c r="BK209" i="1"/>
  <c r="BP209" i="1" s="1"/>
  <c r="BQ209" i="1" s="1"/>
  <c r="BR209" i="1" s="1"/>
  <c r="BS209" i="1" s="1"/>
  <c r="S209" i="1"/>
  <c r="Z228" i="1"/>
  <c r="AB228" i="1"/>
  <c r="AF228" i="1"/>
  <c r="AH228" i="1"/>
  <c r="BK223" i="1"/>
  <c r="AB221" i="1"/>
  <c r="BK208" i="1"/>
  <c r="BK204" i="1"/>
  <c r="BP204" i="1" s="1"/>
  <c r="BQ204" i="1" s="1"/>
  <c r="BR204" i="1" s="1"/>
  <c r="BS204" i="1" s="1"/>
  <c r="Z224" i="1"/>
  <c r="AB224" i="1"/>
  <c r="BK218" i="1"/>
  <c r="BP218" i="1" s="1"/>
  <c r="BQ218" i="1" s="1"/>
  <c r="BR218" i="1" s="1"/>
  <c r="BS218" i="1" s="1"/>
  <c r="BK207" i="1"/>
  <c r="BP207" i="1" s="1"/>
  <c r="BQ207" i="1" s="1"/>
  <c r="BR207" i="1" s="1"/>
  <c r="BS207" i="1" s="1"/>
  <c r="BK206" i="1"/>
  <c r="BP206" i="1" s="1"/>
  <c r="BQ206" i="1" s="1"/>
  <c r="BR206" i="1" s="1"/>
  <c r="BS206" i="1" s="1"/>
  <c r="Z222" i="1"/>
  <c r="AB222" i="1"/>
  <c r="AF221" i="1"/>
  <c r="AH225" i="1"/>
  <c r="Z225" i="1"/>
  <c r="AB225" i="1"/>
  <c r="AH224" i="1"/>
  <c r="AD221" i="1"/>
  <c r="BM225" i="1"/>
  <c r="BN225" i="1"/>
  <c r="AD224" i="1"/>
  <c r="Z221" i="1"/>
  <c r="BM219" i="1"/>
  <c r="BN219" i="1"/>
  <c r="S205" i="1"/>
  <c r="BK214" i="1"/>
  <c r="Z226" i="1"/>
  <c r="AB226" i="1"/>
  <c r="BK212" i="1"/>
  <c r="AL243" i="1"/>
  <c r="BP227" i="1" l="1"/>
  <c r="BQ227" i="1" s="1"/>
  <c r="BR227" i="1" s="1"/>
  <c r="BS227" i="1" s="1"/>
  <c r="T213" i="1"/>
  <c r="U213" i="1" s="1"/>
  <c r="V213" i="1" s="1"/>
  <c r="X213" i="1" s="1"/>
  <c r="T205" i="1"/>
  <c r="U205" i="1" s="1"/>
  <c r="V205" i="1" s="1"/>
  <c r="W205" i="1" s="1"/>
  <c r="X205" i="1" s="1"/>
  <c r="T212" i="1"/>
  <c r="U212" i="1" s="1"/>
  <c r="V212" i="1" s="1"/>
  <c r="W212" i="1" s="1"/>
  <c r="X212" i="1" s="1"/>
  <c r="T204" i="1"/>
  <c r="U204" i="1" s="1"/>
  <c r="V204" i="1" s="1"/>
  <c r="W204" i="1" s="1"/>
  <c r="X204" i="1" s="1"/>
  <c r="T220" i="1"/>
  <c r="U220" i="1" s="1"/>
  <c r="V220" i="1" s="1"/>
  <c r="W220" i="1" s="1"/>
  <c r="X220" i="1" s="1"/>
  <c r="T207" i="1"/>
  <c r="U207" i="1" s="1"/>
  <c r="V207" i="1" s="1"/>
  <c r="W207" i="1" s="1"/>
  <c r="X207" i="1" s="1"/>
  <c r="T208" i="1"/>
  <c r="U208" i="1" s="1"/>
  <c r="V208" i="1" s="1"/>
  <c r="W208" i="1" s="1"/>
  <c r="X208" i="1" s="1"/>
  <c r="T211" i="1"/>
  <c r="U211" i="1" s="1"/>
  <c r="V211" i="1" s="1"/>
  <c r="W211" i="1" s="1"/>
  <c r="X211" i="1" s="1"/>
  <c r="T215" i="1"/>
  <c r="U215" i="1" s="1"/>
  <c r="V215" i="1" s="1"/>
  <c r="W215" i="1" s="1"/>
  <c r="X215" i="1" s="1"/>
  <c r="T219" i="1"/>
  <c r="U219" i="1" s="1"/>
  <c r="V219" i="1" s="1"/>
  <c r="W219" i="1" s="1"/>
  <c r="X219" i="1" s="1"/>
  <c r="T209" i="1"/>
  <c r="U209" i="1" s="1"/>
  <c r="V209" i="1" s="1"/>
  <c r="W209" i="1" s="1"/>
  <c r="X209" i="1" s="1"/>
  <c r="T216" i="1"/>
  <c r="U216" i="1" s="1"/>
  <c r="V216" i="1" s="1"/>
  <c r="W216" i="1" s="1"/>
  <c r="X216" i="1" s="1"/>
  <c r="T214" i="1"/>
  <c r="U214" i="1" s="1"/>
  <c r="V214" i="1" s="1"/>
  <c r="W214" i="1" s="1"/>
  <c r="X214" i="1" s="1"/>
  <c r="T206" i="1"/>
  <c r="U206" i="1" s="1"/>
  <c r="V206" i="1" s="1"/>
  <c r="W206" i="1" s="1"/>
  <c r="X206" i="1" s="1"/>
  <c r="T218" i="1"/>
  <c r="U218" i="1" s="1"/>
  <c r="V218" i="1" s="1"/>
  <c r="W218" i="1" s="1"/>
  <c r="X218" i="1" s="1"/>
  <c r="T217" i="1"/>
  <c r="U217" i="1" s="1"/>
  <c r="V217" i="1" s="1"/>
  <c r="W217" i="1" s="1"/>
  <c r="X217" i="1" s="1"/>
  <c r="T210" i="1"/>
  <c r="U210" i="1" s="1"/>
  <c r="V210" i="1" s="1"/>
  <c r="W210" i="1" s="1"/>
  <c r="X210" i="1" s="1"/>
  <c r="BP215" i="1"/>
  <c r="BQ215" i="1" s="1"/>
  <c r="BR215" i="1" s="1"/>
  <c r="BS215" i="1" s="1"/>
  <c r="BT226" i="1"/>
  <c r="BP223" i="1"/>
  <c r="BQ223" i="1" s="1"/>
  <c r="BR223" i="1" s="1"/>
  <c r="BS223" i="1" s="1"/>
  <c r="BT223" i="1" s="1"/>
  <c r="BP210" i="1"/>
  <c r="BQ210" i="1" s="1"/>
  <c r="BR210" i="1" s="1"/>
  <c r="BS210" i="1" s="1"/>
  <c r="BP228" i="1"/>
  <c r="BQ228" i="1" s="1"/>
  <c r="BR228" i="1" s="1"/>
  <c r="BS228" i="1" s="1"/>
  <c r="BT228" i="1" s="1"/>
  <c r="BT227" i="1"/>
  <c r="BP212" i="1"/>
  <c r="BQ212" i="1" s="1"/>
  <c r="BR212" i="1" s="1"/>
  <c r="BS212" i="1" s="1"/>
  <c r="BP214" i="1"/>
  <c r="BQ214" i="1" s="1"/>
  <c r="BR214" i="1" s="1"/>
  <c r="BS214" i="1" s="1"/>
  <c r="BT221" i="1"/>
  <c r="BP219" i="1"/>
  <c r="BQ219" i="1" s="1"/>
  <c r="BR219" i="1" s="1"/>
  <c r="BS219" i="1" s="1"/>
  <c r="BP216" i="1"/>
  <c r="BQ216" i="1" s="1"/>
  <c r="BR216" i="1" s="1"/>
  <c r="BS216" i="1" s="1"/>
  <c r="AJ227" i="1"/>
  <c r="AK227" i="1" s="1"/>
  <c r="AJ223" i="1"/>
  <c r="AK223" i="1" s="1"/>
  <c r="BT224" i="1"/>
  <c r="BP225" i="1"/>
  <c r="BQ225" i="1" s="1"/>
  <c r="BR225" i="1" s="1"/>
  <c r="BS225" i="1" s="1"/>
  <c r="BT225" i="1" s="1"/>
  <c r="BT222" i="1"/>
  <c r="BP208" i="1"/>
  <c r="BQ208" i="1" s="1"/>
  <c r="BR208" i="1" s="1"/>
  <c r="BS208" i="1" s="1"/>
  <c r="AJ224" i="1"/>
  <c r="AJ226" i="1"/>
  <c r="AJ222" i="1"/>
  <c r="AJ221" i="1"/>
  <c r="AJ225" i="1"/>
  <c r="AJ228" i="1"/>
  <c r="BW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E243" i="1"/>
  <c r="AC243" i="1"/>
  <c r="AA243" i="1"/>
  <c r="Y243" i="1"/>
  <c r="R243" i="1"/>
  <c r="M243" i="1"/>
  <c r="L243" i="1"/>
  <c r="K243" i="1"/>
  <c r="B243" i="1"/>
  <c r="BO242" i="1"/>
  <c r="BL242" i="1"/>
  <c r="BN242" i="1" s="1"/>
  <c r="BJ242" i="1"/>
  <c r="X242" i="1"/>
  <c r="AH242" i="1" s="1"/>
  <c r="Q242" i="1"/>
  <c r="P242" i="1"/>
  <c r="N242" i="1"/>
  <c r="BO241" i="1"/>
  <c r="BL241" i="1"/>
  <c r="BJ241" i="1"/>
  <c r="AI243" i="1"/>
  <c r="X241" i="1"/>
  <c r="Q241" i="1"/>
  <c r="P241" i="1"/>
  <c r="N241" i="1"/>
  <c r="BO240" i="1"/>
  <c r="BL240" i="1"/>
  <c r="BN240" i="1" s="1"/>
  <c r="BJ240" i="1"/>
  <c r="Q240" i="1"/>
  <c r="P240" i="1"/>
  <c r="N240" i="1"/>
  <c r="BO239" i="1"/>
  <c r="BL239" i="1"/>
  <c r="BM239" i="1" s="1"/>
  <c r="BJ239" i="1"/>
  <c r="X239" i="1"/>
  <c r="Q239" i="1"/>
  <c r="P239" i="1"/>
  <c r="N239" i="1"/>
  <c r="BO238" i="1"/>
  <c r="BL238" i="1"/>
  <c r="BN238" i="1" s="1"/>
  <c r="BJ238" i="1"/>
  <c r="Q238" i="1"/>
  <c r="P238" i="1"/>
  <c r="N238" i="1"/>
  <c r="BO237" i="1"/>
  <c r="BL237" i="1"/>
  <c r="BJ237" i="1"/>
  <c r="Q237" i="1"/>
  <c r="P237" i="1"/>
  <c r="N237" i="1"/>
  <c r="BO236" i="1"/>
  <c r="BL236" i="1"/>
  <c r="BN236" i="1" s="1"/>
  <c r="BJ236" i="1"/>
  <c r="X236" i="1"/>
  <c r="AH236" i="1" s="1"/>
  <c r="Q236" i="1"/>
  <c r="P236" i="1"/>
  <c r="N236" i="1"/>
  <c r="BO235" i="1"/>
  <c r="BL235" i="1"/>
  <c r="BJ235" i="1"/>
  <c r="X235" i="1"/>
  <c r="Q235" i="1"/>
  <c r="P235" i="1"/>
  <c r="N235" i="1"/>
  <c r="BO234" i="1"/>
  <c r="BL234" i="1"/>
  <c r="BM234" i="1" s="1"/>
  <c r="BJ234" i="1"/>
  <c r="X234" i="1"/>
  <c r="Z234" i="1" s="1"/>
  <c r="Q234" i="1"/>
  <c r="P234" i="1"/>
  <c r="N234" i="1"/>
  <c r="BO233" i="1"/>
  <c r="BL233" i="1"/>
  <c r="BJ233" i="1"/>
  <c r="X233" i="1"/>
  <c r="Z233" i="1" s="1"/>
  <c r="Q233" i="1"/>
  <c r="P233" i="1"/>
  <c r="N233" i="1"/>
  <c r="BO232" i="1"/>
  <c r="BL232" i="1"/>
  <c r="BN232" i="1" s="1"/>
  <c r="BJ232" i="1"/>
  <c r="X232" i="1"/>
  <c r="AF232" i="1" s="1"/>
  <c r="Q232" i="1"/>
  <c r="P232" i="1"/>
  <c r="N232" i="1"/>
  <c r="BO231" i="1"/>
  <c r="BL231" i="1"/>
  <c r="BM231" i="1" s="1"/>
  <c r="BJ231" i="1"/>
  <c r="X231" i="1"/>
  <c r="AH231" i="1" s="1"/>
  <c r="Q231" i="1"/>
  <c r="P231" i="1"/>
  <c r="N231" i="1"/>
  <c r="BO230" i="1"/>
  <c r="BL230" i="1"/>
  <c r="BN230" i="1" s="1"/>
  <c r="BJ230" i="1"/>
  <c r="X230" i="1"/>
  <c r="Q230" i="1"/>
  <c r="P230" i="1"/>
  <c r="N230" i="1"/>
  <c r="BO229" i="1"/>
  <c r="BL229" i="1"/>
  <c r="BN229" i="1" s="1"/>
  <c r="BJ229" i="1"/>
  <c r="X229" i="1"/>
  <c r="AD229" i="1" s="1"/>
  <c r="Q229" i="1"/>
  <c r="P229" i="1"/>
  <c r="N229" i="1"/>
  <c r="BO203" i="1"/>
  <c r="BL203" i="1"/>
  <c r="BN203" i="1" s="1"/>
  <c r="BJ203" i="1"/>
  <c r="Q203" i="1"/>
  <c r="P203" i="1"/>
  <c r="N203" i="1"/>
  <c r="BO202" i="1"/>
  <c r="BL202" i="1"/>
  <c r="BM202" i="1" s="1"/>
  <c r="BJ202" i="1"/>
  <c r="Q202" i="1"/>
  <c r="P202" i="1"/>
  <c r="N202" i="1"/>
  <c r="BO201" i="1"/>
  <c r="BL201" i="1"/>
  <c r="BM201" i="1" s="1"/>
  <c r="BJ201" i="1"/>
  <c r="Q201" i="1"/>
  <c r="P201" i="1"/>
  <c r="N201" i="1"/>
  <c r="BO200" i="1"/>
  <c r="BL200" i="1"/>
  <c r="BJ200" i="1"/>
  <c r="Q200" i="1"/>
  <c r="P200" i="1"/>
  <c r="N200" i="1"/>
  <c r="BO199" i="1"/>
  <c r="BL199" i="1"/>
  <c r="BN199" i="1" s="1"/>
  <c r="BJ199" i="1"/>
  <c r="Q199" i="1"/>
  <c r="P199" i="1"/>
  <c r="N199" i="1"/>
  <c r="BO198" i="1"/>
  <c r="BL198" i="1"/>
  <c r="BM198" i="1" s="1"/>
  <c r="BJ198" i="1"/>
  <c r="Q198" i="1"/>
  <c r="P198" i="1"/>
  <c r="N198" i="1"/>
  <c r="BO197" i="1"/>
  <c r="BL197" i="1"/>
  <c r="BM197" i="1" s="1"/>
  <c r="BJ197" i="1"/>
  <c r="Q197" i="1"/>
  <c r="P197" i="1"/>
  <c r="N197" i="1"/>
  <c r="BO196" i="1"/>
  <c r="BL196" i="1"/>
  <c r="BM196" i="1" s="1"/>
  <c r="BJ196" i="1"/>
  <c r="Q196" i="1"/>
  <c r="P196" i="1"/>
  <c r="N196" i="1"/>
  <c r="BO195" i="1"/>
  <c r="BL195" i="1"/>
  <c r="BN195" i="1" s="1"/>
  <c r="BJ195" i="1"/>
  <c r="Q195" i="1"/>
  <c r="P195" i="1"/>
  <c r="N195" i="1"/>
  <c r="BO194" i="1"/>
  <c r="BL194" i="1"/>
  <c r="BM194" i="1" s="1"/>
  <c r="BJ194" i="1"/>
  <c r="Q194" i="1"/>
  <c r="P194" i="1"/>
  <c r="N194" i="1"/>
  <c r="BO193" i="1"/>
  <c r="BL193" i="1"/>
  <c r="BJ193" i="1"/>
  <c r="Q193" i="1"/>
  <c r="P193" i="1"/>
  <c r="N193" i="1"/>
  <c r="BO192" i="1"/>
  <c r="BL192" i="1"/>
  <c r="BJ192" i="1"/>
  <c r="Q192" i="1"/>
  <c r="P192" i="1"/>
  <c r="N192" i="1"/>
  <c r="BO191" i="1"/>
  <c r="BL191" i="1"/>
  <c r="BN191" i="1" s="1"/>
  <c r="BJ191" i="1"/>
  <c r="Q191" i="1"/>
  <c r="P191" i="1"/>
  <c r="N191" i="1"/>
  <c r="BO190" i="1"/>
  <c r="BL190" i="1"/>
  <c r="BJ190" i="1"/>
  <c r="Q190" i="1"/>
  <c r="P190" i="1"/>
  <c r="N190" i="1"/>
  <c r="BO189" i="1"/>
  <c r="BL189" i="1"/>
  <c r="BJ189" i="1"/>
  <c r="Q189" i="1"/>
  <c r="P189" i="1"/>
  <c r="N189" i="1"/>
  <c r="BO188" i="1"/>
  <c r="BL188" i="1"/>
  <c r="BJ188" i="1"/>
  <c r="Q188" i="1"/>
  <c r="P188" i="1"/>
  <c r="N188" i="1"/>
  <c r="BO187" i="1"/>
  <c r="BL187" i="1"/>
  <c r="BJ187" i="1"/>
  <c r="Q187" i="1"/>
  <c r="P187" i="1"/>
  <c r="N187" i="1"/>
  <c r="BO186" i="1"/>
  <c r="BL186" i="1"/>
  <c r="BM186" i="1" s="1"/>
  <c r="BJ186" i="1"/>
  <c r="Q186" i="1"/>
  <c r="P186" i="1"/>
  <c r="N186" i="1"/>
  <c r="BO185" i="1"/>
  <c r="BL185" i="1"/>
  <c r="BM185" i="1" s="1"/>
  <c r="BJ185" i="1"/>
  <c r="Q185" i="1"/>
  <c r="P185" i="1"/>
  <c r="N185" i="1"/>
  <c r="BO184" i="1"/>
  <c r="BL184" i="1"/>
  <c r="BJ184" i="1"/>
  <c r="Q184" i="1"/>
  <c r="P184" i="1"/>
  <c r="N184" i="1"/>
  <c r="BO183" i="1"/>
  <c r="BL183" i="1"/>
  <c r="BJ183" i="1"/>
  <c r="Q183" i="1"/>
  <c r="P183" i="1"/>
  <c r="N183" i="1"/>
  <c r="BO182" i="1"/>
  <c r="BL182" i="1"/>
  <c r="BJ182" i="1"/>
  <c r="Q182" i="1"/>
  <c r="P182" i="1"/>
  <c r="N182" i="1"/>
  <c r="BO181" i="1"/>
  <c r="BL181" i="1"/>
  <c r="BM181" i="1" s="1"/>
  <c r="BJ181" i="1"/>
  <c r="Q181" i="1"/>
  <c r="P181" i="1"/>
  <c r="N181" i="1"/>
  <c r="BO180" i="1"/>
  <c r="BL180" i="1"/>
  <c r="BM180" i="1" s="1"/>
  <c r="BJ180" i="1"/>
  <c r="Q180" i="1"/>
  <c r="P180" i="1"/>
  <c r="N180" i="1"/>
  <c r="BO179" i="1"/>
  <c r="BL179" i="1"/>
  <c r="BJ179" i="1"/>
  <c r="Q179" i="1"/>
  <c r="P179" i="1"/>
  <c r="N179" i="1"/>
  <c r="BO178" i="1"/>
  <c r="BL178" i="1"/>
  <c r="BN178" i="1" s="1"/>
  <c r="BJ178" i="1"/>
  <c r="Q178" i="1"/>
  <c r="P178" i="1"/>
  <c r="N178" i="1"/>
  <c r="BO177" i="1"/>
  <c r="BL177" i="1"/>
  <c r="BM177" i="1" s="1"/>
  <c r="BJ177" i="1"/>
  <c r="Q177" i="1"/>
  <c r="P177" i="1"/>
  <c r="N177" i="1"/>
  <c r="BO176" i="1"/>
  <c r="BL176" i="1"/>
  <c r="BM176" i="1" s="1"/>
  <c r="BJ176" i="1"/>
  <c r="Q176" i="1"/>
  <c r="P176" i="1"/>
  <c r="N176" i="1"/>
  <c r="BO175" i="1"/>
  <c r="BL175" i="1"/>
  <c r="BN175" i="1" s="1"/>
  <c r="BJ175" i="1"/>
  <c r="Q175" i="1"/>
  <c r="P175" i="1"/>
  <c r="N175" i="1"/>
  <c r="BO174" i="1"/>
  <c r="BL174" i="1"/>
  <c r="BJ174" i="1"/>
  <c r="Q174" i="1"/>
  <c r="P174" i="1"/>
  <c r="N174" i="1"/>
  <c r="BO173" i="1"/>
  <c r="BL173" i="1"/>
  <c r="BJ173" i="1"/>
  <c r="Q173" i="1"/>
  <c r="P173" i="1"/>
  <c r="N173" i="1"/>
  <c r="BO172" i="1"/>
  <c r="BL172" i="1"/>
  <c r="BJ172" i="1"/>
  <c r="Q172" i="1"/>
  <c r="P172" i="1"/>
  <c r="N172" i="1"/>
  <c r="BO171" i="1"/>
  <c r="BL171" i="1"/>
  <c r="BN171" i="1" s="1"/>
  <c r="BJ171" i="1"/>
  <c r="Q171" i="1"/>
  <c r="P171" i="1"/>
  <c r="N171" i="1"/>
  <c r="BO170" i="1"/>
  <c r="BL170" i="1"/>
  <c r="BJ170" i="1"/>
  <c r="Q170" i="1"/>
  <c r="P170" i="1"/>
  <c r="N170" i="1"/>
  <c r="BO169" i="1"/>
  <c r="BL169" i="1"/>
  <c r="BJ169" i="1"/>
  <c r="Q169" i="1"/>
  <c r="P169" i="1"/>
  <c r="N169" i="1"/>
  <c r="BO168" i="1"/>
  <c r="BL168" i="1"/>
  <c r="BJ168" i="1"/>
  <c r="Q168" i="1"/>
  <c r="P168" i="1"/>
  <c r="N168" i="1"/>
  <c r="BO167" i="1"/>
  <c r="BL167" i="1"/>
  <c r="BJ167" i="1"/>
  <c r="Q167" i="1"/>
  <c r="P167" i="1"/>
  <c r="N167" i="1"/>
  <c r="BO166" i="1"/>
  <c r="BL166" i="1"/>
  <c r="BM166" i="1" s="1"/>
  <c r="BJ166" i="1"/>
  <c r="Q166" i="1"/>
  <c r="P166" i="1"/>
  <c r="N166" i="1"/>
  <c r="BO165" i="1"/>
  <c r="BL165" i="1"/>
  <c r="BJ165" i="1"/>
  <c r="Q165" i="1"/>
  <c r="P165" i="1"/>
  <c r="N165" i="1"/>
  <c r="BO164" i="1"/>
  <c r="BL164" i="1"/>
  <c r="BM164" i="1" s="1"/>
  <c r="BJ164" i="1"/>
  <c r="Q164" i="1"/>
  <c r="P164" i="1"/>
  <c r="N164" i="1"/>
  <c r="BO163" i="1"/>
  <c r="BL163" i="1"/>
  <c r="BJ163" i="1"/>
  <c r="Q163" i="1"/>
  <c r="P163" i="1"/>
  <c r="N163" i="1"/>
  <c r="BO162" i="1"/>
  <c r="BL162" i="1"/>
  <c r="BM162" i="1" s="1"/>
  <c r="BJ162" i="1"/>
  <c r="Q162" i="1"/>
  <c r="P162" i="1"/>
  <c r="N162" i="1"/>
  <c r="BO161" i="1"/>
  <c r="BL161" i="1"/>
  <c r="BM161" i="1" s="1"/>
  <c r="BJ161" i="1"/>
  <c r="Q161" i="1"/>
  <c r="P161" i="1"/>
  <c r="N161" i="1"/>
  <c r="BO160" i="1"/>
  <c r="BL160" i="1"/>
  <c r="BJ160" i="1"/>
  <c r="Q160" i="1"/>
  <c r="P160" i="1"/>
  <c r="N160" i="1"/>
  <c r="BO159" i="1"/>
  <c r="BL159" i="1"/>
  <c r="BJ159" i="1"/>
  <c r="Q159" i="1"/>
  <c r="P159" i="1"/>
  <c r="N159" i="1"/>
  <c r="BO158" i="1"/>
  <c r="BL158" i="1"/>
  <c r="BJ158" i="1"/>
  <c r="Q158" i="1"/>
  <c r="P158" i="1"/>
  <c r="N158" i="1"/>
  <c r="BO157" i="1"/>
  <c r="BL157" i="1"/>
  <c r="BN157" i="1" s="1"/>
  <c r="BJ157" i="1"/>
  <c r="Q157" i="1"/>
  <c r="P157" i="1"/>
  <c r="N157" i="1"/>
  <c r="BO156" i="1"/>
  <c r="BL156" i="1"/>
  <c r="BJ156" i="1"/>
  <c r="Q156" i="1"/>
  <c r="P156" i="1"/>
  <c r="N156" i="1"/>
  <c r="BO155" i="1"/>
  <c r="BL155" i="1"/>
  <c r="BM155" i="1" s="1"/>
  <c r="BJ155" i="1"/>
  <c r="Q155" i="1"/>
  <c r="P155" i="1"/>
  <c r="N155" i="1"/>
  <c r="BO154" i="1"/>
  <c r="BL154" i="1"/>
  <c r="BJ154" i="1"/>
  <c r="Q154" i="1"/>
  <c r="P154" i="1"/>
  <c r="N154" i="1"/>
  <c r="BO153" i="1"/>
  <c r="BL153" i="1"/>
  <c r="BJ153" i="1"/>
  <c r="Q153" i="1"/>
  <c r="P153" i="1"/>
  <c r="N153" i="1"/>
  <c r="BO152" i="1"/>
  <c r="BL152" i="1"/>
  <c r="BM152" i="1" s="1"/>
  <c r="BJ152" i="1"/>
  <c r="Q152" i="1"/>
  <c r="P152" i="1"/>
  <c r="N152" i="1"/>
  <c r="BO151" i="1"/>
  <c r="BL151" i="1"/>
  <c r="BM151" i="1" s="1"/>
  <c r="BJ151" i="1"/>
  <c r="Q151" i="1"/>
  <c r="P151" i="1"/>
  <c r="N151" i="1"/>
  <c r="BO150" i="1"/>
  <c r="BL150" i="1"/>
  <c r="BJ150" i="1"/>
  <c r="Q150" i="1"/>
  <c r="P150" i="1"/>
  <c r="N150" i="1"/>
  <c r="BO149" i="1"/>
  <c r="BL149" i="1"/>
  <c r="BN149" i="1" s="1"/>
  <c r="BJ149" i="1"/>
  <c r="Q149" i="1"/>
  <c r="P149" i="1"/>
  <c r="N149" i="1"/>
  <c r="BO148" i="1"/>
  <c r="BL148" i="1"/>
  <c r="BJ148" i="1"/>
  <c r="Q148" i="1"/>
  <c r="P148" i="1"/>
  <c r="N148" i="1"/>
  <c r="BO147" i="1"/>
  <c r="BL147" i="1"/>
  <c r="BJ147" i="1"/>
  <c r="Q147" i="1"/>
  <c r="P147" i="1"/>
  <c r="N147" i="1"/>
  <c r="BO146" i="1"/>
  <c r="BL146" i="1"/>
  <c r="BJ146" i="1"/>
  <c r="Q146" i="1"/>
  <c r="P146" i="1"/>
  <c r="N146" i="1"/>
  <c r="BO145" i="1"/>
  <c r="BL145" i="1"/>
  <c r="BN145" i="1" s="1"/>
  <c r="BJ145" i="1"/>
  <c r="Q145" i="1"/>
  <c r="P145" i="1"/>
  <c r="N145" i="1"/>
  <c r="BO144" i="1"/>
  <c r="BL144" i="1"/>
  <c r="BJ144" i="1"/>
  <c r="Q144" i="1"/>
  <c r="P144" i="1"/>
  <c r="N144" i="1"/>
  <c r="BO143" i="1"/>
  <c r="BL143" i="1"/>
  <c r="BJ143" i="1"/>
  <c r="Q143" i="1"/>
  <c r="P143" i="1"/>
  <c r="N143" i="1"/>
  <c r="BO142" i="1"/>
  <c r="BL142" i="1"/>
  <c r="BJ142" i="1"/>
  <c r="Q142" i="1"/>
  <c r="P142" i="1"/>
  <c r="N142" i="1"/>
  <c r="BO141" i="1"/>
  <c r="BL141" i="1"/>
  <c r="BN141" i="1" s="1"/>
  <c r="BJ141" i="1"/>
  <c r="Q141" i="1"/>
  <c r="P141" i="1"/>
  <c r="N141" i="1"/>
  <c r="BO140" i="1"/>
  <c r="BL140" i="1"/>
  <c r="BJ140" i="1"/>
  <c r="Q140" i="1"/>
  <c r="P140" i="1"/>
  <c r="N140" i="1"/>
  <c r="BO139" i="1"/>
  <c r="BL139" i="1"/>
  <c r="BJ139" i="1"/>
  <c r="Q139" i="1"/>
  <c r="P139" i="1"/>
  <c r="N139" i="1"/>
  <c r="BO138" i="1"/>
  <c r="BL138" i="1"/>
  <c r="BM138" i="1" s="1"/>
  <c r="BJ138" i="1"/>
  <c r="Q138" i="1"/>
  <c r="P138" i="1"/>
  <c r="N138" i="1"/>
  <c r="BO137" i="1"/>
  <c r="BL137" i="1"/>
  <c r="BJ137" i="1"/>
  <c r="Q137" i="1"/>
  <c r="P137" i="1"/>
  <c r="N137" i="1"/>
  <c r="BO136" i="1"/>
  <c r="BL136" i="1"/>
  <c r="BJ136" i="1"/>
  <c r="Q136" i="1"/>
  <c r="P136" i="1"/>
  <c r="N136" i="1"/>
  <c r="BO135" i="1"/>
  <c r="BL135" i="1"/>
  <c r="BN135" i="1" s="1"/>
  <c r="BJ135" i="1"/>
  <c r="Q135" i="1"/>
  <c r="P135" i="1"/>
  <c r="N135" i="1"/>
  <c r="BO134" i="1"/>
  <c r="BL134" i="1"/>
  <c r="BM134" i="1" s="1"/>
  <c r="BJ134" i="1"/>
  <c r="Q134" i="1"/>
  <c r="P134" i="1"/>
  <c r="N134" i="1"/>
  <c r="BO133" i="1"/>
  <c r="BL133" i="1"/>
  <c r="BM133" i="1" s="1"/>
  <c r="BJ133" i="1"/>
  <c r="Q133" i="1"/>
  <c r="P133" i="1"/>
  <c r="N133" i="1"/>
  <c r="BO132" i="1"/>
  <c r="BL132" i="1"/>
  <c r="BJ132" i="1"/>
  <c r="Q132" i="1"/>
  <c r="P132" i="1"/>
  <c r="N132" i="1"/>
  <c r="BO131" i="1"/>
  <c r="BL131" i="1"/>
  <c r="BJ131" i="1"/>
  <c r="Q131" i="1"/>
  <c r="P131" i="1"/>
  <c r="N131" i="1"/>
  <c r="BO130" i="1"/>
  <c r="BL130" i="1"/>
  <c r="BJ130" i="1"/>
  <c r="Q130" i="1"/>
  <c r="P130" i="1"/>
  <c r="N130" i="1"/>
  <c r="BO129" i="1"/>
  <c r="BL129" i="1"/>
  <c r="BM129" i="1" s="1"/>
  <c r="BJ129" i="1"/>
  <c r="Q129" i="1"/>
  <c r="P129" i="1"/>
  <c r="N129" i="1"/>
  <c r="BO128" i="1"/>
  <c r="BL128" i="1"/>
  <c r="BN128" i="1" s="1"/>
  <c r="BJ128" i="1"/>
  <c r="Q128" i="1"/>
  <c r="P128" i="1"/>
  <c r="N128" i="1"/>
  <c r="BO127" i="1"/>
  <c r="BL127" i="1"/>
  <c r="BJ127" i="1"/>
  <c r="Q127" i="1"/>
  <c r="P127" i="1"/>
  <c r="N127" i="1"/>
  <c r="BO126" i="1"/>
  <c r="BL126" i="1"/>
  <c r="BJ126" i="1"/>
  <c r="Q126" i="1"/>
  <c r="P126" i="1"/>
  <c r="N126" i="1"/>
  <c r="BO125" i="1"/>
  <c r="BL125" i="1"/>
  <c r="BJ125" i="1"/>
  <c r="Q125" i="1"/>
  <c r="P125" i="1"/>
  <c r="N125" i="1"/>
  <c r="BO124" i="1"/>
  <c r="BL124" i="1"/>
  <c r="BN124" i="1" s="1"/>
  <c r="BJ124" i="1"/>
  <c r="Q124" i="1"/>
  <c r="P124" i="1"/>
  <c r="N124" i="1"/>
  <c r="BO123" i="1"/>
  <c r="BL123" i="1"/>
  <c r="BM123" i="1" s="1"/>
  <c r="BJ123" i="1"/>
  <c r="Q123" i="1"/>
  <c r="P123" i="1"/>
  <c r="N123" i="1"/>
  <c r="BO122" i="1"/>
  <c r="BL122" i="1"/>
  <c r="BN122" i="1" s="1"/>
  <c r="BJ122" i="1"/>
  <c r="Q122" i="1"/>
  <c r="P122" i="1"/>
  <c r="N122" i="1"/>
  <c r="BO121" i="1"/>
  <c r="BL121" i="1"/>
  <c r="BJ121" i="1"/>
  <c r="Q121" i="1"/>
  <c r="P121" i="1"/>
  <c r="N121" i="1"/>
  <c r="BO120" i="1"/>
  <c r="BL120" i="1"/>
  <c r="BJ120" i="1"/>
  <c r="Q120" i="1"/>
  <c r="P120" i="1"/>
  <c r="N120" i="1"/>
  <c r="BO119" i="1"/>
  <c r="BL119" i="1"/>
  <c r="BM119" i="1" s="1"/>
  <c r="BJ119" i="1"/>
  <c r="Q119" i="1"/>
  <c r="P119" i="1"/>
  <c r="N119" i="1"/>
  <c r="BO118" i="1"/>
  <c r="BL118" i="1"/>
  <c r="BN118" i="1" s="1"/>
  <c r="BJ118" i="1"/>
  <c r="Q118" i="1"/>
  <c r="P118" i="1"/>
  <c r="N118" i="1"/>
  <c r="BO117" i="1"/>
  <c r="BL117" i="1"/>
  <c r="BJ117" i="1"/>
  <c r="Q117" i="1"/>
  <c r="P117" i="1"/>
  <c r="N117" i="1"/>
  <c r="BO116" i="1"/>
  <c r="BL116" i="1"/>
  <c r="BJ116" i="1"/>
  <c r="Q116" i="1"/>
  <c r="P116" i="1"/>
  <c r="N116" i="1"/>
  <c r="BO115" i="1"/>
  <c r="BL115" i="1"/>
  <c r="BM115" i="1" s="1"/>
  <c r="BJ115" i="1"/>
  <c r="Q115" i="1"/>
  <c r="P115" i="1"/>
  <c r="N115" i="1"/>
  <c r="BO114" i="1"/>
  <c r="BL114" i="1"/>
  <c r="BJ114" i="1"/>
  <c r="Q114" i="1"/>
  <c r="P114" i="1"/>
  <c r="N114" i="1"/>
  <c r="BO113" i="1"/>
  <c r="BL113" i="1"/>
  <c r="BJ113" i="1"/>
  <c r="Q113" i="1"/>
  <c r="P113" i="1"/>
  <c r="N113" i="1"/>
  <c r="BO112" i="1"/>
  <c r="BL112" i="1"/>
  <c r="BJ112" i="1"/>
  <c r="Q112" i="1"/>
  <c r="P112" i="1"/>
  <c r="N112" i="1"/>
  <c r="BO111" i="1"/>
  <c r="BL111" i="1"/>
  <c r="BM111" i="1" s="1"/>
  <c r="BJ111" i="1"/>
  <c r="Q111" i="1"/>
  <c r="P111" i="1"/>
  <c r="N111" i="1"/>
  <c r="BO110" i="1"/>
  <c r="BL110" i="1"/>
  <c r="BN110" i="1" s="1"/>
  <c r="BJ110" i="1"/>
  <c r="Q110" i="1"/>
  <c r="P110" i="1"/>
  <c r="N110" i="1"/>
  <c r="BO109" i="1"/>
  <c r="BL109" i="1"/>
  <c r="BM109" i="1" s="1"/>
  <c r="BJ109" i="1"/>
  <c r="Q109" i="1"/>
  <c r="P109" i="1"/>
  <c r="N109" i="1"/>
  <c r="BO108" i="1"/>
  <c r="BL108" i="1"/>
  <c r="BJ108" i="1"/>
  <c r="Q108" i="1"/>
  <c r="P108" i="1"/>
  <c r="N108" i="1"/>
  <c r="BO107" i="1"/>
  <c r="BL107" i="1"/>
  <c r="BM107" i="1" s="1"/>
  <c r="BJ107" i="1"/>
  <c r="Q107" i="1"/>
  <c r="P107" i="1"/>
  <c r="N107" i="1"/>
  <c r="BO106" i="1"/>
  <c r="BL106" i="1"/>
  <c r="BN106" i="1" s="1"/>
  <c r="BJ106" i="1"/>
  <c r="Q106" i="1"/>
  <c r="P106" i="1"/>
  <c r="N106" i="1"/>
  <c r="BO105" i="1"/>
  <c r="BL105" i="1"/>
  <c r="BJ105" i="1"/>
  <c r="Q105" i="1"/>
  <c r="P105" i="1"/>
  <c r="N105" i="1"/>
  <c r="BO104" i="1"/>
  <c r="BL104" i="1"/>
  <c r="BN104" i="1" s="1"/>
  <c r="BJ104" i="1"/>
  <c r="Q104" i="1"/>
  <c r="P104" i="1"/>
  <c r="N104" i="1"/>
  <c r="BO103" i="1"/>
  <c r="BL103" i="1"/>
  <c r="BJ103" i="1"/>
  <c r="Q103" i="1"/>
  <c r="P103" i="1"/>
  <c r="N103" i="1"/>
  <c r="BO102" i="1"/>
  <c r="BJ102" i="1"/>
  <c r="O102" i="1"/>
  <c r="BL102" i="1" s="1"/>
  <c r="N102" i="1"/>
  <c r="BO101" i="1"/>
  <c r="BL101" i="1"/>
  <c r="BN101" i="1" s="1"/>
  <c r="BJ101" i="1"/>
  <c r="Q101" i="1"/>
  <c r="P101" i="1"/>
  <c r="N101" i="1"/>
  <c r="BO100" i="1"/>
  <c r="BJ100" i="1"/>
  <c r="O100" i="1"/>
  <c r="BL100" i="1" s="1"/>
  <c r="BN100" i="1" s="1"/>
  <c r="N100" i="1"/>
  <c r="BO99" i="1"/>
  <c r="BL99" i="1"/>
  <c r="BJ99" i="1"/>
  <c r="Q99" i="1"/>
  <c r="P99" i="1"/>
  <c r="N99" i="1"/>
  <c r="BO98" i="1"/>
  <c r="BJ98" i="1"/>
  <c r="O98" i="1"/>
  <c r="N98" i="1"/>
  <c r="BO97" i="1"/>
  <c r="BJ97" i="1"/>
  <c r="O97" i="1"/>
  <c r="BL97" i="1" s="1"/>
  <c r="BN97" i="1" s="1"/>
  <c r="N97" i="1"/>
  <c r="BO96" i="1"/>
  <c r="BL96" i="1"/>
  <c r="BN96" i="1" s="1"/>
  <c r="BJ96" i="1"/>
  <c r="Q96" i="1"/>
  <c r="P96" i="1"/>
  <c r="N96" i="1"/>
  <c r="BO95" i="1"/>
  <c r="BL95" i="1"/>
  <c r="BJ95" i="1"/>
  <c r="Q95" i="1"/>
  <c r="P95" i="1"/>
  <c r="N95" i="1"/>
  <c r="BO94" i="1"/>
  <c r="BL94" i="1"/>
  <c r="BN94" i="1" s="1"/>
  <c r="BJ94" i="1"/>
  <c r="Q94" i="1"/>
  <c r="P94" i="1"/>
  <c r="N94" i="1"/>
  <c r="BO93" i="1"/>
  <c r="BJ93" i="1"/>
  <c r="O93" i="1"/>
  <c r="N93" i="1"/>
  <c r="BO92" i="1"/>
  <c r="BL92" i="1"/>
  <c r="BM92" i="1" s="1"/>
  <c r="BJ92" i="1"/>
  <c r="Q92" i="1"/>
  <c r="P92" i="1"/>
  <c r="N92" i="1"/>
  <c r="BO91" i="1"/>
  <c r="BL91" i="1"/>
  <c r="BJ91" i="1"/>
  <c r="Q91" i="1"/>
  <c r="P91" i="1"/>
  <c r="N91" i="1"/>
  <c r="BO90" i="1"/>
  <c r="BL90" i="1"/>
  <c r="BJ90" i="1"/>
  <c r="Q90" i="1"/>
  <c r="P90" i="1"/>
  <c r="N90" i="1"/>
  <c r="BO89" i="1"/>
  <c r="BL89" i="1"/>
  <c r="BN89" i="1" s="1"/>
  <c r="BJ89" i="1"/>
  <c r="Q89" i="1"/>
  <c r="P89" i="1"/>
  <c r="N89" i="1"/>
  <c r="BO88" i="1"/>
  <c r="BL88" i="1"/>
  <c r="BM88" i="1" s="1"/>
  <c r="BJ88" i="1"/>
  <c r="Q88" i="1"/>
  <c r="P88" i="1"/>
  <c r="N88" i="1"/>
  <c r="BO87" i="1"/>
  <c r="BL87" i="1"/>
  <c r="BN87" i="1" s="1"/>
  <c r="BJ87" i="1"/>
  <c r="Q87" i="1"/>
  <c r="P87" i="1"/>
  <c r="N87" i="1"/>
  <c r="BO86" i="1"/>
  <c r="BL86" i="1"/>
  <c r="BJ86" i="1"/>
  <c r="Q86" i="1"/>
  <c r="P86" i="1"/>
  <c r="N86" i="1"/>
  <c r="BO85" i="1"/>
  <c r="BL85" i="1"/>
  <c r="BJ85" i="1"/>
  <c r="Q85" i="1"/>
  <c r="P85" i="1"/>
  <c r="N85" i="1"/>
  <c r="BO84" i="1"/>
  <c r="BL84" i="1"/>
  <c r="BJ84" i="1"/>
  <c r="Q84" i="1"/>
  <c r="P84" i="1"/>
  <c r="N84" i="1"/>
  <c r="BO83" i="1"/>
  <c r="BL83" i="1"/>
  <c r="BN83" i="1" s="1"/>
  <c r="BJ83" i="1"/>
  <c r="Q83" i="1"/>
  <c r="P83" i="1"/>
  <c r="N83" i="1"/>
  <c r="BO82" i="1"/>
  <c r="BL82" i="1"/>
  <c r="BJ82" i="1"/>
  <c r="Q82" i="1"/>
  <c r="P82" i="1"/>
  <c r="N82" i="1"/>
  <c r="BO81" i="1"/>
  <c r="BL81" i="1"/>
  <c r="BN81" i="1" s="1"/>
  <c r="BJ81" i="1"/>
  <c r="Q81" i="1"/>
  <c r="P81" i="1"/>
  <c r="N81" i="1"/>
  <c r="BO80" i="1"/>
  <c r="BL80" i="1"/>
  <c r="BJ80" i="1"/>
  <c r="Q80" i="1"/>
  <c r="P80" i="1"/>
  <c r="N80" i="1"/>
  <c r="BO79" i="1"/>
  <c r="BL79" i="1"/>
  <c r="BN79" i="1" s="1"/>
  <c r="BJ79" i="1"/>
  <c r="Q79" i="1"/>
  <c r="P79" i="1"/>
  <c r="N79" i="1"/>
  <c r="BO78" i="1"/>
  <c r="BL78" i="1"/>
  <c r="BJ78" i="1"/>
  <c r="Q78" i="1"/>
  <c r="P78" i="1"/>
  <c r="N78" i="1"/>
  <c r="BO77" i="1"/>
  <c r="BL77" i="1"/>
  <c r="BJ77" i="1"/>
  <c r="Q77" i="1"/>
  <c r="P77" i="1"/>
  <c r="N77" i="1"/>
  <c r="BO76" i="1"/>
  <c r="BL76" i="1"/>
  <c r="BM76" i="1" s="1"/>
  <c r="BJ76" i="1"/>
  <c r="Q76" i="1"/>
  <c r="P76" i="1"/>
  <c r="N76" i="1"/>
  <c r="BO75" i="1"/>
  <c r="BL75" i="1"/>
  <c r="BJ75" i="1"/>
  <c r="X75" i="1"/>
  <c r="AF75" i="1" s="1"/>
  <c r="Q75" i="1"/>
  <c r="P75" i="1"/>
  <c r="N75" i="1"/>
  <c r="BO74" i="1"/>
  <c r="BL74" i="1"/>
  <c r="BJ74" i="1"/>
  <c r="Q74" i="1"/>
  <c r="P74" i="1"/>
  <c r="N74" i="1"/>
  <c r="BO73" i="1"/>
  <c r="BL73" i="1"/>
  <c r="BJ73" i="1"/>
  <c r="Q73" i="1"/>
  <c r="P73" i="1"/>
  <c r="N73" i="1"/>
  <c r="BO72" i="1"/>
  <c r="BL72" i="1"/>
  <c r="BN72" i="1" s="1"/>
  <c r="BJ72" i="1"/>
  <c r="Q72" i="1"/>
  <c r="P72" i="1"/>
  <c r="N72" i="1"/>
  <c r="BO71" i="1"/>
  <c r="BL71" i="1"/>
  <c r="BJ71" i="1"/>
  <c r="Q71" i="1"/>
  <c r="P71" i="1"/>
  <c r="N71" i="1"/>
  <c r="BO70" i="1"/>
  <c r="BL70" i="1"/>
  <c r="BN70" i="1" s="1"/>
  <c r="BJ70" i="1"/>
  <c r="Q70" i="1"/>
  <c r="P70" i="1"/>
  <c r="N70" i="1"/>
  <c r="BO69" i="1"/>
  <c r="BL69" i="1"/>
  <c r="BJ69" i="1"/>
  <c r="Q69" i="1"/>
  <c r="P69" i="1"/>
  <c r="N69" i="1"/>
  <c r="BO68" i="1"/>
  <c r="BL68" i="1"/>
  <c r="BJ68" i="1"/>
  <c r="Q68" i="1"/>
  <c r="P68" i="1"/>
  <c r="N68" i="1"/>
  <c r="BO67" i="1"/>
  <c r="BL67" i="1"/>
  <c r="BJ67" i="1"/>
  <c r="Q67" i="1"/>
  <c r="P67" i="1"/>
  <c r="N67" i="1"/>
  <c r="BO66" i="1"/>
  <c r="BL66" i="1"/>
  <c r="BN66" i="1" s="1"/>
  <c r="BJ66" i="1"/>
  <c r="Q66" i="1"/>
  <c r="P66" i="1"/>
  <c r="N66" i="1"/>
  <c r="BO65" i="1"/>
  <c r="BJ65" i="1"/>
  <c r="Q65" i="1"/>
  <c r="P65" i="1"/>
  <c r="N65" i="1"/>
  <c r="BO64" i="1"/>
  <c r="BL64" i="1"/>
  <c r="BJ64" i="1"/>
  <c r="Q64" i="1"/>
  <c r="P64" i="1"/>
  <c r="N64" i="1"/>
  <c r="BO63" i="1"/>
  <c r="BL63" i="1"/>
  <c r="BJ63" i="1"/>
  <c r="Q63" i="1"/>
  <c r="P63" i="1"/>
  <c r="N63" i="1"/>
  <c r="BO62" i="1"/>
  <c r="BL62" i="1"/>
  <c r="BJ62" i="1"/>
  <c r="Q62" i="1"/>
  <c r="P62" i="1"/>
  <c r="N62" i="1"/>
  <c r="BO61" i="1"/>
  <c r="BL61" i="1"/>
  <c r="BN61" i="1" s="1"/>
  <c r="BJ61" i="1"/>
  <c r="Q61" i="1"/>
  <c r="P61" i="1"/>
  <c r="N61" i="1"/>
  <c r="BO60" i="1"/>
  <c r="BL60" i="1"/>
  <c r="BJ60" i="1"/>
  <c r="Q60" i="1"/>
  <c r="P60" i="1"/>
  <c r="N60" i="1"/>
  <c r="BO59" i="1"/>
  <c r="BL59" i="1"/>
  <c r="BN59" i="1" s="1"/>
  <c r="BJ59" i="1"/>
  <c r="Q59" i="1"/>
  <c r="P59" i="1"/>
  <c r="N59" i="1"/>
  <c r="BO58" i="1"/>
  <c r="BL58" i="1"/>
  <c r="BJ58" i="1"/>
  <c r="Q58" i="1"/>
  <c r="P58" i="1"/>
  <c r="N58" i="1"/>
  <c r="BO57" i="1"/>
  <c r="BL57" i="1"/>
  <c r="BJ57" i="1"/>
  <c r="Q57" i="1"/>
  <c r="P57" i="1"/>
  <c r="N57" i="1"/>
  <c r="BO56" i="1"/>
  <c r="BL56" i="1"/>
  <c r="BJ56" i="1"/>
  <c r="Q56" i="1"/>
  <c r="P56" i="1"/>
  <c r="N56" i="1"/>
  <c r="BO55" i="1"/>
  <c r="BL55" i="1"/>
  <c r="BN55" i="1" s="1"/>
  <c r="BJ55" i="1"/>
  <c r="Q55" i="1"/>
  <c r="P55" i="1"/>
  <c r="N55" i="1"/>
  <c r="BO54" i="1"/>
  <c r="BL54" i="1"/>
  <c r="BM54" i="1" s="1"/>
  <c r="BJ54" i="1"/>
  <c r="Q54" i="1"/>
  <c r="P54" i="1"/>
  <c r="N54" i="1"/>
  <c r="BO53" i="1"/>
  <c r="BL53" i="1"/>
  <c r="BM53" i="1" s="1"/>
  <c r="BJ53" i="1"/>
  <c r="Q53" i="1"/>
  <c r="P53" i="1"/>
  <c r="N53" i="1"/>
  <c r="BO52" i="1"/>
  <c r="BL52" i="1"/>
  <c r="BJ52" i="1"/>
  <c r="Q52" i="1"/>
  <c r="P52" i="1"/>
  <c r="N52" i="1"/>
  <c r="BO51" i="1"/>
  <c r="BL51" i="1"/>
  <c r="BN51" i="1" s="1"/>
  <c r="BJ51" i="1"/>
  <c r="Q51" i="1"/>
  <c r="P51" i="1"/>
  <c r="N51" i="1"/>
  <c r="BO50" i="1"/>
  <c r="BL50" i="1"/>
  <c r="BN50" i="1" s="1"/>
  <c r="BJ50" i="1"/>
  <c r="Q50" i="1"/>
  <c r="P50" i="1"/>
  <c r="N50" i="1"/>
  <c r="BO49" i="1"/>
  <c r="BL49" i="1"/>
  <c r="BN49" i="1" s="1"/>
  <c r="BJ49" i="1"/>
  <c r="Q49" i="1"/>
  <c r="P49" i="1"/>
  <c r="N49" i="1"/>
  <c r="BO48" i="1"/>
  <c r="BL48" i="1"/>
  <c r="BJ48" i="1"/>
  <c r="Q48" i="1"/>
  <c r="P48" i="1"/>
  <c r="N48" i="1"/>
  <c r="BO47" i="1"/>
  <c r="BL47" i="1"/>
  <c r="BN47" i="1" s="1"/>
  <c r="BJ47" i="1"/>
  <c r="Q47" i="1"/>
  <c r="P47" i="1"/>
  <c r="N47" i="1"/>
  <c r="BO46" i="1"/>
  <c r="BL46" i="1"/>
  <c r="BN46" i="1" s="1"/>
  <c r="BJ46" i="1"/>
  <c r="Q46" i="1"/>
  <c r="P46" i="1"/>
  <c r="N46" i="1"/>
  <c r="BO45" i="1"/>
  <c r="BL45" i="1"/>
  <c r="BN45" i="1" s="1"/>
  <c r="BJ45" i="1"/>
  <c r="Q45" i="1"/>
  <c r="P45" i="1"/>
  <c r="N45" i="1"/>
  <c r="BO44" i="1"/>
  <c r="BL44" i="1"/>
  <c r="BJ44" i="1"/>
  <c r="Q44" i="1"/>
  <c r="P44" i="1"/>
  <c r="N44" i="1"/>
  <c r="BO43" i="1"/>
  <c r="BL43" i="1"/>
  <c r="BN43" i="1" s="1"/>
  <c r="BJ43" i="1"/>
  <c r="Q43" i="1"/>
  <c r="P43" i="1"/>
  <c r="N43" i="1"/>
  <c r="BO42" i="1"/>
  <c r="BL42" i="1"/>
  <c r="BM42" i="1" s="1"/>
  <c r="BJ42" i="1"/>
  <c r="Q42" i="1"/>
  <c r="P42" i="1"/>
  <c r="N42" i="1"/>
  <c r="BO41" i="1"/>
  <c r="BL41" i="1"/>
  <c r="BM41" i="1" s="1"/>
  <c r="BJ41" i="1"/>
  <c r="Q41" i="1"/>
  <c r="P41" i="1"/>
  <c r="N41" i="1"/>
  <c r="BO40" i="1"/>
  <c r="BL40" i="1"/>
  <c r="BJ40" i="1"/>
  <c r="Q40" i="1"/>
  <c r="P40" i="1"/>
  <c r="N40" i="1"/>
  <c r="BO39" i="1"/>
  <c r="BL39" i="1"/>
  <c r="BN39" i="1" s="1"/>
  <c r="BJ39" i="1"/>
  <c r="Q39" i="1"/>
  <c r="P39" i="1"/>
  <c r="N39" i="1"/>
  <c r="BO38" i="1"/>
  <c r="BL38" i="1"/>
  <c r="BN38" i="1" s="1"/>
  <c r="BJ38" i="1"/>
  <c r="Q38" i="1"/>
  <c r="P38" i="1"/>
  <c r="N38" i="1"/>
  <c r="BO37" i="1"/>
  <c r="BL37" i="1"/>
  <c r="BN37" i="1" s="1"/>
  <c r="BJ37" i="1"/>
  <c r="Q37" i="1"/>
  <c r="P37" i="1"/>
  <c r="N37" i="1"/>
  <c r="BO36" i="1"/>
  <c r="BL36" i="1"/>
  <c r="BN36" i="1" s="1"/>
  <c r="BJ36" i="1"/>
  <c r="Q36" i="1"/>
  <c r="P36" i="1"/>
  <c r="N36" i="1"/>
  <c r="BO35" i="1"/>
  <c r="BL35" i="1"/>
  <c r="BN35" i="1" s="1"/>
  <c r="BJ35" i="1"/>
  <c r="Q35" i="1"/>
  <c r="P35" i="1"/>
  <c r="N35" i="1"/>
  <c r="BO34" i="1"/>
  <c r="BL34" i="1"/>
  <c r="BJ34" i="1"/>
  <c r="Q34" i="1"/>
  <c r="P34" i="1"/>
  <c r="N34" i="1"/>
  <c r="BO33" i="1"/>
  <c r="BL33" i="1"/>
  <c r="BN33" i="1" s="1"/>
  <c r="BJ33" i="1"/>
  <c r="Q33" i="1"/>
  <c r="P33" i="1"/>
  <c r="N33" i="1"/>
  <c r="BO32" i="1"/>
  <c r="BL32" i="1"/>
  <c r="BM32" i="1" s="1"/>
  <c r="BJ32" i="1"/>
  <c r="Q32" i="1"/>
  <c r="P32" i="1"/>
  <c r="N32" i="1"/>
  <c r="BO31" i="1"/>
  <c r="BL31" i="1"/>
  <c r="BN31" i="1" s="1"/>
  <c r="BJ31" i="1"/>
  <c r="Q31" i="1"/>
  <c r="P31" i="1"/>
  <c r="N31" i="1"/>
  <c r="BO30" i="1"/>
  <c r="BL30" i="1"/>
  <c r="BJ30" i="1"/>
  <c r="Q30" i="1"/>
  <c r="P30" i="1"/>
  <c r="N30" i="1"/>
  <c r="BO29" i="1"/>
  <c r="BL29" i="1"/>
  <c r="BN29" i="1" s="1"/>
  <c r="BJ29" i="1"/>
  <c r="Q29" i="1"/>
  <c r="P29" i="1"/>
  <c r="N29" i="1"/>
  <c r="BO28" i="1"/>
  <c r="BL28" i="1"/>
  <c r="BN28" i="1" s="1"/>
  <c r="BJ28" i="1"/>
  <c r="Q28" i="1"/>
  <c r="P28" i="1"/>
  <c r="N28" i="1"/>
  <c r="BO27" i="1"/>
  <c r="BL27" i="1"/>
  <c r="BN27" i="1" s="1"/>
  <c r="BJ27" i="1"/>
  <c r="Q27" i="1"/>
  <c r="P27" i="1"/>
  <c r="N27" i="1"/>
  <c r="BO26" i="1"/>
  <c r="BL26" i="1"/>
  <c r="BJ26" i="1"/>
  <c r="Q26" i="1"/>
  <c r="P26" i="1"/>
  <c r="N26" i="1"/>
  <c r="BO25" i="1"/>
  <c r="BL25" i="1"/>
  <c r="BJ25" i="1"/>
  <c r="Q25" i="1"/>
  <c r="P25" i="1"/>
  <c r="N25" i="1"/>
  <c r="BO24" i="1"/>
  <c r="BL24" i="1"/>
  <c r="BM24" i="1" s="1"/>
  <c r="BJ24" i="1"/>
  <c r="Q24" i="1"/>
  <c r="P24" i="1"/>
  <c r="N24" i="1"/>
  <c r="BO23" i="1"/>
  <c r="BL23" i="1"/>
  <c r="BN23" i="1" s="1"/>
  <c r="BJ23" i="1"/>
  <c r="Q23" i="1"/>
  <c r="P23" i="1"/>
  <c r="N23" i="1"/>
  <c r="BO22" i="1"/>
  <c r="BL22" i="1"/>
  <c r="BJ22" i="1"/>
  <c r="Q22" i="1"/>
  <c r="P22" i="1"/>
  <c r="N22" i="1"/>
  <c r="BO21" i="1"/>
  <c r="BL21" i="1"/>
  <c r="BJ21" i="1"/>
  <c r="Q21" i="1"/>
  <c r="P21" i="1"/>
  <c r="N21" i="1"/>
  <c r="BO20" i="1"/>
  <c r="BL20" i="1"/>
  <c r="BJ20" i="1"/>
  <c r="Q20" i="1"/>
  <c r="P20" i="1"/>
  <c r="N20" i="1"/>
  <c r="BO19" i="1"/>
  <c r="BL19" i="1"/>
  <c r="BN19" i="1" s="1"/>
  <c r="BJ19" i="1"/>
  <c r="Q19" i="1"/>
  <c r="P19" i="1"/>
  <c r="N19" i="1"/>
  <c r="BO18" i="1"/>
  <c r="BL18" i="1"/>
  <c r="BN18" i="1" s="1"/>
  <c r="BJ18" i="1"/>
  <c r="Q18" i="1"/>
  <c r="P18" i="1"/>
  <c r="N18" i="1"/>
  <c r="BO17" i="1"/>
  <c r="BL17" i="1"/>
  <c r="BN17" i="1" s="1"/>
  <c r="BJ17" i="1"/>
  <c r="Q17" i="1"/>
  <c r="P17" i="1"/>
  <c r="N17" i="1"/>
  <c r="BO16" i="1"/>
  <c r="BL16" i="1"/>
  <c r="BJ16" i="1"/>
  <c r="Q16" i="1"/>
  <c r="P16" i="1"/>
  <c r="N16" i="1"/>
  <c r="BO15" i="1"/>
  <c r="BL15" i="1"/>
  <c r="BN15" i="1" s="1"/>
  <c r="BJ15" i="1"/>
  <c r="Q15" i="1"/>
  <c r="P15" i="1"/>
  <c r="N15" i="1"/>
  <c r="BO14" i="1"/>
  <c r="BL14" i="1"/>
  <c r="BN14" i="1" s="1"/>
  <c r="BJ14" i="1"/>
  <c r="Q14" i="1"/>
  <c r="P14" i="1"/>
  <c r="N14" i="1"/>
  <c r="BO13" i="1"/>
  <c r="BL13" i="1"/>
  <c r="BM13" i="1" s="1"/>
  <c r="BJ13" i="1"/>
  <c r="Q13" i="1"/>
  <c r="P13" i="1"/>
  <c r="N13" i="1"/>
  <c r="BO12" i="1"/>
  <c r="BL12" i="1"/>
  <c r="BJ12" i="1"/>
  <c r="Q12" i="1"/>
  <c r="P12" i="1"/>
  <c r="N12" i="1"/>
  <c r="BO11" i="1"/>
  <c r="BL11" i="1"/>
  <c r="BN11" i="1" s="1"/>
  <c r="BJ11" i="1"/>
  <c r="Q11" i="1"/>
  <c r="P11" i="1"/>
  <c r="N11" i="1"/>
  <c r="BO10" i="1"/>
  <c r="BL10" i="1"/>
  <c r="BJ10" i="1"/>
  <c r="Q10" i="1"/>
  <c r="P10" i="1"/>
  <c r="N10" i="1"/>
  <c r="BO9" i="1"/>
  <c r="BL9" i="1"/>
  <c r="BJ9" i="1"/>
  <c r="Q9" i="1"/>
  <c r="P9" i="1"/>
  <c r="N9" i="1"/>
  <c r="BO8" i="1"/>
  <c r="BL8" i="1"/>
  <c r="BJ8" i="1"/>
  <c r="Q8" i="1"/>
  <c r="P8" i="1"/>
  <c r="N8" i="1"/>
  <c r="BO7" i="1"/>
  <c r="BL7" i="1"/>
  <c r="BN7" i="1" s="1"/>
  <c r="BJ7" i="1"/>
  <c r="Q7" i="1"/>
  <c r="P7" i="1"/>
  <c r="N7" i="1"/>
  <c r="BO6" i="1"/>
  <c r="BL6" i="1"/>
  <c r="BN6" i="1" s="1"/>
  <c r="BJ6" i="1"/>
  <c r="Q6" i="1"/>
  <c r="P6" i="1"/>
  <c r="N6" i="1"/>
  <c r="BO5" i="1"/>
  <c r="BL5" i="1"/>
  <c r="BN5" i="1" s="1"/>
  <c r="BJ5" i="1"/>
  <c r="Q5" i="1"/>
  <c r="P5" i="1"/>
  <c r="N5" i="1"/>
  <c r="BO4" i="1"/>
  <c r="BL4" i="1"/>
  <c r="BM4" i="1" s="1"/>
  <c r="BJ4" i="1"/>
  <c r="Q4" i="1"/>
  <c r="P4" i="1"/>
  <c r="N4" i="1"/>
  <c r="BO3" i="1"/>
  <c r="BL3" i="1"/>
  <c r="BM3" i="1" s="1"/>
  <c r="BJ3" i="1"/>
  <c r="Q3" i="1"/>
  <c r="P3" i="1"/>
  <c r="N3" i="1"/>
  <c r="BT214" i="1" l="1"/>
  <c r="BT205" i="1"/>
  <c r="BT211" i="1"/>
  <c r="BT209" i="1"/>
  <c r="BT204" i="1"/>
  <c r="BT218" i="1"/>
  <c r="BT207" i="1"/>
  <c r="BT216" i="1"/>
  <c r="BT212" i="1"/>
  <c r="BT213" i="1"/>
  <c r="Z215" i="1"/>
  <c r="AH215" i="1"/>
  <c r="AB215" i="1"/>
  <c r="AF215" i="1"/>
  <c r="AD215" i="1"/>
  <c r="Z213" i="1"/>
  <c r="AD213" i="1"/>
  <c r="AF213" i="1"/>
  <c r="AB213" i="1"/>
  <c r="AH213" i="1"/>
  <c r="AF216" i="1"/>
  <c r="AB216" i="1"/>
  <c r="AD216" i="1"/>
  <c r="Z216" i="1"/>
  <c r="AH216" i="1"/>
  <c r="Z212" i="1"/>
  <c r="AD212" i="1"/>
  <c r="AB212" i="1"/>
  <c r="AF212" i="1"/>
  <c r="AH212" i="1"/>
  <c r="AF218" i="1"/>
  <c r="AD218" i="1"/>
  <c r="AB218" i="1"/>
  <c r="AH218" i="1"/>
  <c r="Z218" i="1"/>
  <c r="AH209" i="1"/>
  <c r="Z209" i="1"/>
  <c r="AB209" i="1"/>
  <c r="AD209" i="1"/>
  <c r="AF209" i="1"/>
  <c r="AH220" i="1"/>
  <c r="AB220" i="1"/>
  <c r="Z220" i="1"/>
  <c r="AD220" i="1"/>
  <c r="AF220" i="1"/>
  <c r="AH206" i="1"/>
  <c r="AD206" i="1"/>
  <c r="AF206" i="1"/>
  <c r="Z206" i="1"/>
  <c r="AB206" i="1"/>
  <c r="AH219" i="1"/>
  <c r="AB219" i="1"/>
  <c r="AF219" i="1"/>
  <c r="AD219" i="1"/>
  <c r="Z219" i="1"/>
  <c r="AF208" i="1"/>
  <c r="Z208" i="1"/>
  <c r="AH208" i="1"/>
  <c r="AB208" i="1"/>
  <c r="AD208" i="1"/>
  <c r="AF214" i="1"/>
  <c r="Z214" i="1"/>
  <c r="AB214" i="1"/>
  <c r="AD214" i="1"/>
  <c r="AH214" i="1"/>
  <c r="AF211" i="1"/>
  <c r="Z211" i="1"/>
  <c r="AD211" i="1"/>
  <c r="AB211" i="1"/>
  <c r="AH211" i="1"/>
  <c r="AH207" i="1"/>
  <c r="AB207" i="1"/>
  <c r="AF207" i="1"/>
  <c r="AD207" i="1"/>
  <c r="Z207" i="1"/>
  <c r="AB204" i="1"/>
  <c r="AF204" i="1"/>
  <c r="AD204" i="1"/>
  <c r="Z204" i="1"/>
  <c r="AH204" i="1"/>
  <c r="AF205" i="1"/>
  <c r="AB205" i="1"/>
  <c r="AH205" i="1"/>
  <c r="AD205" i="1"/>
  <c r="Z205" i="1"/>
  <c r="BT208" i="1"/>
  <c r="BT219" i="1"/>
  <c r="BT210" i="1"/>
  <c r="BT220" i="1"/>
  <c r="BT215" i="1"/>
  <c r="BT206" i="1"/>
  <c r="BT217" i="1"/>
  <c r="AH217" i="1"/>
  <c r="AF217" i="1"/>
  <c r="AD217" i="1"/>
  <c r="Z217" i="1"/>
  <c r="AB217" i="1"/>
  <c r="AH210" i="1"/>
  <c r="Z210" i="1"/>
  <c r="AD210" i="1"/>
  <c r="AF210" i="1"/>
  <c r="AB210" i="1"/>
  <c r="BU227" i="1"/>
  <c r="BX227" i="1" s="1"/>
  <c r="BU223" i="1"/>
  <c r="BX223" i="1" s="1"/>
  <c r="AK221" i="1"/>
  <c r="BU221" i="1"/>
  <c r="BX221" i="1" s="1"/>
  <c r="AK228" i="1"/>
  <c r="BU228" i="1"/>
  <c r="BX228" i="1" s="1"/>
  <c r="AK226" i="1"/>
  <c r="BU226" i="1"/>
  <c r="BX226" i="1" s="1"/>
  <c r="BU224" i="1"/>
  <c r="BX224" i="1" s="1"/>
  <c r="AK224" i="1"/>
  <c r="AK225" i="1"/>
  <c r="BU225" i="1"/>
  <c r="BX225" i="1" s="1"/>
  <c r="AK222" i="1"/>
  <c r="BU222" i="1"/>
  <c r="BX222" i="1" s="1"/>
  <c r="BK68" i="1"/>
  <c r="Q97" i="1"/>
  <c r="S97" i="1" s="1"/>
  <c r="T97" i="1" s="1"/>
  <c r="U97" i="1" s="1"/>
  <c r="V97" i="1" s="1"/>
  <c r="BN185" i="1"/>
  <c r="BK240" i="1"/>
  <c r="BP240" i="1" s="1"/>
  <c r="BQ240" i="1" s="1"/>
  <c r="BR240" i="1" s="1"/>
  <c r="BS240" i="1" s="1"/>
  <c r="S104" i="1"/>
  <c r="T104" i="1" s="1"/>
  <c r="U104" i="1" s="1"/>
  <c r="V104" i="1" s="1"/>
  <c r="W104" i="1" s="1"/>
  <c r="X104" i="1" s="1"/>
  <c r="S184" i="1"/>
  <c r="T184" i="1" s="1"/>
  <c r="U184" i="1" s="1"/>
  <c r="V184" i="1" s="1"/>
  <c r="W184" i="1" s="1"/>
  <c r="BK179" i="1"/>
  <c r="BK44" i="1"/>
  <c r="S177" i="1"/>
  <c r="T177" i="1" s="1"/>
  <c r="U177" i="1" s="1"/>
  <c r="V177" i="1" s="1"/>
  <c r="W177" i="1" s="1"/>
  <c r="S14" i="1"/>
  <c r="T14" i="1" s="1"/>
  <c r="U14" i="1" s="1"/>
  <c r="V14" i="1" s="1"/>
  <c r="W14" i="1" s="1"/>
  <c r="S18" i="1"/>
  <c r="T18" i="1" s="1"/>
  <c r="U18" i="1" s="1"/>
  <c r="V18" i="1" s="1"/>
  <c r="W18" i="1" s="1"/>
  <c r="S26" i="1"/>
  <c r="T26" i="1" s="1"/>
  <c r="U26" i="1" s="1"/>
  <c r="V26" i="1" s="1"/>
  <c r="W26" i="1" s="1"/>
  <c r="S4" i="1"/>
  <c r="T4" i="1" s="1"/>
  <c r="U4" i="1" s="1"/>
  <c r="V4" i="1" s="1"/>
  <c r="BK17" i="1"/>
  <c r="BP17" i="1" s="1"/>
  <c r="BQ17" i="1" s="1"/>
  <c r="BR17" i="1" s="1"/>
  <c r="BS17" i="1" s="1"/>
  <c r="BM45" i="1"/>
  <c r="S49" i="1"/>
  <c r="T49" i="1" s="1"/>
  <c r="U49" i="1" s="1"/>
  <c r="V49" i="1" s="1"/>
  <c r="W49" i="1" s="1"/>
  <c r="S55" i="1"/>
  <c r="T55" i="1" s="1"/>
  <c r="U55" i="1" s="1"/>
  <c r="V55" i="1" s="1"/>
  <c r="S81" i="1"/>
  <c r="T81" i="1" s="1"/>
  <c r="U81" i="1" s="1"/>
  <c r="V81" i="1" s="1"/>
  <c r="W81" i="1" s="1"/>
  <c r="S120" i="1"/>
  <c r="T120" i="1" s="1"/>
  <c r="U120" i="1" s="1"/>
  <c r="V120" i="1" s="1"/>
  <c r="W120" i="1" s="1"/>
  <c r="X120" i="1" s="1"/>
  <c r="S127" i="1"/>
  <c r="T127" i="1" s="1"/>
  <c r="U127" i="1" s="1"/>
  <c r="V127" i="1" s="1"/>
  <c r="S128" i="1"/>
  <c r="T128" i="1" s="1"/>
  <c r="U128" i="1" s="1"/>
  <c r="V128" i="1" s="1"/>
  <c r="S153" i="1"/>
  <c r="T153" i="1" s="1"/>
  <c r="U153" i="1" s="1"/>
  <c r="V153" i="1" s="1"/>
  <c r="W153" i="1" s="1"/>
  <c r="X153" i="1" s="1"/>
  <c r="S157" i="1"/>
  <c r="T157" i="1" s="1"/>
  <c r="U157" i="1" s="1"/>
  <c r="V157" i="1" s="1"/>
  <c r="S173" i="1"/>
  <c r="T173" i="1" s="1"/>
  <c r="U173" i="1" s="1"/>
  <c r="V173" i="1" s="1"/>
  <c r="S7" i="1"/>
  <c r="T7" i="1" s="1"/>
  <c r="U7" i="1" s="1"/>
  <c r="V7" i="1" s="1"/>
  <c r="W7" i="1" s="1"/>
  <c r="BK58" i="1"/>
  <c r="BK60" i="1"/>
  <c r="BK78" i="1"/>
  <c r="BK106" i="1"/>
  <c r="BP106" i="1" s="1"/>
  <c r="BQ106" i="1" s="1"/>
  <c r="BR106" i="1" s="1"/>
  <c r="BS106" i="1" s="1"/>
  <c r="BK116" i="1"/>
  <c r="BK120" i="1"/>
  <c r="BK126" i="1"/>
  <c r="BK128" i="1"/>
  <c r="BP128" i="1" s="1"/>
  <c r="BQ128" i="1" s="1"/>
  <c r="BR128" i="1" s="1"/>
  <c r="BS128" i="1" s="1"/>
  <c r="BK159" i="1"/>
  <c r="BK45" i="1"/>
  <c r="BP45" i="1" s="1"/>
  <c r="BQ45" i="1" s="1"/>
  <c r="BR45" i="1" s="1"/>
  <c r="BS45" i="1" s="1"/>
  <c r="S134" i="1"/>
  <c r="T134" i="1" s="1"/>
  <c r="U134" i="1" s="1"/>
  <c r="V134" i="1" s="1"/>
  <c r="W134" i="1" s="1"/>
  <c r="X134" i="1" s="1"/>
  <c r="S138" i="1"/>
  <c r="T138" i="1" s="1"/>
  <c r="U138" i="1" s="1"/>
  <c r="V138" i="1" s="1"/>
  <c r="W138" i="1" s="1"/>
  <c r="S140" i="1"/>
  <c r="T140" i="1" s="1"/>
  <c r="U140" i="1" s="1"/>
  <c r="V140" i="1" s="1"/>
  <c r="W140" i="1" s="1"/>
  <c r="S148" i="1"/>
  <c r="T148" i="1" s="1"/>
  <c r="U148" i="1" s="1"/>
  <c r="V148" i="1" s="1"/>
  <c r="BK176" i="1"/>
  <c r="BN186" i="1"/>
  <c r="O243" i="1"/>
  <c r="BN151" i="1"/>
  <c r="BK59" i="1"/>
  <c r="BP59" i="1" s="1"/>
  <c r="BQ59" i="1" s="1"/>
  <c r="BR59" i="1" s="1"/>
  <c r="BS59" i="1" s="1"/>
  <c r="BK129" i="1"/>
  <c r="BK139" i="1"/>
  <c r="BK187" i="1"/>
  <c r="BK81" i="1"/>
  <c r="BP81" i="1" s="1"/>
  <c r="BQ81" i="1" s="1"/>
  <c r="BR81" i="1" s="1"/>
  <c r="BS81" i="1" s="1"/>
  <c r="BN32" i="1"/>
  <c r="BK40" i="1"/>
  <c r="BN119" i="1"/>
  <c r="BK7" i="1"/>
  <c r="BP7" i="1" s="1"/>
  <c r="BQ7" i="1" s="1"/>
  <c r="BR7" i="1" s="1"/>
  <c r="BS7" i="1" s="1"/>
  <c r="BK11" i="1"/>
  <c r="BP11" i="1" s="1"/>
  <c r="BQ11" i="1" s="1"/>
  <c r="BR11" i="1" s="1"/>
  <c r="BS11" i="1" s="1"/>
  <c r="BK13" i="1"/>
  <c r="S25" i="1"/>
  <c r="T25" i="1" s="1"/>
  <c r="U25" i="1" s="1"/>
  <c r="V25" i="1" s="1"/>
  <c r="S29" i="1"/>
  <c r="T29" i="1" s="1"/>
  <c r="U29" i="1" s="1"/>
  <c r="V29" i="1" s="1"/>
  <c r="S31" i="1"/>
  <c r="T31" i="1" s="1"/>
  <c r="U31" i="1" s="1"/>
  <c r="V31" i="1" s="1"/>
  <c r="W31" i="1" s="1"/>
  <c r="BM61" i="1"/>
  <c r="S63" i="1"/>
  <c r="T63" i="1" s="1"/>
  <c r="U63" i="1" s="1"/>
  <c r="V63" i="1" s="1"/>
  <c r="W63" i="1" s="1"/>
  <c r="X63" i="1" s="1"/>
  <c r="AD75" i="1"/>
  <c r="BM81" i="1"/>
  <c r="BK83" i="1"/>
  <c r="BP83" i="1" s="1"/>
  <c r="BQ83" i="1" s="1"/>
  <c r="BR83" i="1" s="1"/>
  <c r="BS83" i="1" s="1"/>
  <c r="S91" i="1"/>
  <c r="T91" i="1" s="1"/>
  <c r="U91" i="1" s="1"/>
  <c r="V91" i="1" s="1"/>
  <c r="BL93" i="1"/>
  <c r="BN93" i="1" s="1"/>
  <c r="S94" i="1"/>
  <c r="T94" i="1" s="1"/>
  <c r="U94" i="1" s="1"/>
  <c r="V94" i="1" s="1"/>
  <c r="S95" i="1"/>
  <c r="T95" i="1" s="1"/>
  <c r="U95" i="1" s="1"/>
  <c r="V95" i="1" s="1"/>
  <c r="S108" i="1"/>
  <c r="T108" i="1" s="1"/>
  <c r="U108" i="1" s="1"/>
  <c r="V108" i="1" s="1"/>
  <c r="S116" i="1"/>
  <c r="T116" i="1" s="1"/>
  <c r="U116" i="1" s="1"/>
  <c r="V116" i="1" s="1"/>
  <c r="W116" i="1" s="1"/>
  <c r="X116" i="1" s="1"/>
  <c r="BN129" i="1"/>
  <c r="S164" i="1"/>
  <c r="T164" i="1" s="1"/>
  <c r="U164" i="1" s="1"/>
  <c r="V164" i="1" s="1"/>
  <c r="W164" i="1" s="1"/>
  <c r="S166" i="1"/>
  <c r="T166" i="1" s="1"/>
  <c r="U166" i="1" s="1"/>
  <c r="V166" i="1" s="1"/>
  <c r="W166" i="1" s="1"/>
  <c r="S170" i="1"/>
  <c r="T170" i="1" s="1"/>
  <c r="U170" i="1" s="1"/>
  <c r="V170" i="1" s="1"/>
  <c r="BK183" i="1"/>
  <c r="BM171" i="1"/>
  <c r="BK232" i="1"/>
  <c r="BP232" i="1" s="1"/>
  <c r="BQ232" i="1" s="1"/>
  <c r="BR232" i="1" s="1"/>
  <c r="BS232" i="1" s="1"/>
  <c r="BK20" i="1"/>
  <c r="BK26" i="1"/>
  <c r="S45" i="1"/>
  <c r="T45" i="1" s="1"/>
  <c r="U45" i="1" s="1"/>
  <c r="V45" i="1" s="1"/>
  <c r="W45" i="1" s="1"/>
  <c r="BK47" i="1"/>
  <c r="BP47" i="1" s="1"/>
  <c r="BQ47" i="1" s="1"/>
  <c r="BR47" i="1" s="1"/>
  <c r="BS47" i="1" s="1"/>
  <c r="S68" i="1"/>
  <c r="T68" i="1" s="1"/>
  <c r="U68" i="1" s="1"/>
  <c r="V68" i="1" s="1"/>
  <c r="BK70" i="1"/>
  <c r="BP70" i="1" s="1"/>
  <c r="BQ70" i="1" s="1"/>
  <c r="BR70" i="1" s="1"/>
  <c r="BS70" i="1" s="1"/>
  <c r="BK75" i="1"/>
  <c r="BM135" i="1"/>
  <c r="BK165" i="1"/>
  <c r="BK167" i="1"/>
  <c r="BN197" i="1"/>
  <c r="S238" i="1"/>
  <c r="T238" i="1" s="1"/>
  <c r="U238" i="1" s="1"/>
  <c r="V238" i="1" s="1"/>
  <c r="BK5" i="1"/>
  <c r="BP5" i="1" s="1"/>
  <c r="BQ5" i="1" s="1"/>
  <c r="BR5" i="1" s="1"/>
  <c r="BS5" i="1" s="1"/>
  <c r="BK12" i="1"/>
  <c r="BM29" i="1"/>
  <c r="BM36" i="1"/>
  <c r="BM39" i="1"/>
  <c r="BN42" i="1"/>
  <c r="BM79" i="1"/>
  <c r="BK101" i="1"/>
  <c r="BP101" i="1" s="1"/>
  <c r="BQ101" i="1" s="1"/>
  <c r="BR101" i="1" s="1"/>
  <c r="BS101" i="1" s="1"/>
  <c r="BK118" i="1"/>
  <c r="BP118" i="1" s="1"/>
  <c r="BQ118" i="1" s="1"/>
  <c r="BR118" i="1" s="1"/>
  <c r="BS118" i="1" s="1"/>
  <c r="BN134" i="1"/>
  <c r="S135" i="1"/>
  <c r="T135" i="1" s="1"/>
  <c r="U135" i="1" s="1"/>
  <c r="V135" i="1" s="1"/>
  <c r="S137" i="1"/>
  <c r="T137" i="1" s="1"/>
  <c r="U137" i="1" s="1"/>
  <c r="V137" i="1" s="1"/>
  <c r="W137" i="1" s="1"/>
  <c r="S151" i="1"/>
  <c r="T151" i="1" s="1"/>
  <c r="U151" i="1" s="1"/>
  <c r="V151" i="1" s="1"/>
  <c r="BN155" i="1"/>
  <c r="BK172" i="1"/>
  <c r="BM175" i="1"/>
  <c r="AH229" i="1"/>
  <c r="AB242" i="1"/>
  <c r="S9" i="1"/>
  <c r="T9" i="1" s="1"/>
  <c r="U9" i="1" s="1"/>
  <c r="V9" i="1" s="1"/>
  <c r="BK23" i="1"/>
  <c r="BP23" i="1" s="1"/>
  <c r="BQ23" i="1" s="1"/>
  <c r="BR23" i="1" s="1"/>
  <c r="BS23" i="1" s="1"/>
  <c r="BM28" i="1"/>
  <c r="S35" i="1"/>
  <c r="T35" i="1" s="1"/>
  <c r="U35" i="1" s="1"/>
  <c r="V35" i="1" s="1"/>
  <c r="W35" i="1" s="1"/>
  <c r="S38" i="1"/>
  <c r="T38" i="1" s="1"/>
  <c r="U38" i="1" s="1"/>
  <c r="V38" i="1" s="1"/>
  <c r="BN41" i="1"/>
  <c r="S57" i="1"/>
  <c r="T57" i="1" s="1"/>
  <c r="U57" i="1" s="1"/>
  <c r="V57" i="1" s="1"/>
  <c r="BM72" i="1"/>
  <c r="BK74" i="1"/>
  <c r="BN76" i="1"/>
  <c r="S88" i="1"/>
  <c r="T88" i="1" s="1"/>
  <c r="U88" i="1" s="1"/>
  <c r="V88" i="1" s="1"/>
  <c r="BK90" i="1"/>
  <c r="Q100" i="1"/>
  <c r="S100" i="1" s="1"/>
  <c r="T100" i="1" s="1"/>
  <c r="U100" i="1" s="1"/>
  <c r="V100" i="1" s="1"/>
  <c r="W100" i="1" s="1"/>
  <c r="S106" i="1"/>
  <c r="T106" i="1" s="1"/>
  <c r="U106" i="1" s="1"/>
  <c r="V106" i="1" s="1"/>
  <c r="S109" i="1"/>
  <c r="T109" i="1" s="1"/>
  <c r="U109" i="1" s="1"/>
  <c r="V109" i="1" s="1"/>
  <c r="W109" i="1" s="1"/>
  <c r="BK124" i="1"/>
  <c r="BP124" i="1" s="1"/>
  <c r="BQ124" i="1" s="1"/>
  <c r="BR124" i="1" s="1"/>
  <c r="BS124" i="1" s="1"/>
  <c r="S131" i="1"/>
  <c r="T131" i="1" s="1"/>
  <c r="U131" i="1" s="1"/>
  <c r="V131" i="1" s="1"/>
  <c r="BM141" i="1"/>
  <c r="S143" i="1"/>
  <c r="T143" i="1" s="1"/>
  <c r="U143" i="1" s="1"/>
  <c r="V143" i="1" s="1"/>
  <c r="BK151" i="1"/>
  <c r="BM157" i="1"/>
  <c r="S161" i="1"/>
  <c r="T161" i="1" s="1"/>
  <c r="U161" i="1" s="1"/>
  <c r="V161" i="1" s="1"/>
  <c r="W161" i="1" s="1"/>
  <c r="X161" i="1" s="1"/>
  <c r="S175" i="1"/>
  <c r="T175" i="1" s="1"/>
  <c r="U175" i="1" s="1"/>
  <c r="V175" i="1" s="1"/>
  <c r="BK197" i="1"/>
  <c r="S201" i="1"/>
  <c r="S203" i="1"/>
  <c r="BK203" i="1"/>
  <c r="BP203" i="1" s="1"/>
  <c r="BQ203" i="1" s="1"/>
  <c r="BR203" i="1" s="1"/>
  <c r="BS203" i="1" s="1"/>
  <c r="BN231" i="1"/>
  <c r="BN234" i="1"/>
  <c r="BM238" i="1"/>
  <c r="BK29" i="1"/>
  <c r="BP29" i="1" s="1"/>
  <c r="BQ29" i="1" s="1"/>
  <c r="BR29" i="1" s="1"/>
  <c r="BS29" i="1" s="1"/>
  <c r="BK34" i="1"/>
  <c r="BK36" i="1"/>
  <c r="BP36" i="1" s="1"/>
  <c r="BQ36" i="1" s="1"/>
  <c r="BR36" i="1" s="1"/>
  <c r="BS36" i="1" s="1"/>
  <c r="BK39" i="1"/>
  <c r="BP39" i="1" s="1"/>
  <c r="BQ39" i="1" s="1"/>
  <c r="BR39" i="1" s="1"/>
  <c r="BS39" i="1" s="1"/>
  <c r="BM46" i="1"/>
  <c r="BM66" i="1"/>
  <c r="S70" i="1"/>
  <c r="T70" i="1" s="1"/>
  <c r="U70" i="1" s="1"/>
  <c r="V70" i="1" s="1"/>
  <c r="W70" i="1" s="1"/>
  <c r="X70" i="1" s="1"/>
  <c r="BK79" i="1"/>
  <c r="BP79" i="1" s="1"/>
  <c r="BQ79" i="1" s="1"/>
  <c r="BR79" i="1" s="1"/>
  <c r="BS79" i="1" s="1"/>
  <c r="BK85" i="1"/>
  <c r="BK87" i="1"/>
  <c r="BP87" i="1" s="1"/>
  <c r="BQ87" i="1" s="1"/>
  <c r="BR87" i="1" s="1"/>
  <c r="BS87" i="1" s="1"/>
  <c r="BM106" i="1"/>
  <c r="BK108" i="1"/>
  <c r="BK110" i="1"/>
  <c r="BP110" i="1" s="1"/>
  <c r="BQ110" i="1" s="1"/>
  <c r="BR110" i="1" s="1"/>
  <c r="BS110" i="1" s="1"/>
  <c r="BK112" i="1"/>
  <c r="BK114" i="1"/>
  <c r="BN115" i="1"/>
  <c r="BK121" i="1"/>
  <c r="BM122" i="1"/>
  <c r="BK132" i="1"/>
  <c r="BM145" i="1"/>
  <c r="S147" i="1"/>
  <c r="T147" i="1" s="1"/>
  <c r="U147" i="1" s="1"/>
  <c r="V147" i="1" s="1"/>
  <c r="BN161" i="1"/>
  <c r="S165" i="1"/>
  <c r="T165" i="1" s="1"/>
  <c r="U165" i="1" s="1"/>
  <c r="V165" i="1" s="1"/>
  <c r="W165" i="1" s="1"/>
  <c r="S169" i="1"/>
  <c r="T169" i="1" s="1"/>
  <c r="U169" i="1" s="1"/>
  <c r="V169" i="1" s="1"/>
  <c r="BN177" i="1"/>
  <c r="S191" i="1"/>
  <c r="T191" i="1" s="1"/>
  <c r="U191" i="1" s="1"/>
  <c r="V191" i="1" s="1"/>
  <c r="S193" i="1"/>
  <c r="T193" i="1" s="1"/>
  <c r="U193" i="1" s="1"/>
  <c r="V193" i="1" s="1"/>
  <c r="W193" i="1" s="1"/>
  <c r="S195" i="1"/>
  <c r="T195" i="1" s="1"/>
  <c r="U195" i="1" s="1"/>
  <c r="V195" i="1" s="1"/>
  <c r="W195" i="1" s="1"/>
  <c r="BK199" i="1"/>
  <c r="BP199" i="1" s="1"/>
  <c r="BQ199" i="1" s="1"/>
  <c r="BR199" i="1" s="1"/>
  <c r="BS199" i="1" s="1"/>
  <c r="S202" i="1"/>
  <c r="S241" i="1"/>
  <c r="T241" i="1" s="1"/>
  <c r="U241" i="1" s="1"/>
  <c r="V241" i="1" s="1"/>
  <c r="BN25" i="1"/>
  <c r="BM25" i="1"/>
  <c r="BM80" i="1"/>
  <c r="BN80" i="1"/>
  <c r="BN235" i="1"/>
  <c r="BM235" i="1"/>
  <c r="BK3" i="1"/>
  <c r="BN10" i="1"/>
  <c r="BM10" i="1"/>
  <c r="BN77" i="1"/>
  <c r="BM77" i="1"/>
  <c r="BN85" i="1"/>
  <c r="BM85" i="1"/>
  <c r="BM131" i="1"/>
  <c r="BN131" i="1"/>
  <c r="BN143" i="1"/>
  <c r="BM143" i="1"/>
  <c r="S145" i="1"/>
  <c r="T145" i="1" s="1"/>
  <c r="U145" i="1" s="1"/>
  <c r="V145" i="1" s="1"/>
  <c r="W145" i="1" s="1"/>
  <c r="X145" i="1" s="1"/>
  <c r="BM174" i="1"/>
  <c r="BN174" i="1"/>
  <c r="BM8" i="1"/>
  <c r="BN8" i="1"/>
  <c r="BL98" i="1"/>
  <c r="BN98" i="1" s="1"/>
  <c r="P98" i="1"/>
  <c r="BK51" i="1"/>
  <c r="BP51" i="1" s="1"/>
  <c r="BQ51" i="1" s="1"/>
  <c r="BR51" i="1" s="1"/>
  <c r="BS51" i="1" s="1"/>
  <c r="S51" i="1"/>
  <c r="T51" i="1" s="1"/>
  <c r="U51" i="1" s="1"/>
  <c r="V51" i="1" s="1"/>
  <c r="BN63" i="1"/>
  <c r="BM63" i="1"/>
  <c r="BM67" i="1"/>
  <c r="BN67" i="1"/>
  <c r="S114" i="1"/>
  <c r="T114" i="1" s="1"/>
  <c r="U114" i="1" s="1"/>
  <c r="V114" i="1" s="1"/>
  <c r="BN114" i="1"/>
  <c r="BM114" i="1"/>
  <c r="BN147" i="1"/>
  <c r="BM147" i="1"/>
  <c r="BN163" i="1"/>
  <c r="BM163" i="1"/>
  <c r="BN169" i="1"/>
  <c r="BM169" i="1"/>
  <c r="BN189" i="1"/>
  <c r="BM189" i="1"/>
  <c r="AF235" i="1"/>
  <c r="AH235" i="1"/>
  <c r="AD235" i="1"/>
  <c r="BN57" i="1"/>
  <c r="BM57" i="1"/>
  <c r="BN9" i="1"/>
  <c r="BM9" i="1"/>
  <c r="BM62" i="1"/>
  <c r="BN62" i="1"/>
  <c r="BK66" i="1"/>
  <c r="BP66" i="1" s="1"/>
  <c r="BQ66" i="1" s="1"/>
  <c r="BR66" i="1" s="1"/>
  <c r="BS66" i="1" s="1"/>
  <c r="S66" i="1"/>
  <c r="T66" i="1" s="1"/>
  <c r="U66" i="1" s="1"/>
  <c r="V66" i="1" s="1"/>
  <c r="BN74" i="1"/>
  <c r="BM74" i="1"/>
  <c r="BM84" i="1"/>
  <c r="BN84" i="1"/>
  <c r="BN91" i="1"/>
  <c r="BM91" i="1"/>
  <c r="BN130" i="1"/>
  <c r="BM130" i="1"/>
  <c r="BN153" i="1"/>
  <c r="BM153" i="1"/>
  <c r="BN173" i="1"/>
  <c r="BM173" i="1"/>
  <c r="S5" i="1"/>
  <c r="T5" i="1" s="1"/>
  <c r="U5" i="1" s="1"/>
  <c r="V5" i="1" s="1"/>
  <c r="W5" i="1" s="1"/>
  <c r="X5" i="1" s="1"/>
  <c r="BK15" i="1"/>
  <c r="BP15" i="1" s="1"/>
  <c r="BQ15" i="1" s="1"/>
  <c r="BR15" i="1" s="1"/>
  <c r="BS15" i="1" s="1"/>
  <c r="BK19" i="1"/>
  <c r="BP19" i="1" s="1"/>
  <c r="BQ19" i="1" s="1"/>
  <c r="BR19" i="1" s="1"/>
  <c r="BS19" i="1" s="1"/>
  <c r="BK22" i="1"/>
  <c r="S27" i="1"/>
  <c r="T27" i="1" s="1"/>
  <c r="U27" i="1" s="1"/>
  <c r="V27" i="1" s="1"/>
  <c r="BK30" i="1"/>
  <c r="BK33" i="1"/>
  <c r="BP33" i="1" s="1"/>
  <c r="BQ33" i="1" s="1"/>
  <c r="BR33" i="1" s="1"/>
  <c r="BS33" i="1" s="1"/>
  <c r="S34" i="1"/>
  <c r="T34" i="1" s="1"/>
  <c r="U34" i="1" s="1"/>
  <c r="V34" i="1" s="1"/>
  <c r="W34" i="1" s="1"/>
  <c r="S39" i="1"/>
  <c r="T39" i="1" s="1"/>
  <c r="U39" i="1" s="1"/>
  <c r="V39" i="1" s="1"/>
  <c r="W39" i="1" s="1"/>
  <c r="X39" i="1" s="1"/>
  <c r="BK41" i="1"/>
  <c r="BK43" i="1"/>
  <c r="BP43" i="1" s="1"/>
  <c r="BQ43" i="1" s="1"/>
  <c r="BR43" i="1" s="1"/>
  <c r="BS43" i="1" s="1"/>
  <c r="S47" i="1"/>
  <c r="T47" i="1" s="1"/>
  <c r="U47" i="1" s="1"/>
  <c r="V47" i="1" s="1"/>
  <c r="W47" i="1" s="1"/>
  <c r="X47" i="1" s="1"/>
  <c r="BK48" i="1"/>
  <c r="S53" i="1"/>
  <c r="T53" i="1" s="1"/>
  <c r="U53" i="1" s="1"/>
  <c r="V53" i="1" s="1"/>
  <c r="S56" i="1"/>
  <c r="T56" i="1" s="1"/>
  <c r="U56" i="1" s="1"/>
  <c r="V56" i="1" s="1"/>
  <c r="S59" i="1"/>
  <c r="T59" i="1" s="1"/>
  <c r="U59" i="1" s="1"/>
  <c r="V59" i="1" s="1"/>
  <c r="S61" i="1"/>
  <c r="T61" i="1" s="1"/>
  <c r="U61" i="1" s="1"/>
  <c r="V61" i="1" s="1"/>
  <c r="W61" i="1" s="1"/>
  <c r="X61" i="1" s="1"/>
  <c r="S71" i="1"/>
  <c r="T71" i="1" s="1"/>
  <c r="U71" i="1" s="1"/>
  <c r="V71" i="1" s="1"/>
  <c r="S76" i="1"/>
  <c r="T76" i="1" s="1"/>
  <c r="U76" i="1" s="1"/>
  <c r="V76" i="1" s="1"/>
  <c r="S79" i="1"/>
  <c r="T79" i="1" s="1"/>
  <c r="U79" i="1" s="1"/>
  <c r="V79" i="1" s="1"/>
  <c r="S85" i="1"/>
  <c r="T85" i="1" s="1"/>
  <c r="U85" i="1" s="1"/>
  <c r="V85" i="1" s="1"/>
  <c r="BK89" i="1"/>
  <c r="BP89" i="1" s="1"/>
  <c r="BQ89" i="1" s="1"/>
  <c r="BR89" i="1" s="1"/>
  <c r="BS89" i="1" s="1"/>
  <c r="BK94" i="1"/>
  <c r="BP94" i="1" s="1"/>
  <c r="BQ94" i="1" s="1"/>
  <c r="BR94" i="1" s="1"/>
  <c r="BS94" i="1" s="1"/>
  <c r="BM97" i="1"/>
  <c r="BK100" i="1"/>
  <c r="BP100" i="1" s="1"/>
  <c r="BQ100" i="1" s="1"/>
  <c r="BR100" i="1" s="1"/>
  <c r="BS100" i="1" s="1"/>
  <c r="S110" i="1"/>
  <c r="T110" i="1" s="1"/>
  <c r="U110" i="1" s="1"/>
  <c r="V110" i="1" s="1"/>
  <c r="S132" i="1"/>
  <c r="T132" i="1" s="1"/>
  <c r="U132" i="1" s="1"/>
  <c r="V132" i="1" s="1"/>
  <c r="W132" i="1" s="1"/>
  <c r="BK141" i="1"/>
  <c r="BP141" i="1" s="1"/>
  <c r="BQ141" i="1" s="1"/>
  <c r="BR141" i="1" s="1"/>
  <c r="BS141" i="1" s="1"/>
  <c r="BK146" i="1"/>
  <c r="BK149" i="1"/>
  <c r="BP149" i="1" s="1"/>
  <c r="BQ149" i="1" s="1"/>
  <c r="BR149" i="1" s="1"/>
  <c r="BS149" i="1" s="1"/>
  <c r="S155" i="1"/>
  <c r="T155" i="1" s="1"/>
  <c r="U155" i="1" s="1"/>
  <c r="V155" i="1" s="1"/>
  <c r="S156" i="1"/>
  <c r="T156" i="1" s="1"/>
  <c r="U156" i="1" s="1"/>
  <c r="V156" i="1" s="1"/>
  <c r="S168" i="1"/>
  <c r="T168" i="1" s="1"/>
  <c r="U168" i="1" s="1"/>
  <c r="V168" i="1" s="1"/>
  <c r="BK234" i="1"/>
  <c r="AD242" i="1"/>
  <c r="S11" i="1"/>
  <c r="T11" i="1" s="1"/>
  <c r="U11" i="1" s="1"/>
  <c r="V11" i="1" s="1"/>
  <c r="S24" i="1"/>
  <c r="T24" i="1" s="1"/>
  <c r="U24" i="1" s="1"/>
  <c r="V24" i="1" s="1"/>
  <c r="W24" i="1" s="1"/>
  <c r="S30" i="1"/>
  <c r="T30" i="1" s="1"/>
  <c r="U30" i="1" s="1"/>
  <c r="V30" i="1" s="1"/>
  <c r="W30" i="1" s="1"/>
  <c r="S33" i="1"/>
  <c r="T33" i="1" s="1"/>
  <c r="U33" i="1" s="1"/>
  <c r="V33" i="1" s="1"/>
  <c r="S43" i="1"/>
  <c r="T43" i="1" s="1"/>
  <c r="U43" i="1" s="1"/>
  <c r="V43" i="1" s="1"/>
  <c r="W43" i="1" s="1"/>
  <c r="X43" i="1" s="1"/>
  <c r="S50" i="1"/>
  <c r="T50" i="1" s="1"/>
  <c r="U50" i="1" s="1"/>
  <c r="V50" i="1" s="1"/>
  <c r="S65" i="1"/>
  <c r="T65" i="1" s="1"/>
  <c r="U65" i="1" s="1"/>
  <c r="V65" i="1" s="1"/>
  <c r="BT65" i="1" s="1"/>
  <c r="S89" i="1"/>
  <c r="T89" i="1" s="1"/>
  <c r="U89" i="1" s="1"/>
  <c r="V89" i="1" s="1"/>
  <c r="W89" i="1" s="1"/>
  <c r="S96" i="1"/>
  <c r="BK96" i="1"/>
  <c r="BP96" i="1" s="1"/>
  <c r="BQ96" i="1" s="1"/>
  <c r="BR96" i="1" s="1"/>
  <c r="BS96" i="1" s="1"/>
  <c r="BM100" i="1"/>
  <c r="S101" i="1"/>
  <c r="T101" i="1" s="1"/>
  <c r="U101" i="1" s="1"/>
  <c r="V101" i="1" s="1"/>
  <c r="S117" i="1"/>
  <c r="T117" i="1" s="1"/>
  <c r="U117" i="1" s="1"/>
  <c r="V117" i="1" s="1"/>
  <c r="W117" i="1" s="1"/>
  <c r="S118" i="1"/>
  <c r="T118" i="1" s="1"/>
  <c r="U118" i="1" s="1"/>
  <c r="V118" i="1" s="1"/>
  <c r="W118" i="1" s="1"/>
  <c r="BM124" i="1"/>
  <c r="S136" i="1"/>
  <c r="T136" i="1" s="1"/>
  <c r="U136" i="1" s="1"/>
  <c r="V136" i="1" s="1"/>
  <c r="W136" i="1" s="1"/>
  <c r="S141" i="1"/>
  <c r="T141" i="1" s="1"/>
  <c r="U141" i="1" s="1"/>
  <c r="V141" i="1" s="1"/>
  <c r="W141" i="1" s="1"/>
  <c r="X141" i="1" s="1"/>
  <c r="BK145" i="1"/>
  <c r="BP145" i="1" s="1"/>
  <c r="BQ145" i="1" s="1"/>
  <c r="BR145" i="1" s="1"/>
  <c r="BS145" i="1" s="1"/>
  <c r="S149" i="1"/>
  <c r="T149" i="1" s="1"/>
  <c r="U149" i="1" s="1"/>
  <c r="V149" i="1" s="1"/>
  <c r="W149" i="1" s="1"/>
  <c r="BK154" i="1"/>
  <c r="S158" i="1"/>
  <c r="T158" i="1" s="1"/>
  <c r="U158" i="1" s="1"/>
  <c r="V158" i="1" s="1"/>
  <c r="W158" i="1" s="1"/>
  <c r="S160" i="1"/>
  <c r="T160" i="1" s="1"/>
  <c r="U160" i="1" s="1"/>
  <c r="V160" i="1" s="1"/>
  <c r="BN162" i="1"/>
  <c r="S167" i="1"/>
  <c r="T167" i="1" s="1"/>
  <c r="U167" i="1" s="1"/>
  <c r="V167" i="1" s="1"/>
  <c r="W167" i="1" s="1"/>
  <c r="S171" i="1"/>
  <c r="T171" i="1" s="1"/>
  <c r="U171" i="1" s="1"/>
  <c r="V171" i="1" s="1"/>
  <c r="BK171" i="1"/>
  <c r="BP171" i="1" s="1"/>
  <c r="BQ171" i="1" s="1"/>
  <c r="BR171" i="1" s="1"/>
  <c r="BS171" i="1" s="1"/>
  <c r="BK175" i="1"/>
  <c r="BP175" i="1" s="1"/>
  <c r="BQ175" i="1" s="1"/>
  <c r="BR175" i="1" s="1"/>
  <c r="BS175" i="1" s="1"/>
  <c r="S181" i="1"/>
  <c r="T181" i="1" s="1"/>
  <c r="U181" i="1" s="1"/>
  <c r="V181" i="1" s="1"/>
  <c r="W181" i="1" s="1"/>
  <c r="S188" i="1"/>
  <c r="T188" i="1" s="1"/>
  <c r="U188" i="1" s="1"/>
  <c r="V188" i="1" s="1"/>
  <c r="W188" i="1" s="1"/>
  <c r="BK192" i="1"/>
  <c r="BM195" i="1"/>
  <c r="S197" i="1"/>
  <c r="T197" i="1" s="1"/>
  <c r="U197" i="1" s="1"/>
  <c r="V197" i="1" s="1"/>
  <c r="W197" i="1" s="1"/>
  <c r="S198" i="1"/>
  <c r="T198" i="1" s="1"/>
  <c r="U198" i="1" s="1"/>
  <c r="V198" i="1" s="1"/>
  <c r="AD232" i="1"/>
  <c r="BM232" i="1"/>
  <c r="S240" i="1"/>
  <c r="T240" i="1" s="1"/>
  <c r="U240" i="1" s="1"/>
  <c r="V240" i="1" s="1"/>
  <c r="W240" i="1" s="1"/>
  <c r="X240" i="1" s="1"/>
  <c r="S242" i="1"/>
  <c r="T242" i="1" s="1"/>
  <c r="U242" i="1" s="1"/>
  <c r="V242" i="1" s="1"/>
  <c r="BK242" i="1"/>
  <c r="BP242" i="1" s="1"/>
  <c r="BQ242" i="1" s="1"/>
  <c r="BR242" i="1" s="1"/>
  <c r="BS242" i="1" s="1"/>
  <c r="BK6" i="1"/>
  <c r="BP6" i="1" s="1"/>
  <c r="BQ6" i="1" s="1"/>
  <c r="BR6" i="1" s="1"/>
  <c r="BS6" i="1" s="1"/>
  <c r="BK8" i="1"/>
  <c r="BK9" i="1"/>
  <c r="BK16" i="1"/>
  <c r="BM19" i="1"/>
  <c r="BK21" i="1"/>
  <c r="BK25" i="1"/>
  <c r="BM33" i="1"/>
  <c r="BM43" i="1"/>
  <c r="BK52" i="1"/>
  <c r="BM55" i="1"/>
  <c r="BK57" i="1"/>
  <c r="BK62" i="1"/>
  <c r="BK63" i="1"/>
  <c r="BM70" i="1"/>
  <c r="Z75" i="1"/>
  <c r="BK77" i="1"/>
  <c r="BK88" i="1"/>
  <c r="BM89" i="1"/>
  <c r="BK99" i="1"/>
  <c r="BK102" i="1"/>
  <c r="BM104" i="1"/>
  <c r="BN107" i="1"/>
  <c r="BN111" i="1"/>
  <c r="S112" i="1"/>
  <c r="T112" i="1" s="1"/>
  <c r="U112" i="1" s="1"/>
  <c r="V112" i="1" s="1"/>
  <c r="W112" i="1" s="1"/>
  <c r="X112" i="1" s="1"/>
  <c r="BN123" i="1"/>
  <c r="S124" i="1"/>
  <c r="T124" i="1" s="1"/>
  <c r="U124" i="1" s="1"/>
  <c r="V124" i="1" s="1"/>
  <c r="BK140" i="1"/>
  <c r="BK163" i="1"/>
  <c r="BN176" i="1"/>
  <c r="BM178" i="1"/>
  <c r="BK180" i="1"/>
  <c r="BN181" i="1"/>
  <c r="S190" i="1"/>
  <c r="T190" i="1" s="1"/>
  <c r="U190" i="1" s="1"/>
  <c r="V190" i="1" s="1"/>
  <c r="W190" i="1" s="1"/>
  <c r="S194" i="1"/>
  <c r="T194" i="1" s="1"/>
  <c r="U194" i="1" s="1"/>
  <c r="V194" i="1" s="1"/>
  <c r="BN198" i="1"/>
  <c r="S199" i="1"/>
  <c r="T199" i="1" s="1"/>
  <c r="U199" i="1" s="1"/>
  <c r="V199" i="1" s="1"/>
  <c r="BK229" i="1"/>
  <c r="BP229" i="1" s="1"/>
  <c r="BQ229" i="1" s="1"/>
  <c r="BR229" i="1" s="1"/>
  <c r="BS229" i="1" s="1"/>
  <c r="BM229" i="1"/>
  <c r="BM230" i="1"/>
  <c r="AH232" i="1"/>
  <c r="S239" i="1"/>
  <c r="T239" i="1" s="1"/>
  <c r="U239" i="1" s="1"/>
  <c r="V239" i="1" s="1"/>
  <c r="BM95" i="1"/>
  <c r="BN95" i="1"/>
  <c r="BN112" i="1"/>
  <c r="BM112" i="1"/>
  <c r="BN4" i="1"/>
  <c r="BM11" i="1"/>
  <c r="BM14" i="1"/>
  <c r="BM23" i="1"/>
  <c r="BM37" i="1"/>
  <c r="BM38" i="1"/>
  <c r="BM51" i="1"/>
  <c r="BK72" i="1"/>
  <c r="BP72" i="1" s="1"/>
  <c r="BQ72" i="1" s="1"/>
  <c r="BR72" i="1" s="1"/>
  <c r="BS72" i="1" s="1"/>
  <c r="S72" i="1"/>
  <c r="BM96" i="1"/>
  <c r="BM110" i="1"/>
  <c r="BM118" i="1"/>
  <c r="BK184" i="1"/>
  <c r="BN187" i="1"/>
  <c r="BM187" i="1"/>
  <c r="BK35" i="1"/>
  <c r="BP35" i="1" s="1"/>
  <c r="BQ35" i="1" s="1"/>
  <c r="BR35" i="1" s="1"/>
  <c r="BS35" i="1" s="1"/>
  <c r="BN102" i="1"/>
  <c r="BM102" i="1"/>
  <c r="BM103" i="1"/>
  <c r="BN103" i="1"/>
  <c r="BM148" i="1"/>
  <c r="BN148" i="1"/>
  <c r="BN190" i="1"/>
  <c r="BM190" i="1"/>
  <c r="BN53" i="1"/>
  <c r="BK61" i="1"/>
  <c r="BP61" i="1" s="1"/>
  <c r="BQ61" i="1" s="1"/>
  <c r="BR61" i="1" s="1"/>
  <c r="BS61" i="1" s="1"/>
  <c r="BN75" i="1"/>
  <c r="BM75" i="1"/>
  <c r="P102" i="1"/>
  <c r="BM128" i="1"/>
  <c r="BM160" i="1"/>
  <c r="BN160" i="1"/>
  <c r="BN165" i="1"/>
  <c r="BM165" i="1"/>
  <c r="AF230" i="1"/>
  <c r="AB230" i="1"/>
  <c r="Z230" i="1"/>
  <c r="AH230" i="1"/>
  <c r="BM237" i="1"/>
  <c r="BN237" i="1"/>
  <c r="BM5" i="1"/>
  <c r="S13" i="1"/>
  <c r="T13" i="1" s="1"/>
  <c r="U13" i="1" s="1"/>
  <c r="V13" i="1" s="1"/>
  <c r="BN13" i="1"/>
  <c r="S15" i="1"/>
  <c r="T15" i="1" s="1"/>
  <c r="U15" i="1" s="1"/>
  <c r="V15" i="1" s="1"/>
  <c r="BM15" i="1"/>
  <c r="BM17" i="1"/>
  <c r="BM18" i="1"/>
  <c r="S23" i="1"/>
  <c r="T23" i="1" s="1"/>
  <c r="U23" i="1" s="1"/>
  <c r="V23" i="1" s="1"/>
  <c r="BN24" i="1"/>
  <c r="BM27" i="1"/>
  <c r="S28" i="1"/>
  <c r="T28" i="1" s="1"/>
  <c r="U28" i="1" s="1"/>
  <c r="V28" i="1" s="1"/>
  <c r="BK28" i="1"/>
  <c r="BP28" i="1" s="1"/>
  <c r="BQ28" i="1" s="1"/>
  <c r="BR28" i="1" s="1"/>
  <c r="BS28" i="1" s="1"/>
  <c r="BM31" i="1"/>
  <c r="S32" i="1"/>
  <c r="T32" i="1" s="1"/>
  <c r="U32" i="1" s="1"/>
  <c r="V32" i="1" s="1"/>
  <c r="BK32" i="1"/>
  <c r="BM35" i="1"/>
  <c r="S36" i="1"/>
  <c r="T36" i="1" s="1"/>
  <c r="U36" i="1" s="1"/>
  <c r="V36" i="1" s="1"/>
  <c r="W36" i="1" s="1"/>
  <c r="S41" i="1"/>
  <c r="T41" i="1" s="1"/>
  <c r="U41" i="1" s="1"/>
  <c r="V41" i="1" s="1"/>
  <c r="S46" i="1"/>
  <c r="T46" i="1" s="1"/>
  <c r="U46" i="1" s="1"/>
  <c r="V46" i="1" s="1"/>
  <c r="BM47" i="1"/>
  <c r="BM49" i="1"/>
  <c r="BM50" i="1"/>
  <c r="BK55" i="1"/>
  <c r="BP55" i="1" s="1"/>
  <c r="BQ55" i="1" s="1"/>
  <c r="BR55" i="1" s="1"/>
  <c r="BS55" i="1" s="1"/>
  <c r="BK56" i="1"/>
  <c r="BM59" i="1"/>
  <c r="BK64" i="1"/>
  <c r="BK65" i="1"/>
  <c r="BN68" i="1"/>
  <c r="BM68" i="1"/>
  <c r="S77" i="1"/>
  <c r="S83" i="1"/>
  <c r="T83" i="1" s="1"/>
  <c r="U83" i="1" s="1"/>
  <c r="V83" i="1" s="1"/>
  <c r="BM83" i="1"/>
  <c r="S87" i="1"/>
  <c r="T87" i="1" s="1"/>
  <c r="U87" i="1" s="1"/>
  <c r="V87" i="1" s="1"/>
  <c r="BK91" i="1"/>
  <c r="BK93" i="1"/>
  <c r="BK104" i="1"/>
  <c r="BP104" i="1" s="1"/>
  <c r="BQ104" i="1" s="1"/>
  <c r="BR104" i="1" s="1"/>
  <c r="BS104" i="1" s="1"/>
  <c r="BN108" i="1"/>
  <c r="BM108" i="1"/>
  <c r="BN116" i="1"/>
  <c r="BM116" i="1"/>
  <c r="BM127" i="1"/>
  <c r="BN127" i="1"/>
  <c r="BN136" i="1"/>
  <c r="BM136" i="1"/>
  <c r="BN139" i="1"/>
  <c r="BM139" i="1"/>
  <c r="BK155" i="1"/>
  <c r="BK156" i="1"/>
  <c r="BK191" i="1"/>
  <c r="BP191" i="1" s="1"/>
  <c r="BQ191" i="1" s="1"/>
  <c r="BR191" i="1" s="1"/>
  <c r="BS191" i="1" s="1"/>
  <c r="AD230" i="1"/>
  <c r="BN239" i="1"/>
  <c r="BN241" i="1"/>
  <c r="BM241" i="1"/>
  <c r="BK27" i="1"/>
  <c r="BP27" i="1" s="1"/>
  <c r="BQ27" i="1" s="1"/>
  <c r="BR27" i="1" s="1"/>
  <c r="BS27" i="1" s="1"/>
  <c r="BK31" i="1"/>
  <c r="BP31" i="1" s="1"/>
  <c r="BQ31" i="1" s="1"/>
  <c r="BR31" i="1" s="1"/>
  <c r="BS31" i="1" s="1"/>
  <c r="BK49" i="1"/>
  <c r="BP49" i="1" s="1"/>
  <c r="BQ49" i="1" s="1"/>
  <c r="BR49" i="1" s="1"/>
  <c r="BS49" i="1" s="1"/>
  <c r="BN120" i="1"/>
  <c r="BM120" i="1"/>
  <c r="BM168" i="1"/>
  <c r="BN168" i="1"/>
  <c r="S3" i="1"/>
  <c r="T3" i="1" s="1"/>
  <c r="BK4" i="1"/>
  <c r="S6" i="1"/>
  <c r="T6" i="1" s="1"/>
  <c r="U6" i="1" s="1"/>
  <c r="V6" i="1" s="1"/>
  <c r="S10" i="1"/>
  <c r="T10" i="1" s="1"/>
  <c r="U10" i="1" s="1"/>
  <c r="V10" i="1" s="1"/>
  <c r="W10" i="1" s="1"/>
  <c r="S17" i="1"/>
  <c r="T17" i="1" s="1"/>
  <c r="U17" i="1" s="1"/>
  <c r="V17" i="1" s="1"/>
  <c r="S19" i="1"/>
  <c r="T19" i="1" s="1"/>
  <c r="U19" i="1" s="1"/>
  <c r="V19" i="1" s="1"/>
  <c r="S37" i="1"/>
  <c r="T37" i="1" s="1"/>
  <c r="U37" i="1" s="1"/>
  <c r="V37" i="1" s="1"/>
  <c r="BK37" i="1"/>
  <c r="BP37" i="1" s="1"/>
  <c r="BQ37" i="1" s="1"/>
  <c r="BR37" i="1" s="1"/>
  <c r="BS37" i="1" s="1"/>
  <c r="S42" i="1"/>
  <c r="T42" i="1" s="1"/>
  <c r="U42" i="1" s="1"/>
  <c r="V42" i="1" s="1"/>
  <c r="BK53" i="1"/>
  <c r="BM56" i="1"/>
  <c r="BN56" i="1"/>
  <c r="BM64" i="1"/>
  <c r="BN64" i="1"/>
  <c r="BM71" i="1"/>
  <c r="BN71" i="1"/>
  <c r="S74" i="1"/>
  <c r="T74" i="1" s="1"/>
  <c r="U74" i="1" s="1"/>
  <c r="V74" i="1" s="1"/>
  <c r="BK86" i="1"/>
  <c r="BK97" i="1"/>
  <c r="BP97" i="1" s="1"/>
  <c r="BQ97" i="1" s="1"/>
  <c r="BR97" i="1" s="1"/>
  <c r="BS97" i="1" s="1"/>
  <c r="BK103" i="1"/>
  <c r="BK150" i="1"/>
  <c r="BM156" i="1"/>
  <c r="BN156" i="1"/>
  <c r="S54" i="1"/>
  <c r="T54" i="1" s="1"/>
  <c r="U54" i="1" s="1"/>
  <c r="V54" i="1" s="1"/>
  <c r="BK67" i="1"/>
  <c r="BK73" i="1"/>
  <c r="AH75" i="1"/>
  <c r="S80" i="1"/>
  <c r="T80" i="1" s="1"/>
  <c r="U80" i="1" s="1"/>
  <c r="V80" i="1" s="1"/>
  <c r="BK80" i="1"/>
  <c r="BK82" i="1"/>
  <c r="S90" i="1"/>
  <c r="T90" i="1" s="1"/>
  <c r="U90" i="1" s="1"/>
  <c r="V90" i="1" s="1"/>
  <c r="S92" i="1"/>
  <c r="T92" i="1" s="1"/>
  <c r="U92" i="1" s="1"/>
  <c r="V92" i="1" s="1"/>
  <c r="BK98" i="1"/>
  <c r="S107" i="1"/>
  <c r="T107" i="1" s="1"/>
  <c r="U107" i="1" s="1"/>
  <c r="V107" i="1" s="1"/>
  <c r="BK107" i="1"/>
  <c r="BK115" i="1"/>
  <c r="S126" i="1"/>
  <c r="T126" i="1" s="1"/>
  <c r="U126" i="1" s="1"/>
  <c r="V126" i="1" s="1"/>
  <c r="S130" i="1"/>
  <c r="BK131" i="1"/>
  <c r="BK137" i="1"/>
  <c r="BM140" i="1"/>
  <c r="BN140" i="1"/>
  <c r="BK143" i="1"/>
  <c r="BK153" i="1"/>
  <c r="BN159" i="1"/>
  <c r="BM159" i="1"/>
  <c r="BK161" i="1"/>
  <c r="S163" i="1"/>
  <c r="T163" i="1" s="1"/>
  <c r="U163" i="1" s="1"/>
  <c r="V163" i="1" s="1"/>
  <c r="W163" i="1" s="1"/>
  <c r="X163" i="1" s="1"/>
  <c r="BN167" i="1"/>
  <c r="BM167" i="1"/>
  <c r="BK169" i="1"/>
  <c r="BK170" i="1"/>
  <c r="BK177" i="1"/>
  <c r="S179" i="1"/>
  <c r="T179" i="1" s="1"/>
  <c r="U179" i="1" s="1"/>
  <c r="V179" i="1" s="1"/>
  <c r="W179" i="1" s="1"/>
  <c r="BN183" i="1"/>
  <c r="BM183" i="1"/>
  <c r="BN193" i="1"/>
  <c r="BM193" i="1"/>
  <c r="AF229" i="1"/>
  <c r="AB229" i="1"/>
  <c r="Z229" i="1"/>
  <c r="AF231" i="1"/>
  <c r="AD231" i="1"/>
  <c r="Z231" i="1"/>
  <c r="BN233" i="1"/>
  <c r="BM233" i="1"/>
  <c r="BK238" i="1"/>
  <c r="BP238" i="1" s="1"/>
  <c r="BQ238" i="1" s="1"/>
  <c r="BR238" i="1" s="1"/>
  <c r="BS238" i="1" s="1"/>
  <c r="BN54" i="1"/>
  <c r="S67" i="1"/>
  <c r="T67" i="1" s="1"/>
  <c r="U67" i="1" s="1"/>
  <c r="V67" i="1" s="1"/>
  <c r="BK69" i="1"/>
  <c r="S75" i="1"/>
  <c r="T75" i="1" s="1"/>
  <c r="U75" i="1" s="1"/>
  <c r="V75" i="1" s="1"/>
  <c r="S82" i="1"/>
  <c r="T82" i="1" s="1"/>
  <c r="U82" i="1" s="1"/>
  <c r="V82" i="1" s="1"/>
  <c r="S84" i="1"/>
  <c r="T84" i="1" s="1"/>
  <c r="U84" i="1" s="1"/>
  <c r="V84" i="1" s="1"/>
  <c r="BM87" i="1"/>
  <c r="BN88" i="1"/>
  <c r="BN92" i="1"/>
  <c r="Q93" i="1"/>
  <c r="S93" i="1" s="1"/>
  <c r="T93" i="1" s="1"/>
  <c r="U93" i="1" s="1"/>
  <c r="V93" i="1" s="1"/>
  <c r="BM94" i="1"/>
  <c r="P97" i="1"/>
  <c r="S99" i="1"/>
  <c r="T99" i="1" s="1"/>
  <c r="U99" i="1" s="1"/>
  <c r="V99" i="1" s="1"/>
  <c r="W99" i="1" s="1"/>
  <c r="P100" i="1"/>
  <c r="S111" i="1"/>
  <c r="T111" i="1" s="1"/>
  <c r="U111" i="1" s="1"/>
  <c r="V111" i="1" s="1"/>
  <c r="W111" i="1" s="1"/>
  <c r="BK113" i="1"/>
  <c r="S115" i="1"/>
  <c r="T115" i="1" s="1"/>
  <c r="U115" i="1" s="1"/>
  <c r="V115" i="1" s="1"/>
  <c r="BK117" i="1"/>
  <c r="S119" i="1"/>
  <c r="T119" i="1" s="1"/>
  <c r="U119" i="1" s="1"/>
  <c r="V119" i="1" s="1"/>
  <c r="W119" i="1" s="1"/>
  <c r="S122" i="1"/>
  <c r="T122" i="1" s="1"/>
  <c r="U122" i="1" s="1"/>
  <c r="V122" i="1" s="1"/>
  <c r="BK122" i="1"/>
  <c r="BP122" i="1" s="1"/>
  <c r="BQ122" i="1" s="1"/>
  <c r="BR122" i="1" s="1"/>
  <c r="BS122" i="1" s="1"/>
  <c r="BK125" i="1"/>
  <c r="BN126" i="1"/>
  <c r="BM126" i="1"/>
  <c r="BK134" i="1"/>
  <c r="BK136" i="1"/>
  <c r="BK147" i="1"/>
  <c r="BK157" i="1"/>
  <c r="BP157" i="1" s="1"/>
  <c r="BQ157" i="1" s="1"/>
  <c r="BR157" i="1" s="1"/>
  <c r="BS157" i="1" s="1"/>
  <c r="BM158" i="1"/>
  <c r="BN158" i="1"/>
  <c r="BK160" i="1"/>
  <c r="BK168" i="1"/>
  <c r="BM170" i="1"/>
  <c r="BN170" i="1"/>
  <c r="BK173" i="1"/>
  <c r="S178" i="1"/>
  <c r="T178" i="1" s="1"/>
  <c r="U178" i="1" s="1"/>
  <c r="V178" i="1" s="1"/>
  <c r="BK181" i="1"/>
  <c r="S187" i="1"/>
  <c r="BK188" i="1"/>
  <c r="BK195" i="1"/>
  <c r="BP195" i="1" s="1"/>
  <c r="BQ195" i="1" s="1"/>
  <c r="BR195" i="1" s="1"/>
  <c r="BS195" i="1" s="1"/>
  <c r="BK200" i="1"/>
  <c r="AF233" i="1"/>
  <c r="AH233" i="1"/>
  <c r="AD233" i="1"/>
  <c r="AF234" i="1"/>
  <c r="AH234" i="1"/>
  <c r="AD234" i="1"/>
  <c r="AF236" i="1"/>
  <c r="AD236" i="1"/>
  <c r="Z236" i="1"/>
  <c r="BK237" i="1"/>
  <c r="S123" i="1"/>
  <c r="T123" i="1" s="1"/>
  <c r="U123" i="1" s="1"/>
  <c r="V123" i="1" s="1"/>
  <c r="BK123" i="1"/>
  <c r="S133" i="1"/>
  <c r="T133" i="1" s="1"/>
  <c r="U133" i="1" s="1"/>
  <c r="V133" i="1" s="1"/>
  <c r="W133" i="1" s="1"/>
  <c r="BK135" i="1"/>
  <c r="BP135" i="1" s="1"/>
  <c r="BQ135" i="1" s="1"/>
  <c r="BR135" i="1" s="1"/>
  <c r="BS135" i="1" s="1"/>
  <c r="S152" i="1"/>
  <c r="T152" i="1" s="1"/>
  <c r="U152" i="1" s="1"/>
  <c r="V152" i="1" s="1"/>
  <c r="W152" i="1" s="1"/>
  <c r="S159" i="1"/>
  <c r="T159" i="1" s="1"/>
  <c r="U159" i="1" s="1"/>
  <c r="V159" i="1" s="1"/>
  <c r="W159" i="1" s="1"/>
  <c r="S182" i="1"/>
  <c r="T182" i="1" s="1"/>
  <c r="U182" i="1" s="1"/>
  <c r="V182" i="1" s="1"/>
  <c r="W182" i="1" s="1"/>
  <c r="S183" i="1"/>
  <c r="T183" i="1" s="1"/>
  <c r="U183" i="1" s="1"/>
  <c r="V183" i="1" s="1"/>
  <c r="W183" i="1" s="1"/>
  <c r="BK186" i="1"/>
  <c r="S192" i="1"/>
  <c r="T192" i="1" s="1"/>
  <c r="U192" i="1" s="1"/>
  <c r="V192" i="1" s="1"/>
  <c r="W192" i="1" s="1"/>
  <c r="S196" i="1"/>
  <c r="T196" i="1" s="1"/>
  <c r="U196" i="1" s="1"/>
  <c r="V196" i="1" s="1"/>
  <c r="W196" i="1" s="1"/>
  <c r="S232" i="1"/>
  <c r="T232" i="1" s="1"/>
  <c r="U232" i="1" s="1"/>
  <c r="V232" i="1" s="1"/>
  <c r="BK130" i="1"/>
  <c r="S139" i="1"/>
  <c r="S146" i="1"/>
  <c r="T146" i="1" s="1"/>
  <c r="U146" i="1" s="1"/>
  <c r="V146" i="1" s="1"/>
  <c r="W146" i="1" s="1"/>
  <c r="BM149" i="1"/>
  <c r="BN152" i="1"/>
  <c r="BK162" i="1"/>
  <c r="S174" i="1"/>
  <c r="T174" i="1" s="1"/>
  <c r="U174" i="1" s="1"/>
  <c r="V174" i="1" s="1"/>
  <c r="S176" i="1"/>
  <c r="T176" i="1" s="1"/>
  <c r="U176" i="1" s="1"/>
  <c r="V176" i="1" s="1"/>
  <c r="BK178" i="1"/>
  <c r="BP178" i="1" s="1"/>
  <c r="BQ178" i="1" s="1"/>
  <c r="BR178" i="1" s="1"/>
  <c r="BS178" i="1" s="1"/>
  <c r="S180" i="1"/>
  <c r="T180" i="1" s="1"/>
  <c r="U180" i="1" s="1"/>
  <c r="V180" i="1" s="1"/>
  <c r="W180" i="1" s="1"/>
  <c r="S186" i="1"/>
  <c r="T186" i="1" s="1"/>
  <c r="U186" i="1" s="1"/>
  <c r="V186" i="1" s="1"/>
  <c r="BK190" i="1"/>
  <c r="BM191" i="1"/>
  <c r="BN194" i="1"/>
  <c r="BN196" i="1"/>
  <c r="BK198" i="1"/>
  <c r="BM199" i="1"/>
  <c r="BN201" i="1"/>
  <c r="BN202" i="1"/>
  <c r="BM203" i="1"/>
  <c r="Z232" i="1"/>
  <c r="Z235" i="1"/>
  <c r="BM236" i="1"/>
  <c r="BM240" i="1"/>
  <c r="BK241" i="1"/>
  <c r="BM242" i="1"/>
  <c r="BN30" i="1"/>
  <c r="BM30" i="1"/>
  <c r="BN86" i="1"/>
  <c r="BM86" i="1"/>
  <c r="BM6" i="1"/>
  <c r="S8" i="1"/>
  <c r="BN12" i="1"/>
  <c r="BM12" i="1"/>
  <c r="BN16" i="1"/>
  <c r="BM16" i="1"/>
  <c r="BN20" i="1"/>
  <c r="BM20" i="1"/>
  <c r="BN21" i="1"/>
  <c r="BM21" i="1"/>
  <c r="BN22" i="1"/>
  <c r="BM22" i="1"/>
  <c r="BK38" i="1"/>
  <c r="BP38" i="1" s="1"/>
  <c r="BQ38" i="1" s="1"/>
  <c r="BR38" i="1" s="1"/>
  <c r="BS38" i="1" s="1"/>
  <c r="BK42" i="1"/>
  <c r="BK46" i="1"/>
  <c r="BP46" i="1" s="1"/>
  <c r="BQ46" i="1" s="1"/>
  <c r="BR46" i="1" s="1"/>
  <c r="BS46" i="1" s="1"/>
  <c r="BK50" i="1"/>
  <c r="BP50" i="1" s="1"/>
  <c r="BQ50" i="1" s="1"/>
  <c r="BR50" i="1" s="1"/>
  <c r="BS50" i="1" s="1"/>
  <c r="BM60" i="1"/>
  <c r="BN60" i="1"/>
  <c r="BN78" i="1"/>
  <c r="BM78" i="1"/>
  <c r="BN3" i="1"/>
  <c r="BN26" i="1"/>
  <c r="BM26" i="1"/>
  <c r="BN34" i="1"/>
  <c r="BM34" i="1"/>
  <c r="N243" i="1"/>
  <c r="BO243" i="1"/>
  <c r="BM7" i="1"/>
  <c r="BK10" i="1"/>
  <c r="S12" i="1"/>
  <c r="BK14" i="1"/>
  <c r="BP14" i="1" s="1"/>
  <c r="BQ14" i="1" s="1"/>
  <c r="BR14" i="1" s="1"/>
  <c r="BS14" i="1" s="1"/>
  <c r="S16" i="1"/>
  <c r="BK18" i="1"/>
  <c r="BP18" i="1" s="1"/>
  <c r="BQ18" i="1" s="1"/>
  <c r="BR18" i="1" s="1"/>
  <c r="BS18" i="1" s="1"/>
  <c r="S20" i="1"/>
  <c r="S21" i="1"/>
  <c r="S22" i="1"/>
  <c r="S40" i="1"/>
  <c r="BN40" i="1"/>
  <c r="BM40" i="1"/>
  <c r="S44" i="1"/>
  <c r="BN44" i="1"/>
  <c r="BM44" i="1"/>
  <c r="S48" i="1"/>
  <c r="BN48" i="1"/>
  <c r="BM48" i="1"/>
  <c r="S52" i="1"/>
  <c r="BN52" i="1"/>
  <c r="BM52" i="1"/>
  <c r="BK54" i="1"/>
  <c r="BM58" i="1"/>
  <c r="BN58" i="1"/>
  <c r="BM69" i="1"/>
  <c r="BN69" i="1"/>
  <c r="BN73" i="1"/>
  <c r="BM73" i="1"/>
  <c r="BM105" i="1"/>
  <c r="BN105" i="1"/>
  <c r="BK24" i="1"/>
  <c r="BJ243" i="1"/>
  <c r="S62" i="1"/>
  <c r="S64" i="1"/>
  <c r="BK71" i="1"/>
  <c r="S73" i="1"/>
  <c r="BK76" i="1"/>
  <c r="S78" i="1"/>
  <c r="BK84" i="1"/>
  <c r="S86" i="1"/>
  <c r="BK92" i="1"/>
  <c r="BK95" i="1"/>
  <c r="BM144" i="1"/>
  <c r="BN144" i="1"/>
  <c r="S58" i="1"/>
  <c r="S60" i="1"/>
  <c r="S69" i="1"/>
  <c r="BN82" i="1"/>
  <c r="BM82" i="1"/>
  <c r="BN90" i="1"/>
  <c r="BM90" i="1"/>
  <c r="BN99" i="1"/>
  <c r="BM99" i="1"/>
  <c r="AB75" i="1"/>
  <c r="BK109" i="1"/>
  <c r="BN113" i="1"/>
  <c r="BM113" i="1"/>
  <c r="BN125" i="1"/>
  <c r="BM125" i="1"/>
  <c r="BN137" i="1"/>
  <c r="BM137" i="1"/>
  <c r="BK138" i="1"/>
  <c r="S105" i="1"/>
  <c r="BK111" i="1"/>
  <c r="S113" i="1"/>
  <c r="BK119" i="1"/>
  <c r="BN121" i="1"/>
  <c r="BM121" i="1"/>
  <c r="S125" i="1"/>
  <c r="P93" i="1"/>
  <c r="Q98" i="1"/>
  <c r="S98" i="1" s="1"/>
  <c r="BM101" i="1"/>
  <c r="S103" i="1"/>
  <c r="BK105" i="1"/>
  <c r="BN109" i="1"/>
  <c r="BN117" i="1"/>
  <c r="BM117" i="1"/>
  <c r="S121" i="1"/>
  <c r="BN132" i="1"/>
  <c r="BM132" i="1"/>
  <c r="BK133" i="1"/>
  <c r="BM142" i="1"/>
  <c r="BN142" i="1"/>
  <c r="Q102" i="1"/>
  <c r="S102" i="1" s="1"/>
  <c r="BK127" i="1"/>
  <c r="BN154" i="1"/>
  <c r="BM154" i="1"/>
  <c r="BK193" i="1"/>
  <c r="S142" i="1"/>
  <c r="S144" i="1"/>
  <c r="BN150" i="1"/>
  <c r="BM150" i="1"/>
  <c r="BK152" i="1"/>
  <c r="S154" i="1"/>
  <c r="BN179" i="1"/>
  <c r="BM179" i="1"/>
  <c r="S129" i="1"/>
  <c r="BN133" i="1"/>
  <c r="BN138" i="1"/>
  <c r="BK142" i="1"/>
  <c r="BK144" i="1"/>
  <c r="BN146" i="1"/>
  <c r="BM146" i="1"/>
  <c r="BK148" i="1"/>
  <c r="S150" i="1"/>
  <c r="BK158" i="1"/>
  <c r="S162" i="1"/>
  <c r="BK164" i="1"/>
  <c r="BK166" i="1"/>
  <c r="BN172" i="1"/>
  <c r="BM172" i="1"/>
  <c r="BK174" i="1"/>
  <c r="S172" i="1"/>
  <c r="BN182" i="1"/>
  <c r="BM182" i="1"/>
  <c r="S185" i="1"/>
  <c r="BK185" i="1"/>
  <c r="BM200" i="1"/>
  <c r="BN200" i="1"/>
  <c r="BN164" i="1"/>
  <c r="BN166" i="1"/>
  <c r="S189" i="1"/>
  <c r="BK189" i="1"/>
  <c r="S235" i="1"/>
  <c r="T235" i="1" s="1"/>
  <c r="U235" i="1" s="1"/>
  <c r="V235" i="1" s="1"/>
  <c r="BK235" i="1"/>
  <c r="BK201" i="1"/>
  <c r="AD239" i="1"/>
  <c r="AB239" i="1"/>
  <c r="AH239" i="1"/>
  <c r="Z239" i="1"/>
  <c r="AF239" i="1"/>
  <c r="BK196" i="1"/>
  <c r="BN180" i="1"/>
  <c r="BK182" i="1"/>
  <c r="BN184" i="1"/>
  <c r="BM184" i="1"/>
  <c r="BN188" i="1"/>
  <c r="BM188" i="1"/>
  <c r="BN192" i="1"/>
  <c r="BM192" i="1"/>
  <c r="BK194" i="1"/>
  <c r="BK202" i="1"/>
  <c r="S233" i="1"/>
  <c r="T233" i="1" s="1"/>
  <c r="U233" i="1" s="1"/>
  <c r="V233" i="1" s="1"/>
  <c r="BK233" i="1"/>
  <c r="S236" i="1"/>
  <c r="T236" i="1" s="1"/>
  <c r="U236" i="1" s="1"/>
  <c r="V236" i="1" s="1"/>
  <c r="BK236" i="1"/>
  <c r="BP236" i="1" s="1"/>
  <c r="BQ236" i="1" s="1"/>
  <c r="BR236" i="1" s="1"/>
  <c r="BS236" i="1" s="1"/>
  <c r="BK239" i="1"/>
  <c r="S200" i="1"/>
  <c r="S229" i="1"/>
  <c r="T229" i="1" s="1"/>
  <c r="U229" i="1" s="1"/>
  <c r="V229" i="1" s="1"/>
  <c r="S231" i="1"/>
  <c r="T231" i="1" s="1"/>
  <c r="U231" i="1" s="1"/>
  <c r="V231" i="1" s="1"/>
  <c r="BK231" i="1"/>
  <c r="S237" i="1"/>
  <c r="AD241" i="1"/>
  <c r="AB241" i="1"/>
  <c r="AH241" i="1"/>
  <c r="Z241" i="1"/>
  <c r="AF241" i="1"/>
  <c r="S230" i="1"/>
  <c r="T230" i="1" s="1"/>
  <c r="U230" i="1" s="1"/>
  <c r="V230" i="1" s="1"/>
  <c r="BK230" i="1"/>
  <c r="BP230" i="1" s="1"/>
  <c r="BQ230" i="1" s="1"/>
  <c r="BR230" i="1" s="1"/>
  <c r="BS230" i="1" s="1"/>
  <c r="S234" i="1"/>
  <c r="T234" i="1" s="1"/>
  <c r="U234" i="1" s="1"/>
  <c r="V234" i="1" s="1"/>
  <c r="AB231" i="1"/>
  <c r="AB232" i="1"/>
  <c r="AB233" i="1"/>
  <c r="AB234" i="1"/>
  <c r="AB235" i="1"/>
  <c r="AB236" i="1"/>
  <c r="AF242" i="1"/>
  <c r="Z242" i="1"/>
  <c r="AJ216" i="1" l="1"/>
  <c r="T201" i="1"/>
  <c r="U201" i="1" s="1"/>
  <c r="V201" i="1" s="1"/>
  <c r="W201" i="1" s="1"/>
  <c r="X201" i="1" s="1"/>
  <c r="AJ214" i="1"/>
  <c r="AJ212" i="1"/>
  <c r="T202" i="1"/>
  <c r="U202" i="1" s="1"/>
  <c r="V202" i="1" s="1"/>
  <c r="W202" i="1" s="1"/>
  <c r="X202" i="1" s="1"/>
  <c r="AJ205" i="1"/>
  <c r="AJ208" i="1"/>
  <c r="AJ206" i="1"/>
  <c r="AJ209" i="1"/>
  <c r="AJ213" i="1"/>
  <c r="T203" i="1"/>
  <c r="U203" i="1" s="1"/>
  <c r="V203" i="1" s="1"/>
  <c r="W203" i="1" s="1"/>
  <c r="X203" i="1" s="1"/>
  <c r="AJ204" i="1"/>
  <c r="AJ207" i="1"/>
  <c r="AJ211" i="1"/>
  <c r="AJ219" i="1"/>
  <c r="AJ220" i="1"/>
  <c r="AJ218" i="1"/>
  <c r="AJ215" i="1"/>
  <c r="AJ217" i="1"/>
  <c r="AJ210" i="1"/>
  <c r="BP185" i="1"/>
  <c r="BQ185" i="1" s="1"/>
  <c r="BR185" i="1" s="1"/>
  <c r="BS185" i="1" s="1"/>
  <c r="BP44" i="1"/>
  <c r="BQ44" i="1" s="1"/>
  <c r="BR44" i="1" s="1"/>
  <c r="BS44" i="1" s="1"/>
  <c r="BP68" i="1"/>
  <c r="BQ68" i="1" s="1"/>
  <c r="BR68" i="1" s="1"/>
  <c r="BS68" i="1" s="1"/>
  <c r="BT68" i="1" s="1"/>
  <c r="BP147" i="1"/>
  <c r="BQ147" i="1" s="1"/>
  <c r="BR147" i="1" s="1"/>
  <c r="BS147" i="1" s="1"/>
  <c r="BT147" i="1" s="1"/>
  <c r="W32" i="1"/>
  <c r="X32" i="1" s="1"/>
  <c r="BP165" i="1"/>
  <c r="BQ165" i="1" s="1"/>
  <c r="BR165" i="1" s="1"/>
  <c r="BS165" i="1" s="1"/>
  <c r="BT165" i="1" s="1"/>
  <c r="BP172" i="1"/>
  <c r="BQ172" i="1" s="1"/>
  <c r="BR172" i="1" s="1"/>
  <c r="BS172" i="1" s="1"/>
  <c r="BP10" i="1"/>
  <c r="BQ10" i="1" s="1"/>
  <c r="BR10" i="1" s="1"/>
  <c r="BS10" i="1" s="1"/>
  <c r="BT10" i="1" s="1"/>
  <c r="BP169" i="1"/>
  <c r="BQ169" i="1" s="1"/>
  <c r="BR169" i="1" s="1"/>
  <c r="BS169" i="1" s="1"/>
  <c r="BT169" i="1" s="1"/>
  <c r="BP62" i="1"/>
  <c r="BQ62" i="1" s="1"/>
  <c r="BR62" i="1" s="1"/>
  <c r="BS62" i="1" s="1"/>
  <c r="BP26" i="1"/>
  <c r="BQ26" i="1" s="1"/>
  <c r="BR26" i="1" s="1"/>
  <c r="BS26" i="1" s="1"/>
  <c r="BT26" i="1" s="1"/>
  <c r="W93" i="1"/>
  <c r="X93" i="1" s="1"/>
  <c r="W97" i="1"/>
  <c r="X97" i="1" s="1"/>
  <c r="BP179" i="1"/>
  <c r="BQ179" i="1" s="1"/>
  <c r="BR179" i="1" s="1"/>
  <c r="BS179" i="1" s="1"/>
  <c r="BT179" i="1" s="1"/>
  <c r="BT104" i="1"/>
  <c r="BP78" i="1"/>
  <c r="BQ78" i="1" s="1"/>
  <c r="BR78" i="1" s="1"/>
  <c r="BS78" i="1" s="1"/>
  <c r="W174" i="1"/>
  <c r="X174" i="1" s="1"/>
  <c r="BP154" i="1"/>
  <c r="BQ154" i="1" s="1"/>
  <c r="BR154" i="1" s="1"/>
  <c r="BS154" i="1" s="1"/>
  <c r="BP123" i="1"/>
  <c r="BQ123" i="1" s="1"/>
  <c r="BR123" i="1" s="1"/>
  <c r="BS123" i="1" s="1"/>
  <c r="BT123" i="1" s="1"/>
  <c r="W123" i="1"/>
  <c r="X123" i="1" s="1"/>
  <c r="BP48" i="1"/>
  <c r="BQ48" i="1" s="1"/>
  <c r="BR48" i="1" s="1"/>
  <c r="BS48" i="1" s="1"/>
  <c r="BP181" i="1"/>
  <c r="BQ181" i="1" s="1"/>
  <c r="BR181" i="1" s="1"/>
  <c r="BS181" i="1" s="1"/>
  <c r="BT181" i="1" s="1"/>
  <c r="BP196" i="1"/>
  <c r="BQ196" i="1" s="1"/>
  <c r="BR196" i="1" s="1"/>
  <c r="BS196" i="1" s="1"/>
  <c r="BT196" i="1" s="1"/>
  <c r="W199" i="1"/>
  <c r="X199" i="1" s="1"/>
  <c r="BP202" i="1"/>
  <c r="BQ202" i="1" s="1"/>
  <c r="BR202" i="1" s="1"/>
  <c r="BS202" i="1" s="1"/>
  <c r="BT202" i="1" s="1"/>
  <c r="W91" i="1"/>
  <c r="X91" i="1" s="1"/>
  <c r="BP120" i="1"/>
  <c r="BQ120" i="1" s="1"/>
  <c r="BR120" i="1" s="1"/>
  <c r="BS120" i="1" s="1"/>
  <c r="BT120" i="1" s="1"/>
  <c r="BT157" i="1"/>
  <c r="W157" i="1"/>
  <c r="X157" i="1" s="1"/>
  <c r="BP60" i="1"/>
  <c r="BQ60" i="1" s="1"/>
  <c r="BR60" i="1" s="1"/>
  <c r="BS60" i="1" s="1"/>
  <c r="BP76" i="1"/>
  <c r="BQ76" i="1" s="1"/>
  <c r="BR76" i="1" s="1"/>
  <c r="BS76" i="1" s="1"/>
  <c r="BT76" i="1" s="1"/>
  <c r="BP197" i="1"/>
  <c r="BQ197" i="1" s="1"/>
  <c r="BR197" i="1" s="1"/>
  <c r="BS197" i="1" s="1"/>
  <c r="BT197" i="1" s="1"/>
  <c r="BP151" i="1"/>
  <c r="BQ151" i="1" s="1"/>
  <c r="BR151" i="1" s="1"/>
  <c r="BS151" i="1" s="1"/>
  <c r="BT151" i="1" s="1"/>
  <c r="BP235" i="1"/>
  <c r="BQ235" i="1" s="1"/>
  <c r="BR235" i="1" s="1"/>
  <c r="BS235" i="1" s="1"/>
  <c r="BT235" i="1" s="1"/>
  <c r="W148" i="1"/>
  <c r="X148" i="1" s="1"/>
  <c r="BP187" i="1"/>
  <c r="BQ187" i="1" s="1"/>
  <c r="BR187" i="1" s="1"/>
  <c r="BS187" i="1" s="1"/>
  <c r="BP20" i="1"/>
  <c r="BQ20" i="1" s="1"/>
  <c r="BR20" i="1" s="1"/>
  <c r="BS20" i="1" s="1"/>
  <c r="BP176" i="1"/>
  <c r="BQ176" i="1" s="1"/>
  <c r="BR176" i="1" s="1"/>
  <c r="BS176" i="1" s="1"/>
  <c r="BT176" i="1" s="1"/>
  <c r="W143" i="1"/>
  <c r="X143" i="1" s="1"/>
  <c r="AB143" i="1" s="1"/>
  <c r="W173" i="1"/>
  <c r="X173" i="1" s="1"/>
  <c r="W170" i="1"/>
  <c r="X170" i="1" s="1"/>
  <c r="BP121" i="1"/>
  <c r="BQ121" i="1" s="1"/>
  <c r="BR121" i="1" s="1"/>
  <c r="BS121" i="1" s="1"/>
  <c r="BP84" i="1"/>
  <c r="BQ84" i="1" s="1"/>
  <c r="BR84" i="1" s="1"/>
  <c r="BS84" i="1" s="1"/>
  <c r="BT84" i="1" s="1"/>
  <c r="BP189" i="1"/>
  <c r="BQ189" i="1" s="1"/>
  <c r="BR189" i="1" s="1"/>
  <c r="BS189" i="1" s="1"/>
  <c r="W127" i="1"/>
  <c r="X127" i="1" s="1"/>
  <c r="BM93" i="1"/>
  <c r="BP126" i="1"/>
  <c r="BQ126" i="1" s="1"/>
  <c r="BR126" i="1" s="1"/>
  <c r="BS126" i="1" s="1"/>
  <c r="BT126" i="1" s="1"/>
  <c r="W155" i="1"/>
  <c r="X155" i="1" s="1"/>
  <c r="BP201" i="1"/>
  <c r="BQ201" i="1" s="1"/>
  <c r="BR201" i="1" s="1"/>
  <c r="BS201" i="1" s="1"/>
  <c r="W87" i="1"/>
  <c r="X87" i="1" s="1"/>
  <c r="BT14" i="1"/>
  <c r="BT141" i="1"/>
  <c r="BT70" i="1"/>
  <c r="BT106" i="1"/>
  <c r="BP86" i="1"/>
  <c r="BQ86" i="1" s="1"/>
  <c r="BR86" i="1" s="1"/>
  <c r="BS86" i="1" s="1"/>
  <c r="BP111" i="1"/>
  <c r="BQ111" i="1" s="1"/>
  <c r="BR111" i="1" s="1"/>
  <c r="BS111" i="1" s="1"/>
  <c r="BT111" i="1" s="1"/>
  <c r="W101" i="1"/>
  <c r="X101" i="1" s="1"/>
  <c r="BP24" i="1"/>
  <c r="BQ24" i="1" s="1"/>
  <c r="BR24" i="1" s="1"/>
  <c r="BS24" i="1" s="1"/>
  <c r="BT24" i="1" s="1"/>
  <c r="BP163" i="1"/>
  <c r="BQ163" i="1" s="1"/>
  <c r="BR163" i="1" s="1"/>
  <c r="BS163" i="1" s="1"/>
  <c r="BP77" i="1"/>
  <c r="BQ77" i="1" s="1"/>
  <c r="BR77" i="1" s="1"/>
  <c r="BS77" i="1" s="1"/>
  <c r="BP184" i="1"/>
  <c r="BQ184" i="1" s="1"/>
  <c r="BR184" i="1" s="1"/>
  <c r="BS184" i="1" s="1"/>
  <c r="BT184" i="1" s="1"/>
  <c r="BP53" i="1"/>
  <c r="BQ53" i="1" s="1"/>
  <c r="BR53" i="1" s="1"/>
  <c r="BS53" i="1" s="1"/>
  <c r="BT53" i="1" s="1"/>
  <c r="BT55" i="1"/>
  <c r="W55" i="1"/>
  <c r="X55" i="1" s="1"/>
  <c r="BT61" i="1"/>
  <c r="W28" i="1"/>
  <c r="X28" i="1" s="1"/>
  <c r="BP21" i="1"/>
  <c r="BQ21" i="1" s="1"/>
  <c r="BR21" i="1" s="1"/>
  <c r="BS21" i="1" s="1"/>
  <c r="BP183" i="1"/>
  <c r="BQ183" i="1" s="1"/>
  <c r="BR183" i="1" s="1"/>
  <c r="BS183" i="1" s="1"/>
  <c r="BT183" i="1" s="1"/>
  <c r="W59" i="1"/>
  <c r="X59" i="1" s="1"/>
  <c r="AF59" i="1" s="1"/>
  <c r="BT94" i="1"/>
  <c r="BT79" i="1"/>
  <c r="BL243" i="1"/>
  <c r="W198" i="1"/>
  <c r="X198" i="1" s="1"/>
  <c r="BP239" i="1"/>
  <c r="BQ239" i="1" s="1"/>
  <c r="BR239" i="1" s="1"/>
  <c r="BS239" i="1" s="1"/>
  <c r="BT239" i="1" s="1"/>
  <c r="W88" i="1"/>
  <c r="X88" i="1" s="1"/>
  <c r="W50" i="1"/>
  <c r="X50" i="1" s="1"/>
  <c r="BP114" i="1"/>
  <c r="BQ114" i="1" s="1"/>
  <c r="BR114" i="1" s="1"/>
  <c r="BS114" i="1" s="1"/>
  <c r="BT114" i="1" s="1"/>
  <c r="W171" i="1"/>
  <c r="X171" i="1" s="1"/>
  <c r="P243" i="1"/>
  <c r="W79" i="1"/>
  <c r="X79" i="1" s="1"/>
  <c r="W92" i="1"/>
  <c r="X92" i="1" s="1"/>
  <c r="BT50" i="1"/>
  <c r="BP22" i="1"/>
  <c r="BQ22" i="1" s="1"/>
  <c r="BR22" i="1" s="1"/>
  <c r="BS22" i="1" s="1"/>
  <c r="BP12" i="1"/>
  <c r="BQ12" i="1" s="1"/>
  <c r="BR12" i="1" s="1"/>
  <c r="BS12" i="1" s="1"/>
  <c r="BP177" i="1"/>
  <c r="BQ177" i="1" s="1"/>
  <c r="BR177" i="1" s="1"/>
  <c r="BS177" i="1" s="1"/>
  <c r="BT177" i="1" s="1"/>
  <c r="BT28" i="1"/>
  <c r="BT171" i="1"/>
  <c r="BT145" i="1"/>
  <c r="BP112" i="1"/>
  <c r="BQ112" i="1" s="1"/>
  <c r="BR112" i="1" s="1"/>
  <c r="BS112" i="1" s="1"/>
  <c r="BT112" i="1" s="1"/>
  <c r="BP13" i="1"/>
  <c r="BQ13" i="1" s="1"/>
  <c r="BR13" i="1" s="1"/>
  <c r="BS13" i="1" s="1"/>
  <c r="BT13" i="1" s="1"/>
  <c r="BP148" i="1"/>
  <c r="BQ148" i="1" s="1"/>
  <c r="BR148" i="1" s="1"/>
  <c r="BS148" i="1" s="1"/>
  <c r="BT148" i="1" s="1"/>
  <c r="BP90" i="1"/>
  <c r="BQ90" i="1" s="1"/>
  <c r="BR90" i="1" s="1"/>
  <c r="BS90" i="1" s="1"/>
  <c r="BT90" i="1" s="1"/>
  <c r="W54" i="1"/>
  <c r="X54" i="1" s="1"/>
  <c r="BP159" i="1"/>
  <c r="BQ159" i="1" s="1"/>
  <c r="BR159" i="1" s="1"/>
  <c r="BS159" i="1" s="1"/>
  <c r="BT159" i="1" s="1"/>
  <c r="BP139" i="1"/>
  <c r="BQ139" i="1" s="1"/>
  <c r="BR139" i="1" s="1"/>
  <c r="BS139" i="1" s="1"/>
  <c r="AJ230" i="1"/>
  <c r="AK230" i="1" s="1"/>
  <c r="BP102" i="1"/>
  <c r="BQ102" i="1" s="1"/>
  <c r="BR102" i="1" s="1"/>
  <c r="BS102" i="1" s="1"/>
  <c r="BP63" i="1"/>
  <c r="BQ63" i="1" s="1"/>
  <c r="BR63" i="1" s="1"/>
  <c r="BS63" i="1" s="1"/>
  <c r="BT63" i="1" s="1"/>
  <c r="BP129" i="1"/>
  <c r="BQ129" i="1" s="1"/>
  <c r="BR129" i="1" s="1"/>
  <c r="BS129" i="1" s="1"/>
  <c r="W107" i="1"/>
  <c r="X107" i="1" s="1"/>
  <c r="BT37" i="1"/>
  <c r="BP3" i="1"/>
  <c r="BQ3" i="1" s="1"/>
  <c r="BP153" i="1"/>
  <c r="BQ153" i="1" s="1"/>
  <c r="BR153" i="1" s="1"/>
  <c r="BS153" i="1" s="1"/>
  <c r="BT153" i="1" s="1"/>
  <c r="BT33" i="1"/>
  <c r="BP108" i="1"/>
  <c r="BQ108" i="1" s="1"/>
  <c r="BR108" i="1" s="1"/>
  <c r="BS108" i="1" s="1"/>
  <c r="BT108" i="1" s="1"/>
  <c r="BT5" i="1"/>
  <c r="BP200" i="1"/>
  <c r="BQ200" i="1" s="1"/>
  <c r="BR200" i="1" s="1"/>
  <c r="BS200" i="1" s="1"/>
  <c r="W13" i="1"/>
  <c r="X13" i="1" s="1"/>
  <c r="W156" i="1"/>
  <c r="X156" i="1" s="1"/>
  <c r="BP95" i="1"/>
  <c r="BQ95" i="1" s="1"/>
  <c r="BR95" i="1" s="1"/>
  <c r="BS95" i="1" s="1"/>
  <c r="BT95" i="1" s="1"/>
  <c r="BP58" i="1"/>
  <c r="BQ58" i="1" s="1"/>
  <c r="BR58" i="1" s="1"/>
  <c r="BS58" i="1" s="1"/>
  <c r="W33" i="1"/>
  <c r="X33" i="1" s="1"/>
  <c r="BP161" i="1"/>
  <c r="BQ161" i="1" s="1"/>
  <c r="BR161" i="1" s="1"/>
  <c r="BS161" i="1" s="1"/>
  <c r="BT161" i="1" s="1"/>
  <c r="BP131" i="1"/>
  <c r="BQ131" i="1" s="1"/>
  <c r="BR131" i="1" s="1"/>
  <c r="BS131" i="1" s="1"/>
  <c r="BT131" i="1" s="1"/>
  <c r="BP155" i="1"/>
  <c r="BQ155" i="1" s="1"/>
  <c r="BR155" i="1" s="1"/>
  <c r="BS155" i="1" s="1"/>
  <c r="BT155" i="1" s="1"/>
  <c r="BP116" i="1"/>
  <c r="BQ116" i="1" s="1"/>
  <c r="BR116" i="1" s="1"/>
  <c r="BS116" i="1" s="1"/>
  <c r="BT116" i="1" s="1"/>
  <c r="BP75" i="1"/>
  <c r="BQ75" i="1" s="1"/>
  <c r="BR75" i="1" s="1"/>
  <c r="BS75" i="1" s="1"/>
  <c r="BT75" i="1" s="1"/>
  <c r="BP57" i="1"/>
  <c r="BQ57" i="1" s="1"/>
  <c r="BR57" i="1" s="1"/>
  <c r="BS57" i="1" s="1"/>
  <c r="BT57" i="1" s="1"/>
  <c r="BP8" i="1"/>
  <c r="BQ8" i="1" s="1"/>
  <c r="BR8" i="1" s="1"/>
  <c r="BS8" i="1" s="1"/>
  <c r="BP234" i="1"/>
  <c r="BQ234" i="1" s="1"/>
  <c r="BR234" i="1" s="1"/>
  <c r="BS234" i="1" s="1"/>
  <c r="BT234" i="1" s="1"/>
  <c r="BP125" i="1"/>
  <c r="BQ125" i="1" s="1"/>
  <c r="BR125" i="1" s="1"/>
  <c r="BS125" i="1" s="1"/>
  <c r="BP190" i="1"/>
  <c r="BQ190" i="1" s="1"/>
  <c r="BR190" i="1" s="1"/>
  <c r="BS190" i="1" s="1"/>
  <c r="BT190" i="1" s="1"/>
  <c r="BP25" i="1"/>
  <c r="BQ25" i="1" s="1"/>
  <c r="BR25" i="1" s="1"/>
  <c r="BS25" i="1" s="1"/>
  <c r="BT25" i="1" s="1"/>
  <c r="BP9" i="1"/>
  <c r="BQ9" i="1" s="1"/>
  <c r="BR9" i="1" s="1"/>
  <c r="BS9" i="1" s="1"/>
  <c r="BT9" i="1" s="1"/>
  <c r="BP188" i="1"/>
  <c r="BQ188" i="1" s="1"/>
  <c r="BR188" i="1" s="1"/>
  <c r="BS188" i="1" s="1"/>
  <c r="BT188" i="1" s="1"/>
  <c r="W151" i="1"/>
  <c r="X151" i="1" s="1"/>
  <c r="W169" i="1"/>
  <c r="X169" i="1" s="1"/>
  <c r="BP140" i="1"/>
  <c r="BQ140" i="1" s="1"/>
  <c r="BR140" i="1" s="1"/>
  <c r="BS140" i="1" s="1"/>
  <c r="BT140" i="1" s="1"/>
  <c r="BP32" i="1"/>
  <c r="BQ32" i="1" s="1"/>
  <c r="BR32" i="1" s="1"/>
  <c r="BS32" i="1" s="1"/>
  <c r="BT32" i="1" s="1"/>
  <c r="BT135" i="1"/>
  <c r="BT101" i="1"/>
  <c r="BT232" i="1"/>
  <c r="BP98" i="1"/>
  <c r="BQ98" i="1" s="1"/>
  <c r="BR98" i="1" s="1"/>
  <c r="BS98" i="1" s="1"/>
  <c r="BP198" i="1"/>
  <c r="BQ198" i="1" s="1"/>
  <c r="BR198" i="1" s="1"/>
  <c r="BS198" i="1" s="1"/>
  <c r="BT198" i="1" s="1"/>
  <c r="BP186" i="1"/>
  <c r="BQ186" i="1" s="1"/>
  <c r="BR186" i="1" s="1"/>
  <c r="BS186" i="1" s="1"/>
  <c r="BT186" i="1" s="1"/>
  <c r="BP115" i="1"/>
  <c r="BQ115" i="1" s="1"/>
  <c r="BR115" i="1" s="1"/>
  <c r="BS115" i="1" s="1"/>
  <c r="BT115" i="1" s="1"/>
  <c r="BP180" i="1"/>
  <c r="BQ180" i="1" s="1"/>
  <c r="BR180" i="1" s="1"/>
  <c r="BS180" i="1" s="1"/>
  <c r="BT180" i="1" s="1"/>
  <c r="BT191" i="1"/>
  <c r="BP174" i="1"/>
  <c r="BQ174" i="1" s="1"/>
  <c r="BR174" i="1" s="1"/>
  <c r="BS174" i="1" s="1"/>
  <c r="BT174" i="1" s="1"/>
  <c r="W126" i="1"/>
  <c r="X126" i="1" s="1"/>
  <c r="W94" i="1"/>
  <c r="X94" i="1" s="1"/>
  <c r="BP137" i="1"/>
  <c r="BQ137" i="1" s="1"/>
  <c r="BR137" i="1" s="1"/>
  <c r="BS137" i="1" s="1"/>
  <c r="BT137" i="1" s="1"/>
  <c r="BP99" i="1"/>
  <c r="BQ99" i="1" s="1"/>
  <c r="BR99" i="1" s="1"/>
  <c r="BS99" i="1" s="1"/>
  <c r="BT99" i="1" s="1"/>
  <c r="W80" i="1"/>
  <c r="X80" i="1" s="1"/>
  <c r="BP71" i="1"/>
  <c r="BQ71" i="1" s="1"/>
  <c r="BR71" i="1" s="1"/>
  <c r="BS71" i="1" s="1"/>
  <c r="BT71" i="1" s="1"/>
  <c r="W57" i="1"/>
  <c r="X57" i="1" s="1"/>
  <c r="BP69" i="1"/>
  <c r="BQ69" i="1" s="1"/>
  <c r="BR69" i="1" s="1"/>
  <c r="BS69" i="1" s="1"/>
  <c r="W29" i="1"/>
  <c r="X29" i="1" s="1"/>
  <c r="BP42" i="1"/>
  <c r="BQ42" i="1" s="1"/>
  <c r="BR42" i="1" s="1"/>
  <c r="BS42" i="1" s="1"/>
  <c r="BT42" i="1" s="1"/>
  <c r="BP16" i="1"/>
  <c r="BQ16" i="1" s="1"/>
  <c r="BR16" i="1" s="1"/>
  <c r="BS16" i="1" s="1"/>
  <c r="AJ236" i="1"/>
  <c r="AK236" i="1" s="1"/>
  <c r="AJ232" i="1"/>
  <c r="AK232" i="1" s="1"/>
  <c r="W176" i="1"/>
  <c r="X176" i="1" s="1"/>
  <c r="BP150" i="1"/>
  <c r="BQ150" i="1" s="1"/>
  <c r="BR150" i="1" s="1"/>
  <c r="BS150" i="1" s="1"/>
  <c r="BP132" i="1"/>
  <c r="BQ132" i="1" s="1"/>
  <c r="BR132" i="1" s="1"/>
  <c r="BS132" i="1" s="1"/>
  <c r="BT132" i="1" s="1"/>
  <c r="W71" i="1"/>
  <c r="X71" i="1" s="1"/>
  <c r="W68" i="1"/>
  <c r="X68" i="1" s="1"/>
  <c r="W42" i="1"/>
  <c r="X42" i="1" s="1"/>
  <c r="W23" i="1"/>
  <c r="X23" i="1" s="1"/>
  <c r="BP162" i="1"/>
  <c r="BQ162" i="1" s="1"/>
  <c r="BR162" i="1" s="1"/>
  <c r="BS162" i="1" s="1"/>
  <c r="BP237" i="1"/>
  <c r="BQ237" i="1" s="1"/>
  <c r="BR237" i="1" s="1"/>
  <c r="BS237" i="1" s="1"/>
  <c r="BP167" i="1"/>
  <c r="BQ167" i="1" s="1"/>
  <c r="BR167" i="1" s="1"/>
  <c r="BS167" i="1" s="1"/>
  <c r="BT167" i="1" s="1"/>
  <c r="W106" i="1"/>
  <c r="X106" i="1" s="1"/>
  <c r="BP91" i="1"/>
  <c r="BQ91" i="1" s="1"/>
  <c r="BR91" i="1" s="1"/>
  <c r="BS91" i="1" s="1"/>
  <c r="BT91" i="1" s="1"/>
  <c r="W51" i="1"/>
  <c r="X51" i="1" s="1"/>
  <c r="AD51" i="1" s="1"/>
  <c r="BT199" i="1"/>
  <c r="BT110" i="1"/>
  <c r="BT29" i="1"/>
  <c r="BP74" i="1"/>
  <c r="BQ74" i="1" s="1"/>
  <c r="BR74" i="1" s="1"/>
  <c r="BS74" i="1" s="1"/>
  <c r="BT74" i="1" s="1"/>
  <c r="BT118" i="1"/>
  <c r="BT19" i="1"/>
  <c r="AJ235" i="1"/>
  <c r="AK235" i="1" s="1"/>
  <c r="BP192" i="1"/>
  <c r="BQ192" i="1" s="1"/>
  <c r="BR192" i="1" s="1"/>
  <c r="BS192" i="1" s="1"/>
  <c r="BT192" i="1" s="1"/>
  <c r="W114" i="1"/>
  <c r="X114" i="1" s="1"/>
  <c r="BP34" i="1"/>
  <c r="BQ34" i="1" s="1"/>
  <c r="BR34" i="1" s="1"/>
  <c r="BS34" i="1" s="1"/>
  <c r="BT34" i="1" s="1"/>
  <c r="BM98" i="1"/>
  <c r="BT15" i="1"/>
  <c r="W147" i="1"/>
  <c r="X147" i="1" s="1"/>
  <c r="BP193" i="1"/>
  <c r="BQ193" i="1" s="1"/>
  <c r="BR193" i="1" s="1"/>
  <c r="BS193" i="1" s="1"/>
  <c r="BT193" i="1" s="1"/>
  <c r="BP117" i="1"/>
  <c r="BQ117" i="1" s="1"/>
  <c r="BR117" i="1" s="1"/>
  <c r="BS117" i="1" s="1"/>
  <c r="BT117" i="1" s="1"/>
  <c r="BP119" i="1"/>
  <c r="BQ119" i="1" s="1"/>
  <c r="BR119" i="1" s="1"/>
  <c r="BS119" i="1" s="1"/>
  <c r="BT119" i="1" s="1"/>
  <c r="W84" i="1"/>
  <c r="X84" i="1" s="1"/>
  <c r="BP52" i="1"/>
  <c r="BQ52" i="1" s="1"/>
  <c r="BR52" i="1" s="1"/>
  <c r="BS52" i="1" s="1"/>
  <c r="BP40" i="1"/>
  <c r="BQ40" i="1" s="1"/>
  <c r="BR40" i="1" s="1"/>
  <c r="BS40" i="1" s="1"/>
  <c r="BT38" i="1"/>
  <c r="BP134" i="1"/>
  <c r="BQ134" i="1" s="1"/>
  <c r="BR134" i="1" s="1"/>
  <c r="BS134" i="1" s="1"/>
  <c r="BP88" i="1"/>
  <c r="BQ88" i="1" s="1"/>
  <c r="BR88" i="1" s="1"/>
  <c r="BS88" i="1" s="1"/>
  <c r="BT88" i="1" s="1"/>
  <c r="BT242" i="1"/>
  <c r="BT23" i="1"/>
  <c r="BT87" i="1"/>
  <c r="BT51" i="1"/>
  <c r="BP85" i="1"/>
  <c r="BQ85" i="1" s="1"/>
  <c r="BR85" i="1" s="1"/>
  <c r="BS85" i="1" s="1"/>
  <c r="BT85" i="1" s="1"/>
  <c r="BT128" i="1"/>
  <c r="W108" i="1"/>
  <c r="X108" i="1" s="1"/>
  <c r="W17" i="1"/>
  <c r="X17" i="1" s="1"/>
  <c r="BP130" i="1"/>
  <c r="BQ130" i="1" s="1"/>
  <c r="BR130" i="1" s="1"/>
  <c r="BS130" i="1" s="1"/>
  <c r="AJ234" i="1"/>
  <c r="AK234" i="1" s="1"/>
  <c r="BP194" i="1"/>
  <c r="BQ194" i="1" s="1"/>
  <c r="BR194" i="1" s="1"/>
  <c r="BS194" i="1" s="1"/>
  <c r="BT194" i="1" s="1"/>
  <c r="W168" i="1"/>
  <c r="X168" i="1" s="1"/>
  <c r="BP231" i="1"/>
  <c r="BQ231" i="1" s="1"/>
  <c r="BR231" i="1" s="1"/>
  <c r="BS231" i="1" s="1"/>
  <c r="BT231" i="1" s="1"/>
  <c r="BP146" i="1"/>
  <c r="BQ146" i="1" s="1"/>
  <c r="BR146" i="1" s="1"/>
  <c r="BS146" i="1" s="1"/>
  <c r="BT146" i="1" s="1"/>
  <c r="BP127" i="1"/>
  <c r="BQ127" i="1" s="1"/>
  <c r="BR127" i="1" s="1"/>
  <c r="BS127" i="1" s="1"/>
  <c r="BT127" i="1" s="1"/>
  <c r="W115" i="1"/>
  <c r="X115" i="1" s="1"/>
  <c r="W74" i="1"/>
  <c r="X74" i="1" s="1"/>
  <c r="W95" i="1"/>
  <c r="X95" i="1" s="1"/>
  <c r="W67" i="1"/>
  <c r="X67" i="1" s="1"/>
  <c r="W38" i="1"/>
  <c r="X38" i="1" s="1"/>
  <c r="W25" i="1"/>
  <c r="X25" i="1" s="1"/>
  <c r="W9" i="1"/>
  <c r="X9" i="1" s="1"/>
  <c r="BP30" i="1"/>
  <c r="BQ30" i="1" s="1"/>
  <c r="BR30" i="1" s="1"/>
  <c r="BS30" i="1" s="1"/>
  <c r="BT30" i="1" s="1"/>
  <c r="BP67" i="1"/>
  <c r="BQ67" i="1" s="1"/>
  <c r="BR67" i="1" s="1"/>
  <c r="BS67" i="1" s="1"/>
  <c r="BT67" i="1" s="1"/>
  <c r="W65" i="1"/>
  <c r="X65" i="1" s="1"/>
  <c r="AB65" i="1" s="1"/>
  <c r="BT59" i="1"/>
  <c r="BT66" i="1"/>
  <c r="W238" i="1"/>
  <c r="X238" i="1" s="1"/>
  <c r="AF238" i="1" s="1"/>
  <c r="AJ242" i="1"/>
  <c r="AK242" i="1" s="1"/>
  <c r="BP41" i="1"/>
  <c r="BQ41" i="1" s="1"/>
  <c r="BR41" i="1" s="1"/>
  <c r="BS41" i="1" s="1"/>
  <c r="BT41" i="1" s="1"/>
  <c r="W85" i="1"/>
  <c r="X85" i="1" s="1"/>
  <c r="AB85" i="1" s="1"/>
  <c r="BP138" i="1"/>
  <c r="BQ138" i="1" s="1"/>
  <c r="BR138" i="1" s="1"/>
  <c r="BS138" i="1" s="1"/>
  <c r="BT138" i="1" s="1"/>
  <c r="W131" i="1"/>
  <c r="X131" i="1" s="1"/>
  <c r="AJ233" i="1"/>
  <c r="AK233" i="1" s="1"/>
  <c r="BT149" i="1"/>
  <c r="BT43" i="1"/>
  <c r="W11" i="1"/>
  <c r="X11" i="1" s="1"/>
  <c r="BT11" i="1"/>
  <c r="AD61" i="1"/>
  <c r="AB61" i="1"/>
  <c r="Z61" i="1"/>
  <c r="AH61" i="1"/>
  <c r="AF61" i="1"/>
  <c r="AD39" i="1"/>
  <c r="AF39" i="1"/>
  <c r="BT89" i="1"/>
  <c r="BT229" i="1"/>
  <c r="BP182" i="1"/>
  <c r="BQ182" i="1" s="1"/>
  <c r="BR182" i="1" s="1"/>
  <c r="BS182" i="1" s="1"/>
  <c r="BT182" i="1" s="1"/>
  <c r="W160" i="1"/>
  <c r="X160" i="1" s="1"/>
  <c r="W186" i="1"/>
  <c r="X186" i="1" s="1"/>
  <c r="W56" i="1"/>
  <c r="X56" i="1" s="1"/>
  <c r="BP82" i="1"/>
  <c r="BQ82" i="1" s="1"/>
  <c r="BR82" i="1" s="1"/>
  <c r="BS82" i="1" s="1"/>
  <c r="BT82" i="1" s="1"/>
  <c r="BP73" i="1"/>
  <c r="BQ73" i="1" s="1"/>
  <c r="BR73" i="1" s="1"/>
  <c r="BS73" i="1" s="1"/>
  <c r="BP80" i="1"/>
  <c r="BQ80" i="1" s="1"/>
  <c r="BR80" i="1" s="1"/>
  <c r="BS80" i="1" s="1"/>
  <c r="BT80" i="1" s="1"/>
  <c r="BT39" i="1"/>
  <c r="BP64" i="1"/>
  <c r="BQ64" i="1" s="1"/>
  <c r="BR64" i="1" s="1"/>
  <c r="BS64" i="1" s="1"/>
  <c r="W194" i="1"/>
  <c r="X194" i="1" s="1"/>
  <c r="BT175" i="1"/>
  <c r="W110" i="1"/>
  <c r="X110" i="1" s="1"/>
  <c r="W124" i="1"/>
  <c r="X124" i="1" s="1"/>
  <c r="W83" i="1"/>
  <c r="X83" i="1" s="1"/>
  <c r="W76" i="1"/>
  <c r="X76" i="1" s="1"/>
  <c r="BT46" i="1"/>
  <c r="BP168" i="1"/>
  <c r="BQ168" i="1" s="1"/>
  <c r="BR168" i="1" s="1"/>
  <c r="BS168" i="1" s="1"/>
  <c r="BT168" i="1" s="1"/>
  <c r="BP136" i="1"/>
  <c r="BQ136" i="1" s="1"/>
  <c r="BR136" i="1" s="1"/>
  <c r="BS136" i="1" s="1"/>
  <c r="BT136" i="1" s="1"/>
  <c r="BT124" i="1"/>
  <c r="BP143" i="1"/>
  <c r="BQ143" i="1" s="1"/>
  <c r="BR143" i="1" s="1"/>
  <c r="BS143" i="1" s="1"/>
  <c r="BT143" i="1" s="1"/>
  <c r="BP103" i="1"/>
  <c r="BQ103" i="1" s="1"/>
  <c r="BR103" i="1" s="1"/>
  <c r="BS103" i="1" s="1"/>
  <c r="AJ231" i="1"/>
  <c r="T187" i="1"/>
  <c r="U187" i="1" s="1"/>
  <c r="V187" i="1" s="1"/>
  <c r="W187" i="1" s="1"/>
  <c r="X187" i="1" s="1"/>
  <c r="W122" i="1"/>
  <c r="X122" i="1" s="1"/>
  <c r="BP105" i="1"/>
  <c r="BQ105" i="1" s="1"/>
  <c r="BR105" i="1" s="1"/>
  <c r="BS105" i="1" s="1"/>
  <c r="W135" i="1"/>
  <c r="X135" i="1" s="1"/>
  <c r="BP93" i="1"/>
  <c r="BQ93" i="1" s="1"/>
  <c r="BR93" i="1" s="1"/>
  <c r="BS93" i="1" s="1"/>
  <c r="BT93" i="1" s="1"/>
  <c r="BT83" i="1"/>
  <c r="W46" i="1"/>
  <c r="X46" i="1" s="1"/>
  <c r="BT27" i="1"/>
  <c r="BT6" i="1"/>
  <c r="BP173" i="1"/>
  <c r="BQ173" i="1" s="1"/>
  <c r="BR173" i="1" s="1"/>
  <c r="BS173" i="1" s="1"/>
  <c r="BT173" i="1" s="1"/>
  <c r="BP160" i="1"/>
  <c r="BQ160" i="1" s="1"/>
  <c r="BR160" i="1" s="1"/>
  <c r="BS160" i="1" s="1"/>
  <c r="BT160" i="1" s="1"/>
  <c r="W82" i="1"/>
  <c r="X82" i="1" s="1"/>
  <c r="AJ229" i="1"/>
  <c r="AK229" i="1" s="1"/>
  <c r="BP107" i="1"/>
  <c r="BQ107" i="1" s="1"/>
  <c r="BR107" i="1" s="1"/>
  <c r="BS107" i="1" s="1"/>
  <c r="BT107" i="1" s="1"/>
  <c r="W90" i="1"/>
  <c r="X90" i="1" s="1"/>
  <c r="BP156" i="1"/>
  <c r="BQ156" i="1" s="1"/>
  <c r="BR156" i="1" s="1"/>
  <c r="BS156" i="1" s="1"/>
  <c r="BT156" i="1" s="1"/>
  <c r="T96" i="1"/>
  <c r="U96" i="1" s="1"/>
  <c r="V96" i="1" s="1"/>
  <c r="BT96" i="1" s="1"/>
  <c r="AD43" i="1"/>
  <c r="AB43" i="1"/>
  <c r="AF43" i="1"/>
  <c r="AH43" i="1"/>
  <c r="Z43" i="1"/>
  <c r="AF116" i="1"/>
  <c r="AB116" i="1"/>
  <c r="AD116" i="1"/>
  <c r="Z116" i="1"/>
  <c r="AH116" i="1"/>
  <c r="AH63" i="1"/>
  <c r="Z63" i="1"/>
  <c r="AD63" i="1"/>
  <c r="AB63" i="1"/>
  <c r="AF63" i="1"/>
  <c r="AD47" i="1"/>
  <c r="AB47" i="1"/>
  <c r="AH47" i="1"/>
  <c r="Z47" i="1"/>
  <c r="AF47" i="1"/>
  <c r="T77" i="1"/>
  <c r="U77" i="1" s="1"/>
  <c r="V77" i="1" s="1"/>
  <c r="BP233" i="1"/>
  <c r="BQ233" i="1" s="1"/>
  <c r="BR233" i="1" s="1"/>
  <c r="BS233" i="1" s="1"/>
  <c r="BT233" i="1" s="1"/>
  <c r="W175" i="1"/>
  <c r="X175" i="1" s="1"/>
  <c r="T130" i="1"/>
  <c r="U130" i="1" s="1"/>
  <c r="V130" i="1" s="1"/>
  <c r="BP54" i="1"/>
  <c r="BQ54" i="1" s="1"/>
  <c r="BR54" i="1" s="1"/>
  <c r="BS54" i="1" s="1"/>
  <c r="BT54" i="1" s="1"/>
  <c r="Z39" i="1"/>
  <c r="W27" i="1"/>
  <c r="X27" i="1" s="1"/>
  <c r="W15" i="1"/>
  <c r="X15" i="1" s="1"/>
  <c r="BT45" i="1"/>
  <c r="T72" i="1"/>
  <c r="U72" i="1" s="1"/>
  <c r="V72" i="1" s="1"/>
  <c r="W72" i="1" s="1"/>
  <c r="X72" i="1" s="1"/>
  <c r="BT47" i="1"/>
  <c r="BT195" i="1"/>
  <c r="BT178" i="1"/>
  <c r="BP166" i="1"/>
  <c r="BQ166" i="1" s="1"/>
  <c r="BR166" i="1" s="1"/>
  <c r="BS166" i="1" s="1"/>
  <c r="BT166" i="1" s="1"/>
  <c r="BP158" i="1"/>
  <c r="BQ158" i="1" s="1"/>
  <c r="BR158" i="1" s="1"/>
  <c r="BS158" i="1" s="1"/>
  <c r="BT158" i="1" s="1"/>
  <c r="BP152" i="1"/>
  <c r="BQ152" i="1" s="1"/>
  <c r="BR152" i="1" s="1"/>
  <c r="BS152" i="1" s="1"/>
  <c r="BT152" i="1" s="1"/>
  <c r="BP113" i="1"/>
  <c r="BQ113" i="1" s="1"/>
  <c r="BR113" i="1" s="1"/>
  <c r="BS113" i="1" s="1"/>
  <c r="BP92" i="1"/>
  <c r="BQ92" i="1" s="1"/>
  <c r="BR92" i="1" s="1"/>
  <c r="BS92" i="1" s="1"/>
  <c r="BT92" i="1" s="1"/>
  <c r="BT31" i="1"/>
  <c r="AH39" i="1"/>
  <c r="Q243" i="1"/>
  <c r="W19" i="1"/>
  <c r="X19" i="1" s="1"/>
  <c r="BP170" i="1"/>
  <c r="BQ170" i="1" s="1"/>
  <c r="BR170" i="1" s="1"/>
  <c r="BS170" i="1" s="1"/>
  <c r="BT170" i="1" s="1"/>
  <c r="BP56" i="1"/>
  <c r="BQ56" i="1" s="1"/>
  <c r="BR56" i="1" s="1"/>
  <c r="BS56" i="1" s="1"/>
  <c r="BT56" i="1" s="1"/>
  <c r="BP142" i="1"/>
  <c r="BQ142" i="1" s="1"/>
  <c r="BR142" i="1" s="1"/>
  <c r="BS142" i="1" s="1"/>
  <c r="AJ75" i="1"/>
  <c r="BT49" i="1"/>
  <c r="W41" i="1"/>
  <c r="X41" i="1" s="1"/>
  <c r="AB39" i="1"/>
  <c r="W4" i="1"/>
  <c r="X4" i="1" s="1"/>
  <c r="BT7" i="1"/>
  <c r="BP241" i="1"/>
  <c r="BQ241" i="1" s="1"/>
  <c r="BR241" i="1" s="1"/>
  <c r="BS241" i="1" s="1"/>
  <c r="BT241" i="1" s="1"/>
  <c r="T139" i="1"/>
  <c r="U139" i="1" s="1"/>
  <c r="V139" i="1" s="1"/>
  <c r="BT122" i="1"/>
  <c r="BP4" i="1"/>
  <c r="BQ4" i="1" s="1"/>
  <c r="BR4" i="1" s="1"/>
  <c r="BS4" i="1" s="1"/>
  <c r="BT4" i="1" s="1"/>
  <c r="BT17" i="1"/>
  <c r="X188" i="1"/>
  <c r="T98" i="1"/>
  <c r="U98" i="1" s="1"/>
  <c r="V98" i="1" s="1"/>
  <c r="X34" i="1"/>
  <c r="X18" i="1"/>
  <c r="X100" i="1"/>
  <c r="X111" i="1"/>
  <c r="X30" i="1"/>
  <c r="X24" i="1"/>
  <c r="X7" i="1"/>
  <c r="X164" i="1"/>
  <c r="X182" i="1"/>
  <c r="X99" i="1"/>
  <c r="X109" i="1"/>
  <c r="X177" i="1"/>
  <c r="X196" i="1"/>
  <c r="X167" i="1"/>
  <c r="X159" i="1"/>
  <c r="X136" i="1"/>
  <c r="X45" i="1"/>
  <c r="X193" i="1"/>
  <c r="X166" i="1"/>
  <c r="X133" i="1"/>
  <c r="X179" i="1"/>
  <c r="X190" i="1"/>
  <c r="X183" i="1"/>
  <c r="X165" i="1"/>
  <c r="T102" i="1"/>
  <c r="U102" i="1" s="1"/>
  <c r="V102" i="1" s="1"/>
  <c r="X146" i="1"/>
  <c r="X132" i="1"/>
  <c r="X117" i="1"/>
  <c r="X81" i="1"/>
  <c r="T200" i="1"/>
  <c r="U200" i="1" s="1"/>
  <c r="V200" i="1" s="1"/>
  <c r="W200" i="1" s="1"/>
  <c r="T172" i="1"/>
  <c r="U172" i="1" s="1"/>
  <c r="V172" i="1" s="1"/>
  <c r="T129" i="1"/>
  <c r="U129" i="1" s="1"/>
  <c r="V129" i="1" s="1"/>
  <c r="X152" i="1"/>
  <c r="X149" i="1"/>
  <c r="AB112" i="1"/>
  <c r="AH112" i="1"/>
  <c r="Z112" i="1"/>
  <c r="AF112" i="1"/>
  <c r="AD112" i="1"/>
  <c r="BK243" i="1"/>
  <c r="X31" i="1"/>
  <c r="T40" i="1"/>
  <c r="U40" i="1" s="1"/>
  <c r="V40" i="1" s="1"/>
  <c r="W40" i="1" s="1"/>
  <c r="X89" i="1"/>
  <c r="X197" i="1"/>
  <c r="T189" i="1"/>
  <c r="U189" i="1" s="1"/>
  <c r="V189" i="1" s="1"/>
  <c r="W178" i="1"/>
  <c r="BP164" i="1"/>
  <c r="BQ164" i="1" s="1"/>
  <c r="BR164" i="1" s="1"/>
  <c r="BS164" i="1" s="1"/>
  <c r="BT164" i="1" s="1"/>
  <c r="X181" i="1"/>
  <c r="AF161" i="1"/>
  <c r="AB161" i="1"/>
  <c r="AH161" i="1"/>
  <c r="AD161" i="1"/>
  <c r="Z161" i="1"/>
  <c r="T103" i="1"/>
  <c r="U103" i="1" s="1"/>
  <c r="V103" i="1" s="1"/>
  <c r="AB141" i="1"/>
  <c r="AF141" i="1"/>
  <c r="AD141" i="1"/>
  <c r="Z141" i="1"/>
  <c r="AH141" i="1"/>
  <c r="AB134" i="1"/>
  <c r="AD134" i="1"/>
  <c r="Z134" i="1"/>
  <c r="AH134" i="1"/>
  <c r="AF134" i="1"/>
  <c r="T105" i="1"/>
  <c r="U105" i="1" s="1"/>
  <c r="V105" i="1" s="1"/>
  <c r="W105" i="1" s="1"/>
  <c r="AB104" i="1"/>
  <c r="AF104" i="1"/>
  <c r="AD104" i="1"/>
  <c r="Z104" i="1"/>
  <c r="AH104" i="1"/>
  <c r="T58" i="1"/>
  <c r="U58" i="1" s="1"/>
  <c r="V58" i="1" s="1"/>
  <c r="X137" i="1"/>
  <c r="T62" i="1"/>
  <c r="U62" i="1" s="1"/>
  <c r="V62" i="1" s="1"/>
  <c r="T21" i="1"/>
  <c r="U21" i="1" s="1"/>
  <c r="V21" i="1" s="1"/>
  <c r="W21" i="1" s="1"/>
  <c r="T16" i="1"/>
  <c r="U16" i="1" s="1"/>
  <c r="V16" i="1" s="1"/>
  <c r="W16" i="1" s="1"/>
  <c r="W6" i="1"/>
  <c r="U3" i="1"/>
  <c r="T185" i="1"/>
  <c r="U185" i="1" s="1"/>
  <c r="V185" i="1" s="1"/>
  <c r="W185" i="1" s="1"/>
  <c r="T142" i="1"/>
  <c r="U142" i="1" s="1"/>
  <c r="V142" i="1" s="1"/>
  <c r="X138" i="1"/>
  <c r="T60" i="1"/>
  <c r="U60" i="1" s="1"/>
  <c r="V60" i="1" s="1"/>
  <c r="W60" i="1" s="1"/>
  <c r="X119" i="1"/>
  <c r="T78" i="1"/>
  <c r="U78" i="1" s="1"/>
  <c r="V78" i="1" s="1"/>
  <c r="X26" i="1"/>
  <c r="X36" i="1"/>
  <c r="T237" i="1"/>
  <c r="U237" i="1" s="1"/>
  <c r="V237" i="1" s="1"/>
  <c r="X184" i="1"/>
  <c r="W191" i="1"/>
  <c r="AB153" i="1"/>
  <c r="AH153" i="1"/>
  <c r="Z153" i="1"/>
  <c r="AF153" i="1"/>
  <c r="AD153" i="1"/>
  <c r="W128" i="1"/>
  <c r="T121" i="1"/>
  <c r="U121" i="1" s="1"/>
  <c r="V121" i="1" s="1"/>
  <c r="T125" i="1"/>
  <c r="U125" i="1" s="1"/>
  <c r="V125" i="1" s="1"/>
  <c r="W125" i="1" s="1"/>
  <c r="AB145" i="1"/>
  <c r="AF145" i="1"/>
  <c r="AH145" i="1"/>
  <c r="AD145" i="1"/>
  <c r="Z145" i="1"/>
  <c r="T69" i="1"/>
  <c r="U69" i="1" s="1"/>
  <c r="V69" i="1" s="1"/>
  <c r="AB120" i="1"/>
  <c r="AH120" i="1"/>
  <c r="Z120" i="1"/>
  <c r="AF120" i="1"/>
  <c r="AD120" i="1"/>
  <c r="BT81" i="1"/>
  <c r="W53" i="1"/>
  <c r="T52" i="1"/>
  <c r="U52" i="1" s="1"/>
  <c r="V52" i="1" s="1"/>
  <c r="T44" i="1"/>
  <c r="U44" i="1" s="1"/>
  <c r="V44" i="1" s="1"/>
  <c r="W37" i="1"/>
  <c r="T20" i="1"/>
  <c r="U20" i="1" s="1"/>
  <c r="V20" i="1" s="1"/>
  <c r="W20" i="1" s="1"/>
  <c r="BN243" i="1"/>
  <c r="T8" i="1"/>
  <c r="U8" i="1" s="1"/>
  <c r="V8" i="1" s="1"/>
  <c r="X35" i="1"/>
  <c r="X14" i="1"/>
  <c r="X10" i="1"/>
  <c r="S243" i="1"/>
  <c r="X195" i="1"/>
  <c r="X192" i="1"/>
  <c r="X180" i="1"/>
  <c r="AF70" i="1"/>
  <c r="AB70" i="1"/>
  <c r="AH70" i="1"/>
  <c r="AD70" i="1"/>
  <c r="Z70" i="1"/>
  <c r="X49" i="1"/>
  <c r="T48" i="1"/>
  <c r="U48" i="1" s="1"/>
  <c r="V48" i="1" s="1"/>
  <c r="T22" i="1"/>
  <c r="U22" i="1" s="1"/>
  <c r="V22" i="1" s="1"/>
  <c r="T12" i="1"/>
  <c r="U12" i="1" s="1"/>
  <c r="V12" i="1" s="1"/>
  <c r="BT230" i="1"/>
  <c r="AJ241" i="1"/>
  <c r="AB240" i="1"/>
  <c r="AH240" i="1"/>
  <c r="Z240" i="1"/>
  <c r="AF240" i="1"/>
  <c r="AD240" i="1"/>
  <c r="BT236" i="1"/>
  <c r="AJ239" i="1"/>
  <c r="T162" i="1"/>
  <c r="U162" i="1" s="1"/>
  <c r="V162" i="1" s="1"/>
  <c r="T150" i="1"/>
  <c r="U150" i="1" s="1"/>
  <c r="V150" i="1" s="1"/>
  <c r="BP144" i="1"/>
  <c r="BQ144" i="1" s="1"/>
  <c r="BR144" i="1" s="1"/>
  <c r="BS144" i="1" s="1"/>
  <c r="AB163" i="1"/>
  <c r="AF163" i="1"/>
  <c r="AH163" i="1"/>
  <c r="AD163" i="1"/>
  <c r="Z163" i="1"/>
  <c r="T154" i="1"/>
  <c r="U154" i="1" s="1"/>
  <c r="V154" i="1" s="1"/>
  <c r="T144" i="1"/>
  <c r="U144" i="1" s="1"/>
  <c r="V144" i="1" s="1"/>
  <c r="W144" i="1" s="1"/>
  <c r="X118" i="1"/>
  <c r="X158" i="1"/>
  <c r="BP133" i="1"/>
  <c r="BQ133" i="1" s="1"/>
  <c r="BR133" i="1" s="1"/>
  <c r="BS133" i="1" s="1"/>
  <c r="BT133" i="1" s="1"/>
  <c r="T113" i="1"/>
  <c r="U113" i="1" s="1"/>
  <c r="V113" i="1" s="1"/>
  <c r="X140" i="1"/>
  <c r="BP109" i="1"/>
  <c r="BQ109" i="1" s="1"/>
  <c r="BR109" i="1" s="1"/>
  <c r="BS109" i="1" s="1"/>
  <c r="BT109" i="1" s="1"/>
  <c r="BT97" i="1"/>
  <c r="T86" i="1"/>
  <c r="U86" i="1" s="1"/>
  <c r="V86" i="1" s="1"/>
  <c r="T73" i="1"/>
  <c r="U73" i="1" s="1"/>
  <c r="V73" i="1" s="1"/>
  <c r="T64" i="1"/>
  <c r="U64" i="1" s="1"/>
  <c r="V64" i="1" s="1"/>
  <c r="BT18" i="1"/>
  <c r="W66" i="1"/>
  <c r="AB5" i="1"/>
  <c r="AD5" i="1"/>
  <c r="Z5" i="1"/>
  <c r="AF5" i="1"/>
  <c r="AH5" i="1"/>
  <c r="BT203" i="1" l="1"/>
  <c r="BT201" i="1"/>
  <c r="AK216" i="1"/>
  <c r="BU216" i="1"/>
  <c r="BX216" i="1" s="1"/>
  <c r="AK215" i="1"/>
  <c r="BU215" i="1"/>
  <c r="BX215" i="1" s="1"/>
  <c r="BU211" i="1"/>
  <c r="BX211" i="1" s="1"/>
  <c r="AK211" i="1"/>
  <c r="AK208" i="1"/>
  <c r="BU208" i="1"/>
  <c r="BX208" i="1" s="1"/>
  <c r="AK212" i="1"/>
  <c r="BU212" i="1"/>
  <c r="BX212" i="1" s="1"/>
  <c r="AK218" i="1"/>
  <c r="BU218" i="1"/>
  <c r="BX218" i="1" s="1"/>
  <c r="AK207" i="1"/>
  <c r="BU207" i="1"/>
  <c r="BX207" i="1" s="1"/>
  <c r="AK213" i="1"/>
  <c r="BU213" i="1"/>
  <c r="BX213" i="1" s="1"/>
  <c r="AK205" i="1"/>
  <c r="BU205" i="1"/>
  <c r="BX205" i="1" s="1"/>
  <c r="AK214" i="1"/>
  <c r="BU214" i="1"/>
  <c r="BX214" i="1" s="1"/>
  <c r="AK220" i="1"/>
  <c r="BU220" i="1"/>
  <c r="BX220" i="1" s="1"/>
  <c r="AK204" i="1"/>
  <c r="BU204" i="1"/>
  <c r="BX204" i="1" s="1"/>
  <c r="AK209" i="1"/>
  <c r="BU209" i="1"/>
  <c r="BX209" i="1" s="1"/>
  <c r="AB202" i="1"/>
  <c r="AD202" i="1"/>
  <c r="AH202" i="1"/>
  <c r="AF202" i="1"/>
  <c r="Z202" i="1"/>
  <c r="AF201" i="1"/>
  <c r="AD201" i="1"/>
  <c r="AB201" i="1"/>
  <c r="Z201" i="1"/>
  <c r="AH201" i="1"/>
  <c r="AK219" i="1"/>
  <c r="BU219" i="1"/>
  <c r="BX219" i="1" s="1"/>
  <c r="Z203" i="1"/>
  <c r="AH203" i="1"/>
  <c r="AB203" i="1"/>
  <c r="AF203" i="1"/>
  <c r="AD203" i="1"/>
  <c r="AK206" i="1"/>
  <c r="BU206" i="1"/>
  <c r="BX206" i="1" s="1"/>
  <c r="AK217" i="1"/>
  <c r="BU217" i="1"/>
  <c r="BX217" i="1" s="1"/>
  <c r="BU210" i="1"/>
  <c r="BX210" i="1" s="1"/>
  <c r="AK210" i="1"/>
  <c r="BT44" i="1"/>
  <c r="Z143" i="1"/>
  <c r="BM243" i="1"/>
  <c r="AH143" i="1"/>
  <c r="BT172" i="1"/>
  <c r="AD59" i="1"/>
  <c r="AF143" i="1"/>
  <c r="Z238" i="1"/>
  <c r="AH238" i="1"/>
  <c r="BT62" i="1"/>
  <c r="BT78" i="1"/>
  <c r="BT154" i="1"/>
  <c r="AH65" i="1"/>
  <c r="BT58" i="1"/>
  <c r="BT48" i="1"/>
  <c r="BT121" i="1"/>
  <c r="BT139" i="1"/>
  <c r="BT12" i="1"/>
  <c r="BT8" i="1"/>
  <c r="BT129" i="1"/>
  <c r="BT22" i="1"/>
  <c r="BT77" i="1"/>
  <c r="BU230" i="1"/>
  <c r="BX230" i="1" s="1"/>
  <c r="AH59" i="1"/>
  <c r="AD143" i="1"/>
  <c r="AB59" i="1"/>
  <c r="Z59" i="1"/>
  <c r="BT130" i="1"/>
  <c r="BT185" i="1"/>
  <c r="BT86" i="1"/>
  <c r="BU233" i="1"/>
  <c r="BX233" i="1" s="1"/>
  <c r="BT69" i="1"/>
  <c r="BT189" i="1"/>
  <c r="AB51" i="1"/>
  <c r="BU231" i="1"/>
  <c r="BX231" i="1" s="1"/>
  <c r="BT162" i="1"/>
  <c r="BT125" i="1"/>
  <c r="BU75" i="1"/>
  <c r="BX75" i="1" s="1"/>
  <c r="BT102" i="1"/>
  <c r="BT237" i="1"/>
  <c r="AK231" i="1"/>
  <c r="W121" i="1"/>
  <c r="X121" i="1" s="1"/>
  <c r="AF85" i="1"/>
  <c r="AH85" i="1"/>
  <c r="BU232" i="1"/>
  <c r="BX232" i="1" s="1"/>
  <c r="W44" i="1"/>
  <c r="X44" i="1" s="1"/>
  <c r="AD238" i="1"/>
  <c r="AB238" i="1"/>
  <c r="AD85" i="1"/>
  <c r="AD106" i="1"/>
  <c r="Z106" i="1"/>
  <c r="AB106" i="1"/>
  <c r="AH106" i="1"/>
  <c r="AF106" i="1"/>
  <c r="Z51" i="1"/>
  <c r="BT150" i="1"/>
  <c r="BU236" i="1"/>
  <c r="BX236" i="1" s="1"/>
  <c r="W22" i="1"/>
  <c r="X22" i="1" s="1"/>
  <c r="AD65" i="1"/>
  <c r="BT142" i="1"/>
  <c r="BU234" i="1"/>
  <c r="BX234" i="1" s="1"/>
  <c r="BT98" i="1"/>
  <c r="Z85" i="1"/>
  <c r="AH51" i="1"/>
  <c r="AF51" i="1"/>
  <c r="BP243" i="1"/>
  <c r="BT64" i="1"/>
  <c r="W154" i="1"/>
  <c r="X154" i="1" s="1"/>
  <c r="W150" i="1"/>
  <c r="X150" i="1" s="1"/>
  <c r="BT52" i="1"/>
  <c r="AF65" i="1"/>
  <c r="BU242" i="1"/>
  <c r="BX242" i="1" s="1"/>
  <c r="AK75" i="1"/>
  <c r="W98" i="1"/>
  <c r="X98" i="1" s="1"/>
  <c r="W96" i="1"/>
  <c r="X96" i="1" s="1"/>
  <c r="AF96" i="1" s="1"/>
  <c r="BT73" i="1"/>
  <c r="BU229" i="1"/>
  <c r="BX229" i="1" s="1"/>
  <c r="W48" i="1"/>
  <c r="X48" i="1" s="1"/>
  <c r="Z65" i="1"/>
  <c r="BU235" i="1"/>
  <c r="BX235" i="1" s="1"/>
  <c r="W77" i="1"/>
  <c r="X77" i="1" s="1"/>
  <c r="Z77" i="1" s="1"/>
  <c r="W73" i="1"/>
  <c r="X73" i="1" s="1"/>
  <c r="BT60" i="1"/>
  <c r="W78" i="1"/>
  <c r="X78" i="1" s="1"/>
  <c r="BT187" i="1"/>
  <c r="AJ61" i="1"/>
  <c r="BU61" i="1" s="1"/>
  <c r="BX61" i="1" s="1"/>
  <c r="AJ116" i="1"/>
  <c r="AK116" i="1" s="1"/>
  <c r="W130" i="1"/>
  <c r="X130" i="1" s="1"/>
  <c r="AF130" i="1" s="1"/>
  <c r="AJ43" i="1"/>
  <c r="BU43" i="1" s="1"/>
  <c r="BX43" i="1" s="1"/>
  <c r="BT105" i="1"/>
  <c r="BT113" i="1"/>
  <c r="W69" i="1"/>
  <c r="X69" i="1" s="1"/>
  <c r="AJ39" i="1"/>
  <c r="BU39" i="1" s="1"/>
  <c r="BX39" i="1" s="1"/>
  <c r="AJ47" i="1"/>
  <c r="AK47" i="1" s="1"/>
  <c r="W62" i="1"/>
  <c r="X62" i="1" s="1"/>
  <c r="W189" i="1"/>
  <c r="X189" i="1" s="1"/>
  <c r="AJ163" i="1"/>
  <c r="BU163" i="1" s="1"/>
  <c r="BX163" i="1" s="1"/>
  <c r="BT103" i="1"/>
  <c r="BT200" i="1"/>
  <c r="BT72" i="1"/>
  <c r="AD72" i="1"/>
  <c r="AB72" i="1"/>
  <c r="AH72" i="1"/>
  <c r="Z72" i="1"/>
  <c r="AF72" i="1"/>
  <c r="BT40" i="1"/>
  <c r="W64" i="1"/>
  <c r="X64" i="1" s="1"/>
  <c r="W86" i="1"/>
  <c r="X86" i="1" s="1"/>
  <c r="W113" i="1"/>
  <c r="X113" i="1" s="1"/>
  <c r="W12" i="1"/>
  <c r="X12" i="1" s="1"/>
  <c r="W139" i="1"/>
  <c r="X139" i="1" s="1"/>
  <c r="AJ63" i="1"/>
  <c r="AJ112" i="1"/>
  <c r="AK112" i="1" s="1"/>
  <c r="W172" i="1"/>
  <c r="X172" i="1" s="1"/>
  <c r="X105" i="1"/>
  <c r="X144" i="1"/>
  <c r="X185" i="1"/>
  <c r="X16" i="1"/>
  <c r="X20" i="1"/>
  <c r="X200" i="1"/>
  <c r="AF101" i="1"/>
  <c r="AB101" i="1"/>
  <c r="Z101" i="1"/>
  <c r="AH101" i="1"/>
  <c r="AD101" i="1"/>
  <c r="AF74" i="1"/>
  <c r="AD74" i="1"/>
  <c r="AB74" i="1"/>
  <c r="AH74" i="1"/>
  <c r="Z74" i="1"/>
  <c r="AF41" i="1"/>
  <c r="AD41" i="1"/>
  <c r="AB41" i="1"/>
  <c r="AH41" i="1"/>
  <c r="Z41" i="1"/>
  <c r="AB14" i="1"/>
  <c r="AH14" i="1"/>
  <c r="Z14" i="1"/>
  <c r="AD14" i="1"/>
  <c r="AF14" i="1"/>
  <c r="X37" i="1"/>
  <c r="AB68" i="1"/>
  <c r="AF68" i="1"/>
  <c r="AD68" i="1"/>
  <c r="Z68" i="1"/>
  <c r="AH68" i="1"/>
  <c r="AD71" i="1"/>
  <c r="AB71" i="1"/>
  <c r="AH71" i="1"/>
  <c r="Z71" i="1"/>
  <c r="AF71" i="1"/>
  <c r="AD156" i="1"/>
  <c r="AB156" i="1"/>
  <c r="AH156" i="1"/>
  <c r="Z156" i="1"/>
  <c r="AF156" i="1"/>
  <c r="X191" i="1"/>
  <c r="AD119" i="1"/>
  <c r="AB119" i="1"/>
  <c r="AH119" i="1"/>
  <c r="Z119" i="1"/>
  <c r="AF119" i="1"/>
  <c r="AD84" i="1"/>
  <c r="AB84" i="1"/>
  <c r="AH84" i="1"/>
  <c r="Z84" i="1"/>
  <c r="AF84" i="1"/>
  <c r="AB135" i="1"/>
  <c r="AF135" i="1"/>
  <c r="AD135" i="1"/>
  <c r="Z135" i="1"/>
  <c r="AH135" i="1"/>
  <c r="AH160" i="1"/>
  <c r="AD160" i="1"/>
  <c r="AB160" i="1"/>
  <c r="Z160" i="1"/>
  <c r="AF160" i="1"/>
  <c r="AD107" i="1"/>
  <c r="AH107" i="1"/>
  <c r="Z107" i="1"/>
  <c r="AB107" i="1"/>
  <c r="AF107" i="1"/>
  <c r="AF126" i="1"/>
  <c r="AD126" i="1"/>
  <c r="AB126" i="1"/>
  <c r="AH126" i="1"/>
  <c r="Z126" i="1"/>
  <c r="AH15" i="1"/>
  <c r="Z15" i="1"/>
  <c r="AF15" i="1"/>
  <c r="AD15" i="1"/>
  <c r="AB15" i="1"/>
  <c r="AH131" i="1"/>
  <c r="Z131" i="1"/>
  <c r="AF131" i="1"/>
  <c r="AD131" i="1"/>
  <c r="AB131" i="1"/>
  <c r="AF87" i="1"/>
  <c r="AD87" i="1"/>
  <c r="AB87" i="1"/>
  <c r="AH87" i="1"/>
  <c r="Z87" i="1"/>
  <c r="AD170" i="1"/>
  <c r="AH170" i="1"/>
  <c r="Z170" i="1"/>
  <c r="AF170" i="1"/>
  <c r="AB170" i="1"/>
  <c r="AH93" i="1"/>
  <c r="Z93" i="1"/>
  <c r="AF93" i="1"/>
  <c r="AD93" i="1"/>
  <c r="AB93" i="1"/>
  <c r="AH164" i="1"/>
  <c r="Z164" i="1"/>
  <c r="AD164" i="1"/>
  <c r="AF164" i="1"/>
  <c r="AB164" i="1"/>
  <c r="AD24" i="1"/>
  <c r="AB24" i="1"/>
  <c r="AH24" i="1"/>
  <c r="Z24" i="1"/>
  <c r="AF24" i="1"/>
  <c r="AD111" i="1"/>
  <c r="AB111" i="1"/>
  <c r="AH111" i="1"/>
  <c r="Z111" i="1"/>
  <c r="AF111" i="1"/>
  <c r="AD13" i="1"/>
  <c r="AB13" i="1"/>
  <c r="AH13" i="1"/>
  <c r="AF13" i="1"/>
  <c r="Z13" i="1"/>
  <c r="AD42" i="1"/>
  <c r="AB42" i="1"/>
  <c r="AH42" i="1"/>
  <c r="Z42" i="1"/>
  <c r="AF42" i="1"/>
  <c r="AB57" i="1"/>
  <c r="AF57" i="1"/>
  <c r="AD57" i="1"/>
  <c r="Z57" i="1"/>
  <c r="AH57" i="1"/>
  <c r="AB171" i="1"/>
  <c r="AF171" i="1"/>
  <c r="AD171" i="1"/>
  <c r="Z171" i="1"/>
  <c r="AH171" i="1"/>
  <c r="AD174" i="1"/>
  <c r="AB174" i="1"/>
  <c r="AH174" i="1"/>
  <c r="Z174" i="1"/>
  <c r="AF174" i="1"/>
  <c r="AF184" i="1"/>
  <c r="AD184" i="1"/>
  <c r="AH184" i="1"/>
  <c r="AB184" i="1"/>
  <c r="Z184" i="1"/>
  <c r="AD4" i="1"/>
  <c r="Z4" i="1"/>
  <c r="AB4" i="1"/>
  <c r="AH4" i="1"/>
  <c r="AF4" i="1"/>
  <c r="AH26" i="1"/>
  <c r="Z26" i="1"/>
  <c r="AF26" i="1"/>
  <c r="AD26" i="1"/>
  <c r="AB26" i="1"/>
  <c r="AD138" i="1"/>
  <c r="Z138" i="1"/>
  <c r="AH138" i="1"/>
  <c r="AF138" i="1"/>
  <c r="AB138" i="1"/>
  <c r="AB124" i="1"/>
  <c r="AH124" i="1"/>
  <c r="Z124" i="1"/>
  <c r="AF124" i="1"/>
  <c r="AD124" i="1"/>
  <c r="W142" i="1"/>
  <c r="X21" i="1"/>
  <c r="W58" i="1"/>
  <c r="AF83" i="1"/>
  <c r="AD83" i="1"/>
  <c r="AB83" i="1"/>
  <c r="Z83" i="1"/>
  <c r="AH83" i="1"/>
  <c r="AJ134" i="1"/>
  <c r="AJ141" i="1"/>
  <c r="AF110" i="1"/>
  <c r="AD110" i="1"/>
  <c r="AB110" i="1"/>
  <c r="AH110" i="1"/>
  <c r="Z110" i="1"/>
  <c r="AF31" i="1"/>
  <c r="AD31" i="1"/>
  <c r="AB31" i="1"/>
  <c r="AH31" i="1"/>
  <c r="Z31" i="1"/>
  <c r="AF97" i="1"/>
  <c r="AD97" i="1"/>
  <c r="AB97" i="1"/>
  <c r="Z97" i="1"/>
  <c r="AH97" i="1"/>
  <c r="AD76" i="1"/>
  <c r="AB76" i="1"/>
  <c r="AH76" i="1"/>
  <c r="Z76" i="1"/>
  <c r="AF76" i="1"/>
  <c r="AB149" i="1"/>
  <c r="AH149" i="1"/>
  <c r="Z149" i="1"/>
  <c r="AF149" i="1"/>
  <c r="AD149" i="1"/>
  <c r="AD152" i="1"/>
  <c r="AB152" i="1"/>
  <c r="AH152" i="1"/>
  <c r="Z152" i="1"/>
  <c r="AF152" i="1"/>
  <c r="AH117" i="1"/>
  <c r="Z117" i="1"/>
  <c r="AF117" i="1"/>
  <c r="AD117" i="1"/>
  <c r="AB117" i="1"/>
  <c r="AD133" i="1"/>
  <c r="Z133" i="1"/>
  <c r="AH133" i="1"/>
  <c r="AF133" i="1"/>
  <c r="AB133" i="1"/>
  <c r="AB193" i="1"/>
  <c r="AH193" i="1"/>
  <c r="AF193" i="1"/>
  <c r="AD193" i="1"/>
  <c r="Z193" i="1"/>
  <c r="AH30" i="1"/>
  <c r="Z30" i="1"/>
  <c r="AF30" i="1"/>
  <c r="AD30" i="1"/>
  <c r="AB30" i="1"/>
  <c r="AH11" i="1"/>
  <c r="Z11" i="1"/>
  <c r="AF11" i="1"/>
  <c r="AD11" i="1"/>
  <c r="AB11" i="1"/>
  <c r="AK239" i="1"/>
  <c r="BU239" i="1"/>
  <c r="BX239" i="1" s="1"/>
  <c r="AK241" i="1"/>
  <c r="BU241" i="1"/>
  <c r="BX241" i="1" s="1"/>
  <c r="AD17" i="1"/>
  <c r="AB17" i="1"/>
  <c r="AH17" i="1"/>
  <c r="AF17" i="1"/>
  <c r="Z17" i="1"/>
  <c r="AJ70" i="1"/>
  <c r="AD54" i="1"/>
  <c r="AB54" i="1"/>
  <c r="AH54" i="1"/>
  <c r="Z54" i="1"/>
  <c r="AF54" i="1"/>
  <c r="AF192" i="1"/>
  <c r="AD192" i="1"/>
  <c r="AH192" i="1"/>
  <c r="AB192" i="1"/>
  <c r="Z192" i="1"/>
  <c r="AB10" i="1"/>
  <c r="AH10" i="1"/>
  <c r="Z10" i="1"/>
  <c r="AD10" i="1"/>
  <c r="AF10" i="1"/>
  <c r="AD32" i="1"/>
  <c r="AB32" i="1"/>
  <c r="AH32" i="1"/>
  <c r="Z32" i="1"/>
  <c r="AF32" i="1"/>
  <c r="AD88" i="1"/>
  <c r="AB88" i="1"/>
  <c r="AH88" i="1"/>
  <c r="Z88" i="1"/>
  <c r="AF88" i="1"/>
  <c r="AJ145" i="1"/>
  <c r="AF94" i="1"/>
  <c r="AD94" i="1"/>
  <c r="AB94" i="1"/>
  <c r="Z94" i="1"/>
  <c r="AH94" i="1"/>
  <c r="X125" i="1"/>
  <c r="X128" i="1"/>
  <c r="AF122" i="1"/>
  <c r="AD122" i="1"/>
  <c r="AB122" i="1"/>
  <c r="Z122" i="1"/>
  <c r="AH122" i="1"/>
  <c r="AH194" i="1"/>
  <c r="Z194" i="1"/>
  <c r="AD194" i="1"/>
  <c r="AB194" i="1"/>
  <c r="AF194" i="1"/>
  <c r="AF36" i="1"/>
  <c r="AD36" i="1"/>
  <c r="AB36" i="1"/>
  <c r="AH36" i="1"/>
  <c r="Z36" i="1"/>
  <c r="AD148" i="1"/>
  <c r="AB148" i="1"/>
  <c r="AH148" i="1"/>
  <c r="Z148" i="1"/>
  <c r="AF148" i="1"/>
  <c r="AH82" i="1"/>
  <c r="Z82" i="1"/>
  <c r="AF82" i="1"/>
  <c r="AD82" i="1"/>
  <c r="AB82" i="1"/>
  <c r="AH90" i="1"/>
  <c r="Z90" i="1"/>
  <c r="AF90" i="1"/>
  <c r="AD90" i="1"/>
  <c r="AB90" i="1"/>
  <c r="AH127" i="1"/>
  <c r="Z127" i="1"/>
  <c r="AF127" i="1"/>
  <c r="AD127" i="1"/>
  <c r="AB127" i="1"/>
  <c r="W103" i="1"/>
  <c r="AB157" i="1"/>
  <c r="AH157" i="1"/>
  <c r="Z157" i="1"/>
  <c r="AF157" i="1"/>
  <c r="AD157" i="1"/>
  <c r="AF175" i="1"/>
  <c r="Z175" i="1"/>
  <c r="AH175" i="1"/>
  <c r="AD175" i="1"/>
  <c r="AB175" i="1"/>
  <c r="AH187" i="1"/>
  <c r="Z187" i="1"/>
  <c r="AF187" i="1"/>
  <c r="AB187" i="1"/>
  <c r="AD187" i="1"/>
  <c r="X178" i="1"/>
  <c r="AB197" i="1"/>
  <c r="AF197" i="1"/>
  <c r="Z197" i="1"/>
  <c r="AH197" i="1"/>
  <c r="AD197" i="1"/>
  <c r="AD67" i="1"/>
  <c r="AH67" i="1"/>
  <c r="Z67" i="1"/>
  <c r="AF67" i="1"/>
  <c r="AB67" i="1"/>
  <c r="W129" i="1"/>
  <c r="AB81" i="1"/>
  <c r="AH81" i="1"/>
  <c r="Z81" i="1"/>
  <c r="AF81" i="1"/>
  <c r="AD81" i="1"/>
  <c r="AH146" i="1"/>
  <c r="Z146" i="1"/>
  <c r="AF146" i="1"/>
  <c r="AD146" i="1"/>
  <c r="AB146" i="1"/>
  <c r="AF183" i="1"/>
  <c r="AD183" i="1"/>
  <c r="AB183" i="1"/>
  <c r="Z183" i="1"/>
  <c r="AH183" i="1"/>
  <c r="AH136" i="1"/>
  <c r="Z136" i="1"/>
  <c r="AF136" i="1"/>
  <c r="AD136" i="1"/>
  <c r="AB136" i="1"/>
  <c r="AB167" i="1"/>
  <c r="AF167" i="1"/>
  <c r="Z167" i="1"/>
  <c r="AH167" i="1"/>
  <c r="AD167" i="1"/>
  <c r="AH109" i="1"/>
  <c r="Z109" i="1"/>
  <c r="AD109" i="1"/>
  <c r="AF109" i="1"/>
  <c r="AB109" i="1"/>
  <c r="AH182" i="1"/>
  <c r="Z182" i="1"/>
  <c r="AD182" i="1"/>
  <c r="AB182" i="1"/>
  <c r="AF182" i="1"/>
  <c r="BT16" i="1"/>
  <c r="X66" i="1"/>
  <c r="AF151" i="1"/>
  <c r="AD151" i="1"/>
  <c r="AB151" i="1"/>
  <c r="Z151" i="1"/>
  <c r="AH151" i="1"/>
  <c r="AD9" i="1"/>
  <c r="AB9" i="1"/>
  <c r="Z9" i="1"/>
  <c r="AH9" i="1"/>
  <c r="AF9" i="1"/>
  <c r="AD46" i="1"/>
  <c r="AB46" i="1"/>
  <c r="AH46" i="1"/>
  <c r="Z46" i="1"/>
  <c r="AF46" i="1"/>
  <c r="AF155" i="1"/>
  <c r="AD155" i="1"/>
  <c r="AB155" i="1"/>
  <c r="AH155" i="1"/>
  <c r="Z155" i="1"/>
  <c r="X60" i="1"/>
  <c r="T243" i="1"/>
  <c r="AD50" i="1"/>
  <c r="AB50" i="1"/>
  <c r="AH50" i="1"/>
  <c r="Z50" i="1"/>
  <c r="AF50" i="1"/>
  <c r="AB89" i="1"/>
  <c r="AH89" i="1"/>
  <c r="Z89" i="1"/>
  <c r="AF89" i="1"/>
  <c r="AD89" i="1"/>
  <c r="AF179" i="1"/>
  <c r="AH179" i="1"/>
  <c r="AD179" i="1"/>
  <c r="AB179" i="1"/>
  <c r="Z179" i="1"/>
  <c r="AD166" i="1"/>
  <c r="AH166" i="1"/>
  <c r="Z166" i="1"/>
  <c r="AF166" i="1"/>
  <c r="AB166" i="1"/>
  <c r="AF45" i="1"/>
  <c r="AD45" i="1"/>
  <c r="AB45" i="1"/>
  <c r="AH45" i="1"/>
  <c r="Z45" i="1"/>
  <c r="AF100" i="1"/>
  <c r="Z100" i="1"/>
  <c r="AH100" i="1"/>
  <c r="AD100" i="1"/>
  <c r="AB100" i="1"/>
  <c r="AD28" i="1"/>
  <c r="AB28" i="1"/>
  <c r="AH28" i="1"/>
  <c r="Z28" i="1"/>
  <c r="AF28" i="1"/>
  <c r="AD23" i="1"/>
  <c r="AB23" i="1"/>
  <c r="Z23" i="1"/>
  <c r="AH23" i="1"/>
  <c r="AF23" i="1"/>
  <c r="BT144" i="1"/>
  <c r="AF169" i="1"/>
  <c r="AB169" i="1"/>
  <c r="AD169" i="1"/>
  <c r="Z169" i="1"/>
  <c r="AH169" i="1"/>
  <c r="AB33" i="1"/>
  <c r="AH33" i="1"/>
  <c r="Z33" i="1"/>
  <c r="AF33" i="1"/>
  <c r="AD33" i="1"/>
  <c r="AF49" i="1"/>
  <c r="AD49" i="1"/>
  <c r="AB49" i="1"/>
  <c r="AH49" i="1"/>
  <c r="Z49" i="1"/>
  <c r="AD180" i="1"/>
  <c r="Z180" i="1"/>
  <c r="AH180" i="1"/>
  <c r="AF180" i="1"/>
  <c r="AB180" i="1"/>
  <c r="AF195" i="1"/>
  <c r="AB195" i="1"/>
  <c r="AH195" i="1"/>
  <c r="AD195" i="1"/>
  <c r="Z195" i="1"/>
  <c r="AH19" i="1"/>
  <c r="Z19" i="1"/>
  <c r="AF19" i="1"/>
  <c r="AD19" i="1"/>
  <c r="AB19" i="1"/>
  <c r="W8" i="1"/>
  <c r="X53" i="1"/>
  <c r="AJ153" i="1"/>
  <c r="W237" i="1"/>
  <c r="AF147" i="1"/>
  <c r="AD147" i="1"/>
  <c r="AB147" i="1"/>
  <c r="AH147" i="1"/>
  <c r="Z147" i="1"/>
  <c r="X6" i="1"/>
  <c r="AB29" i="1"/>
  <c r="AH29" i="1"/>
  <c r="Z29" i="1"/>
  <c r="AF29" i="1"/>
  <c r="AD29" i="1"/>
  <c r="AJ161" i="1"/>
  <c r="AF199" i="1"/>
  <c r="AB199" i="1"/>
  <c r="AD199" i="1"/>
  <c r="Z199" i="1"/>
  <c r="AH199" i="1"/>
  <c r="X40" i="1"/>
  <c r="AF188" i="1"/>
  <c r="AD188" i="1"/>
  <c r="AH188" i="1"/>
  <c r="AB188" i="1"/>
  <c r="Z188" i="1"/>
  <c r="AJ5" i="1"/>
  <c r="AF55" i="1"/>
  <c r="AB55" i="1"/>
  <c r="AD55" i="1"/>
  <c r="Z55" i="1"/>
  <c r="AH55" i="1"/>
  <c r="AD140" i="1"/>
  <c r="AH140" i="1"/>
  <c r="Z140" i="1"/>
  <c r="AF140" i="1"/>
  <c r="AB140" i="1"/>
  <c r="W162" i="1"/>
  <c r="BQ243" i="1"/>
  <c r="BR3" i="1"/>
  <c r="AD80" i="1"/>
  <c r="AB80" i="1"/>
  <c r="AH80" i="1"/>
  <c r="Z80" i="1"/>
  <c r="AF80" i="1"/>
  <c r="AF91" i="1"/>
  <c r="AD91" i="1"/>
  <c r="AB91" i="1"/>
  <c r="Z91" i="1"/>
  <c r="AH91" i="1"/>
  <c r="AH158" i="1"/>
  <c r="Z158" i="1"/>
  <c r="AF158" i="1"/>
  <c r="AD158" i="1"/>
  <c r="AB158" i="1"/>
  <c r="AF118" i="1"/>
  <c r="AD118" i="1"/>
  <c r="AB118" i="1"/>
  <c r="AH118" i="1"/>
  <c r="Z118" i="1"/>
  <c r="AD176" i="1"/>
  <c r="AB176" i="1"/>
  <c r="Z176" i="1"/>
  <c r="AH176" i="1"/>
  <c r="AF176" i="1"/>
  <c r="AJ240" i="1"/>
  <c r="AD38" i="1"/>
  <c r="AB38" i="1"/>
  <c r="AH38" i="1"/>
  <c r="Z38" i="1"/>
  <c r="AF38" i="1"/>
  <c r="AF27" i="1"/>
  <c r="AD27" i="1"/>
  <c r="AB27" i="1"/>
  <c r="AH27" i="1"/>
  <c r="Z27" i="1"/>
  <c r="AF35" i="1"/>
  <c r="AD35" i="1"/>
  <c r="AB35" i="1"/>
  <c r="Z35" i="1"/>
  <c r="AH35" i="1"/>
  <c r="AB25" i="1"/>
  <c r="AH25" i="1"/>
  <c r="Z25" i="1"/>
  <c r="AF25" i="1"/>
  <c r="AD25" i="1"/>
  <c r="W52" i="1"/>
  <c r="AJ120" i="1"/>
  <c r="AF79" i="1"/>
  <c r="AD79" i="1"/>
  <c r="AB79" i="1"/>
  <c r="AH79" i="1"/>
  <c r="Z79" i="1"/>
  <c r="AD115" i="1"/>
  <c r="AB115" i="1"/>
  <c r="AH115" i="1"/>
  <c r="Z115" i="1"/>
  <c r="AF115" i="1"/>
  <c r="AB108" i="1"/>
  <c r="AF108" i="1"/>
  <c r="AH108" i="1"/>
  <c r="AD108" i="1"/>
  <c r="Z108" i="1"/>
  <c r="AD92" i="1"/>
  <c r="AB92" i="1"/>
  <c r="AH92" i="1"/>
  <c r="Z92" i="1"/>
  <c r="AF92" i="1"/>
  <c r="AF114" i="1"/>
  <c r="AD114" i="1"/>
  <c r="AB114" i="1"/>
  <c r="AH114" i="1"/>
  <c r="Z114" i="1"/>
  <c r="U243" i="1"/>
  <c r="V3" i="1"/>
  <c r="AF137" i="1"/>
  <c r="AH137" i="1"/>
  <c r="AD137" i="1"/>
  <c r="AB137" i="1"/>
  <c r="Z137" i="1"/>
  <c r="AD95" i="1"/>
  <c r="AB95" i="1"/>
  <c r="AH95" i="1"/>
  <c r="Z95" i="1"/>
  <c r="AF95" i="1"/>
  <c r="AJ104" i="1"/>
  <c r="AD123" i="1"/>
  <c r="AB123" i="1"/>
  <c r="AH123" i="1"/>
  <c r="Z123" i="1"/>
  <c r="AF123" i="1"/>
  <c r="AB181" i="1"/>
  <c r="AD181" i="1"/>
  <c r="Z181" i="1"/>
  <c r="AH181" i="1"/>
  <c r="AF181" i="1"/>
  <c r="AH168" i="1"/>
  <c r="Z168" i="1"/>
  <c r="AD168" i="1"/>
  <c r="AF168" i="1"/>
  <c r="AB168" i="1"/>
  <c r="AF173" i="1"/>
  <c r="AD173" i="1"/>
  <c r="AB173" i="1"/>
  <c r="AH173" i="1"/>
  <c r="Z173" i="1"/>
  <c r="AH198" i="1"/>
  <c r="Z198" i="1"/>
  <c r="AD198" i="1"/>
  <c r="AF198" i="1"/>
  <c r="AB198" i="1"/>
  <c r="AD56" i="1"/>
  <c r="AH56" i="1"/>
  <c r="Z56" i="1"/>
  <c r="AF56" i="1"/>
  <c r="AB56" i="1"/>
  <c r="AB186" i="1"/>
  <c r="AH186" i="1"/>
  <c r="Z186" i="1"/>
  <c r="AF186" i="1"/>
  <c r="AD186" i="1"/>
  <c r="AF132" i="1"/>
  <c r="AH132" i="1"/>
  <c r="AD132" i="1"/>
  <c r="AB132" i="1"/>
  <c r="Z132" i="1"/>
  <c r="W102" i="1"/>
  <c r="AF165" i="1"/>
  <c r="AB165" i="1"/>
  <c r="Z165" i="1"/>
  <c r="AH165" i="1"/>
  <c r="AD165" i="1"/>
  <c r="AB190" i="1"/>
  <c r="AH190" i="1"/>
  <c r="Z190" i="1"/>
  <c r="AF190" i="1"/>
  <c r="AD190" i="1"/>
  <c r="AF159" i="1"/>
  <c r="Z159" i="1"/>
  <c r="AH159" i="1"/>
  <c r="AD159" i="1"/>
  <c r="AB159" i="1"/>
  <c r="AD196" i="1"/>
  <c r="AH196" i="1"/>
  <c r="Z196" i="1"/>
  <c r="AF196" i="1"/>
  <c r="AB196" i="1"/>
  <c r="AB177" i="1"/>
  <c r="AF177" i="1"/>
  <c r="AD177" i="1"/>
  <c r="Z177" i="1"/>
  <c r="AH177" i="1"/>
  <c r="AH99" i="1"/>
  <c r="Z99" i="1"/>
  <c r="AF99" i="1"/>
  <c r="AD99" i="1"/>
  <c r="AB99" i="1"/>
  <c r="AF7" i="1"/>
  <c r="AD7" i="1"/>
  <c r="AH7" i="1"/>
  <c r="AB7" i="1"/>
  <c r="Z7" i="1"/>
  <c r="AB18" i="1"/>
  <c r="AH18" i="1"/>
  <c r="Z18" i="1"/>
  <c r="AD18" i="1"/>
  <c r="AF18" i="1"/>
  <c r="AH34" i="1"/>
  <c r="Z34" i="1"/>
  <c r="AF34" i="1"/>
  <c r="AD34" i="1"/>
  <c r="AB34" i="1"/>
  <c r="AJ203" i="1" l="1"/>
  <c r="AJ201" i="1"/>
  <c r="AJ202" i="1"/>
  <c r="AJ143" i="1"/>
  <c r="AK143" i="1" s="1"/>
  <c r="AJ65" i="1"/>
  <c r="AK65" i="1" s="1"/>
  <c r="BU47" i="1"/>
  <c r="BX47" i="1" s="1"/>
  <c r="AJ59" i="1"/>
  <c r="AK59" i="1" s="1"/>
  <c r="BU116" i="1"/>
  <c r="BX116" i="1" s="1"/>
  <c r="Z96" i="1"/>
  <c r="AJ238" i="1"/>
  <c r="AK238" i="1" s="1"/>
  <c r="AD77" i="1"/>
  <c r="AH96" i="1"/>
  <c r="AK61" i="1"/>
  <c r="AB96" i="1"/>
  <c r="AJ51" i="1"/>
  <c r="BU51" i="1" s="1"/>
  <c r="BX51" i="1" s="1"/>
  <c r="AD96" i="1"/>
  <c r="AJ85" i="1"/>
  <c r="AK85" i="1" s="1"/>
  <c r="AH130" i="1"/>
  <c r="Z130" i="1"/>
  <c r="AB77" i="1"/>
  <c r="AJ106" i="1"/>
  <c r="AB130" i="1"/>
  <c r="AH77" i="1"/>
  <c r="AJ133" i="1"/>
  <c r="BU133" i="1" s="1"/>
  <c r="BX133" i="1" s="1"/>
  <c r="AJ110" i="1"/>
  <c r="AK110" i="1" s="1"/>
  <c r="AD130" i="1"/>
  <c r="AK43" i="1"/>
  <c r="AK163" i="1"/>
  <c r="AF77" i="1"/>
  <c r="AJ193" i="1"/>
  <c r="BU193" i="1" s="1"/>
  <c r="BX193" i="1" s="1"/>
  <c r="AJ152" i="1"/>
  <c r="AK152" i="1" s="1"/>
  <c r="AJ83" i="1"/>
  <c r="AK83" i="1" s="1"/>
  <c r="AJ101" i="1"/>
  <c r="AK101" i="1" s="1"/>
  <c r="AJ119" i="1"/>
  <c r="BU119" i="1" s="1"/>
  <c r="BX119" i="1" s="1"/>
  <c r="AJ195" i="1"/>
  <c r="AK195" i="1" s="1"/>
  <c r="AJ94" i="1"/>
  <c r="BU94" i="1" s="1"/>
  <c r="BX94" i="1" s="1"/>
  <c r="AJ180" i="1"/>
  <c r="BU180" i="1" s="1"/>
  <c r="BX180" i="1" s="1"/>
  <c r="AJ89" i="1"/>
  <c r="AK89" i="1" s="1"/>
  <c r="AJ67" i="1"/>
  <c r="BU67" i="1" s="1"/>
  <c r="BX67" i="1" s="1"/>
  <c r="AJ36" i="1"/>
  <c r="AK36" i="1" s="1"/>
  <c r="AJ10" i="1"/>
  <c r="AK10" i="1" s="1"/>
  <c r="AK39" i="1"/>
  <c r="AJ140" i="1"/>
  <c r="AK140" i="1" s="1"/>
  <c r="BU112" i="1"/>
  <c r="BX112" i="1" s="1"/>
  <c r="AJ72" i="1"/>
  <c r="AB139" i="1"/>
  <c r="AF139" i="1"/>
  <c r="AH139" i="1"/>
  <c r="AD139" i="1"/>
  <c r="Z139" i="1"/>
  <c r="AJ198" i="1"/>
  <c r="AK198" i="1" s="1"/>
  <c r="AJ95" i="1"/>
  <c r="BU95" i="1" s="1"/>
  <c r="BX95" i="1" s="1"/>
  <c r="AJ137" i="1"/>
  <c r="BU137" i="1" s="1"/>
  <c r="BX137" i="1" s="1"/>
  <c r="AJ91" i="1"/>
  <c r="BU91" i="1" s="1"/>
  <c r="BX91" i="1" s="1"/>
  <c r="AJ147" i="1"/>
  <c r="AK147" i="1" s="1"/>
  <c r="AJ33" i="1"/>
  <c r="BU33" i="1" s="1"/>
  <c r="BX33" i="1" s="1"/>
  <c r="AJ9" i="1"/>
  <c r="BU9" i="1" s="1"/>
  <c r="BX9" i="1" s="1"/>
  <c r="AJ183" i="1"/>
  <c r="AK183" i="1" s="1"/>
  <c r="AJ187" i="1"/>
  <c r="AK187" i="1" s="1"/>
  <c r="AJ127" i="1"/>
  <c r="BU127" i="1" s="1"/>
  <c r="BX127" i="1" s="1"/>
  <c r="AJ171" i="1"/>
  <c r="AK171" i="1" s="1"/>
  <c r="AJ42" i="1"/>
  <c r="BU42" i="1" s="1"/>
  <c r="BX42" i="1" s="1"/>
  <c r="AJ13" i="1"/>
  <c r="AK13" i="1" s="1"/>
  <c r="AJ156" i="1"/>
  <c r="AK156" i="1" s="1"/>
  <c r="AJ14" i="1"/>
  <c r="BU14" i="1" s="1"/>
  <c r="BX14" i="1" s="1"/>
  <c r="BU63" i="1"/>
  <c r="BX63" i="1" s="1"/>
  <c r="AK63" i="1"/>
  <c r="X52" i="1"/>
  <c r="X162" i="1"/>
  <c r="BU153" i="1"/>
  <c r="BX153" i="1" s="1"/>
  <c r="AK153" i="1"/>
  <c r="X103" i="1"/>
  <c r="AK145" i="1"/>
  <c r="BU145" i="1"/>
  <c r="BX145" i="1" s="1"/>
  <c r="X58" i="1"/>
  <c r="X142" i="1"/>
  <c r="AH113" i="1"/>
  <c r="Z113" i="1"/>
  <c r="AF113" i="1"/>
  <c r="AD113" i="1"/>
  <c r="AB113" i="1"/>
  <c r="AJ177" i="1"/>
  <c r="AJ159" i="1"/>
  <c r="AJ190" i="1"/>
  <c r="X102" i="1"/>
  <c r="AJ186" i="1"/>
  <c r="V243" i="1"/>
  <c r="W3" i="1"/>
  <c r="AJ92" i="1"/>
  <c r="AJ108" i="1"/>
  <c r="AJ35" i="1"/>
  <c r="AJ27" i="1"/>
  <c r="AJ118" i="1"/>
  <c r="AJ158" i="1"/>
  <c r="AJ55" i="1"/>
  <c r="AK5" i="1"/>
  <c r="BU5" i="1"/>
  <c r="BX5" i="1" s="1"/>
  <c r="AH40" i="1"/>
  <c r="Z40" i="1"/>
  <c r="AF40" i="1"/>
  <c r="AD40" i="1"/>
  <c r="AB40" i="1"/>
  <c r="AH6" i="1"/>
  <c r="Z6" i="1"/>
  <c r="AD6" i="1"/>
  <c r="AF6" i="1"/>
  <c r="AB6" i="1"/>
  <c r="X237" i="1"/>
  <c r="AH48" i="1"/>
  <c r="Z48" i="1"/>
  <c r="AF48" i="1"/>
  <c r="AD48" i="1"/>
  <c r="AB48" i="1"/>
  <c r="AF22" i="1"/>
  <c r="AD22" i="1"/>
  <c r="Z22" i="1"/>
  <c r="AB22" i="1"/>
  <c r="AH22" i="1"/>
  <c r="AJ100" i="1"/>
  <c r="AJ179" i="1"/>
  <c r="AF12" i="1"/>
  <c r="AD12" i="1"/>
  <c r="Z12" i="1"/>
  <c r="AB12" i="1"/>
  <c r="AH12" i="1"/>
  <c r="AF66" i="1"/>
  <c r="AB66" i="1"/>
  <c r="Z66" i="1"/>
  <c r="AH66" i="1"/>
  <c r="AD66" i="1"/>
  <c r="AJ136" i="1"/>
  <c r="X129" i="1"/>
  <c r="AJ175" i="1"/>
  <c r="AJ157" i="1"/>
  <c r="AJ90" i="1"/>
  <c r="AJ148" i="1"/>
  <c r="AJ122" i="1"/>
  <c r="AJ54" i="1"/>
  <c r="AK70" i="1"/>
  <c r="BU70" i="1"/>
  <c r="BX70" i="1" s="1"/>
  <c r="AH150" i="1"/>
  <c r="Z150" i="1"/>
  <c r="AF150" i="1"/>
  <c r="AD150" i="1"/>
  <c r="AB150" i="1"/>
  <c r="AB98" i="1"/>
  <c r="AH98" i="1"/>
  <c r="Z98" i="1"/>
  <c r="AF98" i="1"/>
  <c r="AD98" i="1"/>
  <c r="AJ11" i="1"/>
  <c r="AJ117" i="1"/>
  <c r="AK141" i="1"/>
  <c r="BU141" i="1"/>
  <c r="BX141" i="1" s="1"/>
  <c r="AJ138" i="1"/>
  <c r="AJ184" i="1"/>
  <c r="AJ57" i="1"/>
  <c r="AJ15" i="1"/>
  <c r="AJ107" i="1"/>
  <c r="AJ160" i="1"/>
  <c r="AF37" i="1"/>
  <c r="AD37" i="1"/>
  <c r="AB37" i="1"/>
  <c r="AH37" i="1"/>
  <c r="Z37" i="1"/>
  <c r="AJ74" i="1"/>
  <c r="AH105" i="1"/>
  <c r="Z105" i="1"/>
  <c r="AD105" i="1"/>
  <c r="AF105" i="1"/>
  <c r="AB105" i="1"/>
  <c r="AJ176" i="1"/>
  <c r="AJ80" i="1"/>
  <c r="BR243" i="1"/>
  <c r="BS3" i="1"/>
  <c r="AJ188" i="1"/>
  <c r="AJ29" i="1"/>
  <c r="X8" i="1"/>
  <c r="AJ19" i="1"/>
  <c r="AJ49" i="1"/>
  <c r="AJ23" i="1"/>
  <c r="AJ28" i="1"/>
  <c r="AJ166" i="1"/>
  <c r="AH69" i="1"/>
  <c r="Z69" i="1"/>
  <c r="AD69" i="1"/>
  <c r="AF69" i="1"/>
  <c r="AB69" i="1"/>
  <c r="AJ46" i="1"/>
  <c r="AJ182" i="1"/>
  <c r="AH178" i="1"/>
  <c r="Z178" i="1"/>
  <c r="AF178" i="1"/>
  <c r="AD178" i="1"/>
  <c r="AB178" i="1"/>
  <c r="AJ82" i="1"/>
  <c r="AJ194" i="1"/>
  <c r="AH125" i="1"/>
  <c r="Z125" i="1"/>
  <c r="AF125" i="1"/>
  <c r="AD125" i="1"/>
  <c r="AB125" i="1"/>
  <c r="AJ88" i="1"/>
  <c r="AJ32" i="1"/>
  <c r="AJ17" i="1"/>
  <c r="AJ30" i="1"/>
  <c r="AJ149" i="1"/>
  <c r="AJ76" i="1"/>
  <c r="BU134" i="1"/>
  <c r="BX134" i="1" s="1"/>
  <c r="AK134" i="1"/>
  <c r="AJ26" i="1"/>
  <c r="AH73" i="1"/>
  <c r="Z73" i="1"/>
  <c r="AF73" i="1"/>
  <c r="AD73" i="1"/>
  <c r="AB73" i="1"/>
  <c r="AJ111" i="1"/>
  <c r="AJ164" i="1"/>
  <c r="AJ87" i="1"/>
  <c r="AJ131" i="1"/>
  <c r="AJ126" i="1"/>
  <c r="AJ135" i="1"/>
  <c r="AH191" i="1"/>
  <c r="Z191" i="1"/>
  <c r="AF191" i="1"/>
  <c r="AB191" i="1"/>
  <c r="AD191" i="1"/>
  <c r="AH121" i="1"/>
  <c r="Z121" i="1"/>
  <c r="AF121" i="1"/>
  <c r="AD121" i="1"/>
  <c r="AB121" i="1"/>
  <c r="AJ71" i="1"/>
  <c r="AD200" i="1"/>
  <c r="AH200" i="1"/>
  <c r="Z200" i="1"/>
  <c r="AF200" i="1"/>
  <c r="AB200" i="1"/>
  <c r="AF16" i="1"/>
  <c r="AD16" i="1"/>
  <c r="Z16" i="1"/>
  <c r="AB16" i="1"/>
  <c r="AH16" i="1"/>
  <c r="AD144" i="1"/>
  <c r="AH144" i="1"/>
  <c r="Z144" i="1"/>
  <c r="AF144" i="1"/>
  <c r="AB144" i="1"/>
  <c r="AD60" i="1"/>
  <c r="AH60" i="1"/>
  <c r="Z60" i="1"/>
  <c r="AF60" i="1"/>
  <c r="AB60" i="1"/>
  <c r="AH172" i="1"/>
  <c r="Z172" i="1"/>
  <c r="AF172" i="1"/>
  <c r="AD172" i="1"/>
  <c r="AB172" i="1"/>
  <c r="AJ7" i="1"/>
  <c r="AJ99" i="1"/>
  <c r="AJ165" i="1"/>
  <c r="AJ132" i="1"/>
  <c r="AJ56" i="1"/>
  <c r="AJ173" i="1"/>
  <c r="AJ168" i="1"/>
  <c r="AJ181" i="1"/>
  <c r="AJ123" i="1"/>
  <c r="AK104" i="1"/>
  <c r="BU104" i="1"/>
  <c r="BX104" i="1" s="1"/>
  <c r="AJ34" i="1"/>
  <c r="AJ18" i="1"/>
  <c r="AJ196" i="1"/>
  <c r="AJ114" i="1"/>
  <c r="AJ115" i="1"/>
  <c r="AJ79" i="1"/>
  <c r="AK120" i="1"/>
  <c r="BU120" i="1"/>
  <c r="BX120" i="1" s="1"/>
  <c r="AJ25" i="1"/>
  <c r="AJ38" i="1"/>
  <c r="AK240" i="1"/>
  <c r="BU240" i="1"/>
  <c r="BX240" i="1" s="1"/>
  <c r="AH154" i="1"/>
  <c r="Z154" i="1"/>
  <c r="AF154" i="1"/>
  <c r="AD154" i="1"/>
  <c r="AB154" i="1"/>
  <c r="AH86" i="1"/>
  <c r="Z86" i="1"/>
  <c r="AF86" i="1"/>
  <c r="AD86" i="1"/>
  <c r="AB86" i="1"/>
  <c r="AJ199" i="1"/>
  <c r="AK161" i="1"/>
  <c r="BU161" i="1"/>
  <c r="BX161" i="1" s="1"/>
  <c r="AF53" i="1"/>
  <c r="AD53" i="1"/>
  <c r="AB53" i="1"/>
  <c r="AH53" i="1"/>
  <c r="Z53" i="1"/>
  <c r="AJ169" i="1"/>
  <c r="AJ45" i="1"/>
  <c r="AH62" i="1"/>
  <c r="Z62" i="1"/>
  <c r="AD62" i="1"/>
  <c r="AB62" i="1"/>
  <c r="AF62" i="1"/>
  <c r="AJ50" i="1"/>
  <c r="AJ155" i="1"/>
  <c r="AJ151" i="1"/>
  <c r="AJ109" i="1"/>
  <c r="AJ167" i="1"/>
  <c r="AJ146" i="1"/>
  <c r="AJ81" i="1"/>
  <c r="AJ197" i="1"/>
  <c r="AH78" i="1"/>
  <c r="Z78" i="1"/>
  <c r="AF78" i="1"/>
  <c r="AD78" i="1"/>
  <c r="AB78" i="1"/>
  <c r="AF128" i="1"/>
  <c r="Z128" i="1"/>
  <c r="AH128" i="1"/>
  <c r="AD128" i="1"/>
  <c r="AB128" i="1"/>
  <c r="AJ192" i="1"/>
  <c r="AJ97" i="1"/>
  <c r="AJ31" i="1"/>
  <c r="AF21" i="1"/>
  <c r="AD21" i="1"/>
  <c r="Z21" i="1"/>
  <c r="AB21" i="1"/>
  <c r="AH21" i="1"/>
  <c r="AJ124" i="1"/>
  <c r="AJ4" i="1"/>
  <c r="AJ174" i="1"/>
  <c r="AH44" i="1"/>
  <c r="Z44" i="1"/>
  <c r="AF44" i="1"/>
  <c r="AD44" i="1"/>
  <c r="AB44" i="1"/>
  <c r="AJ24" i="1"/>
  <c r="AJ93" i="1"/>
  <c r="AJ170" i="1"/>
  <c r="AD189" i="1"/>
  <c r="AB189" i="1"/>
  <c r="AF189" i="1"/>
  <c r="Z189" i="1"/>
  <c r="AH189" i="1"/>
  <c r="AJ84" i="1"/>
  <c r="AJ68" i="1"/>
  <c r="AJ41" i="1"/>
  <c r="AD64" i="1"/>
  <c r="AH64" i="1"/>
  <c r="Z64" i="1"/>
  <c r="AB64" i="1"/>
  <c r="AF64" i="1"/>
  <c r="AF20" i="1"/>
  <c r="AD20" i="1"/>
  <c r="Z20" i="1"/>
  <c r="AH20" i="1"/>
  <c r="AB20" i="1"/>
  <c r="AD185" i="1"/>
  <c r="AB185" i="1"/>
  <c r="AF185" i="1"/>
  <c r="Z185" i="1"/>
  <c r="AH185" i="1"/>
  <c r="AK202" i="1" l="1"/>
  <c r="BU202" i="1"/>
  <c r="BX202" i="1" s="1"/>
  <c r="AK201" i="1"/>
  <c r="BU201" i="1"/>
  <c r="BX201" i="1" s="1"/>
  <c r="AK203" i="1"/>
  <c r="BU203" i="1"/>
  <c r="BX203" i="1" s="1"/>
  <c r="BU65" i="1"/>
  <c r="BX65" i="1" s="1"/>
  <c r="BU143" i="1"/>
  <c r="BX143" i="1" s="1"/>
  <c r="AK33" i="1"/>
  <c r="BU59" i="1"/>
  <c r="BX59" i="1" s="1"/>
  <c r="BU83" i="1"/>
  <c r="BX83" i="1" s="1"/>
  <c r="BU238" i="1"/>
  <c r="BX238" i="1" s="1"/>
  <c r="AJ96" i="1"/>
  <c r="BU96" i="1" s="1"/>
  <c r="BX96" i="1" s="1"/>
  <c r="AK119" i="1"/>
  <c r="AK180" i="1"/>
  <c r="AK9" i="1"/>
  <c r="BU140" i="1"/>
  <c r="BX140" i="1" s="1"/>
  <c r="AK42" i="1"/>
  <c r="BU195" i="1"/>
  <c r="BX195" i="1" s="1"/>
  <c r="AK51" i="1"/>
  <c r="AK67" i="1"/>
  <c r="BU110" i="1"/>
  <c r="BX110" i="1" s="1"/>
  <c r="AJ77" i="1"/>
  <c r="AK77" i="1" s="1"/>
  <c r="AK91" i="1"/>
  <c r="AK133" i="1"/>
  <c r="AJ130" i="1"/>
  <c r="AK130" i="1" s="1"/>
  <c r="BU152" i="1"/>
  <c r="BX152" i="1" s="1"/>
  <c r="BU85" i="1"/>
  <c r="BX85" i="1" s="1"/>
  <c r="BU13" i="1"/>
  <c r="BX13" i="1" s="1"/>
  <c r="AK193" i="1"/>
  <c r="BU101" i="1"/>
  <c r="BX101" i="1" s="1"/>
  <c r="BU36" i="1"/>
  <c r="BX36" i="1" s="1"/>
  <c r="AK106" i="1"/>
  <c r="BU106" i="1"/>
  <c r="BX106" i="1" s="1"/>
  <c r="BU183" i="1"/>
  <c r="BX183" i="1" s="1"/>
  <c r="AK94" i="1"/>
  <c r="BU147" i="1"/>
  <c r="BX147" i="1" s="1"/>
  <c r="BU10" i="1"/>
  <c r="BX10" i="1" s="1"/>
  <c r="BU187" i="1"/>
  <c r="BX187" i="1" s="1"/>
  <c r="BU198" i="1"/>
  <c r="BX198" i="1" s="1"/>
  <c r="BU89" i="1"/>
  <c r="BX89" i="1" s="1"/>
  <c r="BU171" i="1"/>
  <c r="BX171" i="1" s="1"/>
  <c r="AK72" i="1"/>
  <c r="BU72" i="1"/>
  <c r="BX72" i="1" s="1"/>
  <c r="AK14" i="1"/>
  <c r="AK137" i="1"/>
  <c r="AK127" i="1"/>
  <c r="AK95" i="1"/>
  <c r="AJ105" i="1"/>
  <c r="AK105" i="1" s="1"/>
  <c r="AJ98" i="1"/>
  <c r="AK98" i="1" s="1"/>
  <c r="AJ6" i="1"/>
  <c r="BU6" i="1" s="1"/>
  <c r="BX6" i="1" s="1"/>
  <c r="BU156" i="1"/>
  <c r="BX156" i="1" s="1"/>
  <c r="AJ64" i="1"/>
  <c r="BU64" i="1" s="1"/>
  <c r="BX64" i="1" s="1"/>
  <c r="AJ21" i="1"/>
  <c r="AK21" i="1" s="1"/>
  <c r="AJ200" i="1"/>
  <c r="BU200" i="1" s="1"/>
  <c r="BX200" i="1" s="1"/>
  <c r="AJ191" i="1"/>
  <c r="BU191" i="1" s="1"/>
  <c r="BX191" i="1" s="1"/>
  <c r="AJ178" i="1"/>
  <c r="AK178" i="1" s="1"/>
  <c r="AJ48" i="1"/>
  <c r="AK48" i="1" s="1"/>
  <c r="AJ139" i="1"/>
  <c r="AK184" i="1"/>
  <c r="BU184" i="1"/>
  <c r="BX184" i="1" s="1"/>
  <c r="AD129" i="1"/>
  <c r="AB129" i="1"/>
  <c r="Z129" i="1"/>
  <c r="AH129" i="1"/>
  <c r="AF129" i="1"/>
  <c r="AK118" i="1"/>
  <c r="BU118" i="1"/>
  <c r="BX118" i="1" s="1"/>
  <c r="AJ185" i="1"/>
  <c r="AK84" i="1"/>
  <c r="BU84" i="1"/>
  <c r="BX84" i="1" s="1"/>
  <c r="BU24" i="1"/>
  <c r="BX24" i="1" s="1"/>
  <c r="AK24" i="1"/>
  <c r="AJ44" i="1"/>
  <c r="AK124" i="1"/>
  <c r="BU124" i="1"/>
  <c r="BX124" i="1" s="1"/>
  <c r="BU192" i="1"/>
  <c r="BX192" i="1" s="1"/>
  <c r="AK192" i="1"/>
  <c r="AJ128" i="1"/>
  <c r="AK81" i="1"/>
  <c r="BU81" i="1"/>
  <c r="BX81" i="1" s="1"/>
  <c r="BU151" i="1"/>
  <c r="BX151" i="1" s="1"/>
  <c r="AK151" i="1"/>
  <c r="BU45" i="1"/>
  <c r="BX45" i="1" s="1"/>
  <c r="AK45" i="1"/>
  <c r="AK114" i="1"/>
  <c r="BU114" i="1"/>
  <c r="BX114" i="1" s="1"/>
  <c r="AK168" i="1"/>
  <c r="BU168" i="1"/>
  <c r="BX168" i="1" s="1"/>
  <c r="BU165" i="1"/>
  <c r="BX165" i="1" s="1"/>
  <c r="AK165" i="1"/>
  <c r="AJ172" i="1"/>
  <c r="AJ60" i="1"/>
  <c r="BU87" i="1"/>
  <c r="BX87" i="1" s="1"/>
  <c r="AK87" i="1"/>
  <c r="AK26" i="1"/>
  <c r="BU26" i="1"/>
  <c r="BX26" i="1" s="1"/>
  <c r="BU149" i="1"/>
  <c r="BX149" i="1" s="1"/>
  <c r="AK149" i="1"/>
  <c r="AK17" i="1"/>
  <c r="BU17" i="1"/>
  <c r="BX17" i="1" s="1"/>
  <c r="AK88" i="1"/>
  <c r="BU88" i="1"/>
  <c r="BX88" i="1" s="1"/>
  <c r="AJ125" i="1"/>
  <c r="AK166" i="1"/>
  <c r="BU166" i="1"/>
  <c r="BX166" i="1" s="1"/>
  <c r="AK19" i="1"/>
  <c r="BU19" i="1"/>
  <c r="BX19" i="1" s="1"/>
  <c r="AK29" i="1"/>
  <c r="BU29" i="1"/>
  <c r="BX29" i="1" s="1"/>
  <c r="BU80" i="1"/>
  <c r="BX80" i="1" s="1"/>
  <c r="AK80" i="1"/>
  <c r="AK107" i="1"/>
  <c r="BU107" i="1"/>
  <c r="BX107" i="1" s="1"/>
  <c r="BU138" i="1"/>
  <c r="BX138" i="1" s="1"/>
  <c r="AK138" i="1"/>
  <c r="BU11" i="1"/>
  <c r="BX11" i="1" s="1"/>
  <c r="AK11" i="1"/>
  <c r="BU90" i="1"/>
  <c r="BX90" i="1" s="1"/>
  <c r="AK90" i="1"/>
  <c r="AJ40" i="1"/>
  <c r="BU55" i="1"/>
  <c r="BX55" i="1" s="1"/>
  <c r="AK55" i="1"/>
  <c r="AK27" i="1"/>
  <c r="BU27" i="1"/>
  <c r="BX27" i="1" s="1"/>
  <c r="W243" i="1"/>
  <c r="X3" i="1"/>
  <c r="BU177" i="1"/>
  <c r="BX177" i="1" s="1"/>
  <c r="AK177" i="1"/>
  <c r="AH142" i="1"/>
  <c r="Z142" i="1"/>
  <c r="AD142" i="1"/>
  <c r="AF142" i="1"/>
  <c r="AB142" i="1"/>
  <c r="BU68" i="1"/>
  <c r="BX68" i="1" s="1"/>
  <c r="AK68" i="1"/>
  <c r="BU197" i="1"/>
  <c r="BX197" i="1" s="1"/>
  <c r="AK197" i="1"/>
  <c r="BU115" i="1"/>
  <c r="BX115" i="1" s="1"/>
  <c r="AK115" i="1"/>
  <c r="BU34" i="1"/>
  <c r="BX34" i="1" s="1"/>
  <c r="AK34" i="1"/>
  <c r="BU132" i="1"/>
  <c r="BX132" i="1" s="1"/>
  <c r="AK132" i="1"/>
  <c r="BU76" i="1"/>
  <c r="BX76" i="1" s="1"/>
  <c r="AK76" i="1"/>
  <c r="AK49" i="1"/>
  <c r="BU49" i="1"/>
  <c r="BX49" i="1" s="1"/>
  <c r="AK148" i="1"/>
  <c r="BU148" i="1"/>
  <c r="BX148" i="1" s="1"/>
  <c r="BU159" i="1"/>
  <c r="BX159" i="1" s="1"/>
  <c r="AK159" i="1"/>
  <c r="AH58" i="1"/>
  <c r="Z58" i="1"/>
  <c r="AD58" i="1"/>
  <c r="AF58" i="1"/>
  <c r="AB58" i="1"/>
  <c r="AJ78" i="1"/>
  <c r="BU146" i="1"/>
  <c r="BX146" i="1" s="1"/>
  <c r="AK146" i="1"/>
  <c r="BU155" i="1"/>
  <c r="BX155" i="1" s="1"/>
  <c r="AK155" i="1"/>
  <c r="AK169" i="1"/>
  <c r="BU169" i="1"/>
  <c r="BX169" i="1" s="1"/>
  <c r="AK199" i="1"/>
  <c r="BU199" i="1"/>
  <c r="BX199" i="1" s="1"/>
  <c r="AJ86" i="1"/>
  <c r="AK196" i="1"/>
  <c r="BU196" i="1"/>
  <c r="BX196" i="1" s="1"/>
  <c r="BU173" i="1"/>
  <c r="BX173" i="1" s="1"/>
  <c r="AK173" i="1"/>
  <c r="AK99" i="1"/>
  <c r="BU99" i="1"/>
  <c r="BX99" i="1" s="1"/>
  <c r="AJ144" i="1"/>
  <c r="AK135" i="1"/>
  <c r="BU135" i="1"/>
  <c r="BX135" i="1" s="1"/>
  <c r="AK164" i="1"/>
  <c r="BU164" i="1"/>
  <c r="BX164" i="1" s="1"/>
  <c r="AK30" i="1"/>
  <c r="BU30" i="1"/>
  <c r="BX30" i="1" s="1"/>
  <c r="AK32" i="1"/>
  <c r="BU32" i="1"/>
  <c r="BX32" i="1" s="1"/>
  <c r="AK182" i="1"/>
  <c r="BU182" i="1"/>
  <c r="BX182" i="1" s="1"/>
  <c r="BU28" i="1"/>
  <c r="BX28" i="1" s="1"/>
  <c r="AK28" i="1"/>
  <c r="AD8" i="1"/>
  <c r="AH8" i="1"/>
  <c r="AF8" i="1"/>
  <c r="AB8" i="1"/>
  <c r="Z8" i="1"/>
  <c r="AK188" i="1"/>
  <c r="BU188" i="1"/>
  <c r="BX188" i="1" s="1"/>
  <c r="BU176" i="1"/>
  <c r="BX176" i="1" s="1"/>
  <c r="AK176" i="1"/>
  <c r="BU74" i="1"/>
  <c r="BX74" i="1" s="1"/>
  <c r="AK74" i="1"/>
  <c r="AK15" i="1"/>
  <c r="BU15" i="1"/>
  <c r="BX15" i="1" s="1"/>
  <c r="AJ150" i="1"/>
  <c r="AK54" i="1"/>
  <c r="BU54" i="1"/>
  <c r="BX54" i="1" s="1"/>
  <c r="BU157" i="1"/>
  <c r="BX157" i="1" s="1"/>
  <c r="AK157" i="1"/>
  <c r="AJ66" i="1"/>
  <c r="BU179" i="1"/>
  <c r="BX179" i="1" s="1"/>
  <c r="AK179" i="1"/>
  <c r="AJ22" i="1"/>
  <c r="AD237" i="1"/>
  <c r="AH237" i="1"/>
  <c r="Z237" i="1"/>
  <c r="AF237" i="1"/>
  <c r="AB237" i="1"/>
  <c r="BU35" i="1"/>
  <c r="BX35" i="1" s="1"/>
  <c r="AK35" i="1"/>
  <c r="AF102" i="1"/>
  <c r="AB102" i="1"/>
  <c r="AH102" i="1"/>
  <c r="AD102" i="1"/>
  <c r="Z102" i="1"/>
  <c r="AD162" i="1"/>
  <c r="AH162" i="1"/>
  <c r="Z162" i="1"/>
  <c r="AB162" i="1"/>
  <c r="AF162" i="1"/>
  <c r="BU93" i="1"/>
  <c r="BX93" i="1" s="1"/>
  <c r="AK93" i="1"/>
  <c r="BU4" i="1"/>
  <c r="BX4" i="1" s="1"/>
  <c r="AK4" i="1"/>
  <c r="AK97" i="1"/>
  <c r="BU97" i="1"/>
  <c r="BX97" i="1" s="1"/>
  <c r="AK109" i="1"/>
  <c r="BU109" i="1"/>
  <c r="BX109" i="1" s="1"/>
  <c r="AK25" i="1"/>
  <c r="BU25" i="1"/>
  <c r="BX25" i="1" s="1"/>
  <c r="AK181" i="1"/>
  <c r="BU181" i="1"/>
  <c r="BX181" i="1" s="1"/>
  <c r="BU131" i="1"/>
  <c r="BX131" i="1" s="1"/>
  <c r="AK131" i="1"/>
  <c r="BU82" i="1"/>
  <c r="BX82" i="1" s="1"/>
  <c r="AK82" i="1"/>
  <c r="BU160" i="1"/>
  <c r="BX160" i="1" s="1"/>
  <c r="AK160" i="1"/>
  <c r="AK117" i="1"/>
  <c r="BU117" i="1"/>
  <c r="BX117" i="1" s="1"/>
  <c r="AK92" i="1"/>
  <c r="BU92" i="1"/>
  <c r="BX92" i="1" s="1"/>
  <c r="AJ20" i="1"/>
  <c r="BU41" i="1"/>
  <c r="BX41" i="1" s="1"/>
  <c r="AK41" i="1"/>
  <c r="AJ189" i="1"/>
  <c r="AK170" i="1"/>
  <c r="BU170" i="1"/>
  <c r="BX170" i="1" s="1"/>
  <c r="AK174" i="1"/>
  <c r="BU174" i="1"/>
  <c r="BX174" i="1" s="1"/>
  <c r="AK31" i="1"/>
  <c r="BU31" i="1"/>
  <c r="BX31" i="1" s="1"/>
  <c r="BU167" i="1"/>
  <c r="BX167" i="1" s="1"/>
  <c r="AK167" i="1"/>
  <c r="BU50" i="1"/>
  <c r="BX50" i="1" s="1"/>
  <c r="AK50" i="1"/>
  <c r="AJ62" i="1"/>
  <c r="AJ53" i="1"/>
  <c r="AJ154" i="1"/>
  <c r="BU38" i="1"/>
  <c r="BX38" i="1" s="1"/>
  <c r="AK38" i="1"/>
  <c r="BU79" i="1"/>
  <c r="BX79" i="1" s="1"/>
  <c r="AK79" i="1"/>
  <c r="BU18" i="1"/>
  <c r="BX18" i="1" s="1"/>
  <c r="AK18" i="1"/>
  <c r="AK123" i="1"/>
  <c r="BU123" i="1"/>
  <c r="BX123" i="1" s="1"/>
  <c r="BU56" i="1"/>
  <c r="BX56" i="1" s="1"/>
  <c r="AK56" i="1"/>
  <c r="BU7" i="1"/>
  <c r="BX7" i="1" s="1"/>
  <c r="AK7" i="1"/>
  <c r="AJ16" i="1"/>
  <c r="AK71" i="1"/>
  <c r="BU71" i="1"/>
  <c r="BX71" i="1" s="1"/>
  <c r="AJ121" i="1"/>
  <c r="BU126" i="1"/>
  <c r="BX126" i="1" s="1"/>
  <c r="AK126" i="1"/>
  <c r="BU111" i="1"/>
  <c r="BX111" i="1" s="1"/>
  <c r="AK111" i="1"/>
  <c r="AJ73" i="1"/>
  <c r="AK194" i="1"/>
  <c r="BU194" i="1"/>
  <c r="BX194" i="1" s="1"/>
  <c r="AK46" i="1"/>
  <c r="BU46" i="1"/>
  <c r="BX46" i="1" s="1"/>
  <c r="AJ69" i="1"/>
  <c r="BU23" i="1"/>
  <c r="BX23" i="1" s="1"/>
  <c r="AK23" i="1"/>
  <c r="BS243" i="1"/>
  <c r="BT3" i="1"/>
  <c r="BT243" i="1" s="1"/>
  <c r="AJ37" i="1"/>
  <c r="AK57" i="1"/>
  <c r="BU57" i="1"/>
  <c r="BX57" i="1" s="1"/>
  <c r="BU122" i="1"/>
  <c r="BX122" i="1" s="1"/>
  <c r="AK122" i="1"/>
  <c r="BU175" i="1"/>
  <c r="BX175" i="1" s="1"/>
  <c r="AK175" i="1"/>
  <c r="AK136" i="1"/>
  <c r="BU136" i="1"/>
  <c r="BX136" i="1" s="1"/>
  <c r="AJ12" i="1"/>
  <c r="BU100" i="1"/>
  <c r="BX100" i="1" s="1"/>
  <c r="AK100" i="1"/>
  <c r="BU158" i="1"/>
  <c r="BX158" i="1" s="1"/>
  <c r="AK158" i="1"/>
  <c r="AK108" i="1"/>
  <c r="BU108" i="1"/>
  <c r="BX108" i="1" s="1"/>
  <c r="BU186" i="1"/>
  <c r="BX186" i="1" s="1"/>
  <c r="AK186" i="1"/>
  <c r="BU190" i="1"/>
  <c r="BX190" i="1" s="1"/>
  <c r="AK190" i="1"/>
  <c r="AJ113" i="1"/>
  <c r="AD103" i="1"/>
  <c r="AH103" i="1"/>
  <c r="Z103" i="1"/>
  <c r="AF103" i="1"/>
  <c r="AB103" i="1"/>
  <c r="AH52" i="1"/>
  <c r="Z52" i="1"/>
  <c r="AF52" i="1"/>
  <c r="AD52" i="1"/>
  <c r="AB52" i="1"/>
  <c r="BU130" i="1" l="1"/>
  <c r="BX130" i="1" s="1"/>
  <c r="AK96" i="1"/>
  <c r="BU77" i="1"/>
  <c r="BX77" i="1" s="1"/>
  <c r="BU48" i="1"/>
  <c r="BX48" i="1" s="1"/>
  <c r="AK191" i="1"/>
  <c r="AK200" i="1"/>
  <c r="BU21" i="1"/>
  <c r="BX21" i="1" s="1"/>
  <c r="AK64" i="1"/>
  <c r="BU178" i="1"/>
  <c r="BX178" i="1" s="1"/>
  <c r="AK6" i="1"/>
  <c r="BU98" i="1"/>
  <c r="BX98" i="1" s="1"/>
  <c r="BU105" i="1"/>
  <c r="BX105" i="1" s="1"/>
  <c r="BU139" i="1"/>
  <c r="BX139" i="1" s="1"/>
  <c r="AK139" i="1"/>
  <c r="AJ162" i="1"/>
  <c r="BU162" i="1" s="1"/>
  <c r="BX162" i="1" s="1"/>
  <c r="AJ142" i="1"/>
  <c r="BU142" i="1" s="1"/>
  <c r="BX142" i="1" s="1"/>
  <c r="BU16" i="1"/>
  <c r="BX16" i="1" s="1"/>
  <c r="AK16" i="1"/>
  <c r="AK66" i="1"/>
  <c r="BU66" i="1"/>
  <c r="BX66" i="1" s="1"/>
  <c r="BU60" i="1"/>
  <c r="BX60" i="1" s="1"/>
  <c r="AK60" i="1"/>
  <c r="BU185" i="1"/>
  <c r="BX185" i="1" s="1"/>
  <c r="AK185" i="1"/>
  <c r="AK12" i="1"/>
  <c r="BU12" i="1"/>
  <c r="BX12" i="1" s="1"/>
  <c r="BU121" i="1"/>
  <c r="BX121" i="1" s="1"/>
  <c r="AK121" i="1"/>
  <c r="BU154" i="1"/>
  <c r="BX154" i="1" s="1"/>
  <c r="AK154" i="1"/>
  <c r="AK20" i="1"/>
  <c r="BU20" i="1"/>
  <c r="BX20" i="1" s="1"/>
  <c r="AK22" i="1"/>
  <c r="BU22" i="1"/>
  <c r="BX22" i="1" s="1"/>
  <c r="AK150" i="1"/>
  <c r="BU150" i="1"/>
  <c r="BX150" i="1" s="1"/>
  <c r="X243" i="1"/>
  <c r="AH3" i="1"/>
  <c r="AH243" i="1" s="1"/>
  <c r="Z3" i="1"/>
  <c r="AF3" i="1"/>
  <c r="AF243" i="1" s="1"/>
  <c r="AB3" i="1"/>
  <c r="AB243" i="1" s="1"/>
  <c r="AD3" i="1"/>
  <c r="AD243" i="1" s="1"/>
  <c r="BU125" i="1"/>
  <c r="BX125" i="1" s="1"/>
  <c r="AK125" i="1"/>
  <c r="BU172" i="1"/>
  <c r="BX172" i="1" s="1"/>
  <c r="AK172" i="1"/>
  <c r="BU73" i="1"/>
  <c r="BX73" i="1" s="1"/>
  <c r="AK73" i="1"/>
  <c r="AK40" i="1"/>
  <c r="BU40" i="1"/>
  <c r="BX40" i="1" s="1"/>
  <c r="BU113" i="1"/>
  <c r="BX113" i="1" s="1"/>
  <c r="AK113" i="1"/>
  <c r="AK37" i="1"/>
  <c r="BU37" i="1"/>
  <c r="BX37" i="1" s="1"/>
  <c r="BU53" i="1"/>
  <c r="BX53" i="1" s="1"/>
  <c r="AK53" i="1"/>
  <c r="BU189" i="1"/>
  <c r="BX189" i="1" s="1"/>
  <c r="AK189" i="1"/>
  <c r="AJ237" i="1"/>
  <c r="AJ8" i="1"/>
  <c r="BU86" i="1"/>
  <c r="BX86" i="1" s="1"/>
  <c r="AK86" i="1"/>
  <c r="BU128" i="1"/>
  <c r="BX128" i="1" s="1"/>
  <c r="AK128" i="1"/>
  <c r="AJ52" i="1"/>
  <c r="AJ103" i="1"/>
  <c r="AK69" i="1"/>
  <c r="BU69" i="1"/>
  <c r="BX69" i="1" s="1"/>
  <c r="AK62" i="1"/>
  <c r="BU62" i="1"/>
  <c r="BX62" i="1" s="1"/>
  <c r="AJ102" i="1"/>
  <c r="AK144" i="1"/>
  <c r="BU144" i="1"/>
  <c r="BX144" i="1" s="1"/>
  <c r="BU78" i="1"/>
  <c r="BX78" i="1" s="1"/>
  <c r="AK78" i="1"/>
  <c r="AJ58" i="1"/>
  <c r="BU44" i="1"/>
  <c r="BX44" i="1" s="1"/>
  <c r="AK44" i="1"/>
  <c r="AJ129" i="1"/>
  <c r="AK162" i="1" l="1"/>
  <c r="AK142" i="1"/>
  <c r="BU58" i="1"/>
  <c r="BX58" i="1" s="1"/>
  <c r="AK58" i="1"/>
  <c r="AK8" i="1"/>
  <c r="BU8" i="1"/>
  <c r="BX8" i="1" s="1"/>
  <c r="BU129" i="1"/>
  <c r="BX129" i="1" s="1"/>
  <c r="AK129" i="1"/>
  <c r="AK102" i="1"/>
  <c r="BU102" i="1"/>
  <c r="BX102" i="1" s="1"/>
  <c r="AK237" i="1"/>
  <c r="BU237" i="1"/>
  <c r="BX237" i="1" s="1"/>
  <c r="AK103" i="1"/>
  <c r="BU103" i="1"/>
  <c r="BX103" i="1" s="1"/>
  <c r="BU52" i="1"/>
  <c r="BX52" i="1" s="1"/>
  <c r="AK52" i="1"/>
  <c r="Z243" i="1"/>
  <c r="AJ3" i="1"/>
  <c r="AJ243" i="1" l="1"/>
  <c r="BU3" i="1"/>
  <c r="AK3" i="1"/>
  <c r="AK243" i="1" s="1"/>
  <c r="BU243" i="1" l="1"/>
  <c r="BX3" i="1"/>
  <c r="BX24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Rania Mohamed</author>
  </authors>
  <commentList>
    <comment ref="E146" authorId="0" shapeId="0" xr:uid="{97CE944E-658B-46F0-9593-F76C498F562D}">
      <text>
        <r>
          <rPr>
            <b/>
            <sz val="9"/>
            <color indexed="81"/>
            <rFont val="Tahoma"/>
            <family val="2"/>
          </rPr>
          <t>Rania Mohamed:</t>
        </r>
        <r>
          <rPr>
            <sz val="9"/>
            <color indexed="81"/>
            <rFont val="Tahoma"/>
            <family val="2"/>
          </rPr>
          <t xml:space="preserve">
ميد تقسيط - تنمية</t>
        </r>
      </text>
    </comment>
    <comment ref="E160" authorId="0" shapeId="0" xr:uid="{D0B5E372-09F8-41B7-AD4C-A9D6A3703F8F}">
      <text>
        <r>
          <rPr>
            <b/>
            <sz val="9"/>
            <color indexed="81"/>
            <rFont val="Tahoma"/>
            <family val="2"/>
          </rPr>
          <t>Rania Mohamed:</t>
        </r>
        <r>
          <rPr>
            <sz val="9"/>
            <color indexed="81"/>
            <rFont val="Tahoma"/>
            <family val="2"/>
          </rPr>
          <t xml:space="preserve">
وسيلة - كريدى اكتف</t>
        </r>
      </text>
    </comment>
  </commentList>
</comments>
</file>

<file path=xl/sharedStrings.xml><?xml version="1.0" encoding="utf-8"?>
<sst xmlns="http://schemas.openxmlformats.org/spreadsheetml/2006/main" count="1651" uniqueCount="440">
  <si>
    <t>جزاءات</t>
  </si>
  <si>
    <t xml:space="preserve">غياب </t>
  </si>
  <si>
    <t>إجازة بالخصم</t>
  </si>
  <si>
    <t>انصراف مبكر</t>
  </si>
  <si>
    <t xml:space="preserve">تأخير </t>
  </si>
  <si>
    <t>سلف</t>
  </si>
  <si>
    <t>الكود</t>
  </si>
  <si>
    <t>الاسم</t>
  </si>
  <si>
    <t>الفرع</t>
  </si>
  <si>
    <t>القطاع</t>
  </si>
  <si>
    <t>الإدارة</t>
  </si>
  <si>
    <t>الوظيفة</t>
  </si>
  <si>
    <t>تاريخ التعيين</t>
  </si>
  <si>
    <t>تاريخ ترك الخدمة</t>
  </si>
  <si>
    <t>الرقم القومى</t>
  </si>
  <si>
    <t>عدد الأشهر</t>
  </si>
  <si>
    <t xml:space="preserve">الراتب الشهري </t>
  </si>
  <si>
    <t xml:space="preserve">مكافات </t>
  </si>
  <si>
    <t xml:space="preserve">بدلات </t>
  </si>
  <si>
    <t xml:space="preserve">اجمالي الراتب </t>
  </si>
  <si>
    <t xml:space="preserve">المرتب التاميني </t>
  </si>
  <si>
    <t xml:space="preserve">حصه الشركه </t>
  </si>
  <si>
    <t>حصة العامل في التأمينات</t>
  </si>
  <si>
    <t>الإعفاء الشخصي</t>
  </si>
  <si>
    <t>وعاء الفترة</t>
  </si>
  <si>
    <t>الوعاء السنوي</t>
  </si>
  <si>
    <t>الضريبة السنوية</t>
  </si>
  <si>
    <t xml:space="preserve">الضريبة المستحقة للراتب الشهري </t>
  </si>
  <si>
    <t xml:space="preserve">الصافي قبل الخصومات </t>
  </si>
  <si>
    <t xml:space="preserve">قيمة اليوم </t>
  </si>
  <si>
    <t>عدد</t>
  </si>
  <si>
    <t>قيمه جزاءات</t>
  </si>
  <si>
    <t>عدد2</t>
  </si>
  <si>
    <t>قيمه غياب</t>
  </si>
  <si>
    <t>عدد4</t>
  </si>
  <si>
    <t>قيمه إجازة</t>
  </si>
  <si>
    <t>عدد5</t>
  </si>
  <si>
    <t>قيمه إنصراف مبكر</t>
  </si>
  <si>
    <t>عدد6</t>
  </si>
  <si>
    <t>قيمه تأخير</t>
  </si>
  <si>
    <t xml:space="preserve">السلف </t>
  </si>
  <si>
    <t xml:space="preserve">اجمالي الخصومات  الشهريه </t>
  </si>
  <si>
    <t xml:space="preserve">صافي الراتب الشهري </t>
  </si>
  <si>
    <t>حافز</t>
  </si>
  <si>
    <t>اوفر تايم</t>
  </si>
  <si>
    <t>تسويات</t>
  </si>
  <si>
    <t>كونتست</t>
  </si>
  <si>
    <t>عمولات رايا</t>
  </si>
  <si>
    <t>عمولات شركه حالا</t>
  </si>
  <si>
    <t>عمولات سفن</t>
  </si>
  <si>
    <t>عمولات الاسكندريه</t>
  </si>
  <si>
    <t>عمولات كريدي</t>
  </si>
  <si>
    <t xml:space="preserve">عمولات ماني </t>
  </si>
  <si>
    <t>عمولات رايه قانوني</t>
  </si>
  <si>
    <t>عمولات فاليو قانونى</t>
  </si>
  <si>
    <t xml:space="preserve">بلتون قانونى </t>
  </si>
  <si>
    <t>عمولات تنمية قانونى</t>
  </si>
  <si>
    <t>وسيلة  9</t>
  </si>
  <si>
    <t>تنمية</t>
  </si>
  <si>
    <t>عمولات ميد قانوني</t>
  </si>
  <si>
    <t>ميد بنك</t>
  </si>
  <si>
    <t>ارادة</t>
  </si>
  <si>
    <t xml:space="preserve">اجمالي العمولات </t>
  </si>
  <si>
    <t xml:space="preserve">اجمالي الراتب + العمولات </t>
  </si>
  <si>
    <t>اجمالي الضرائب</t>
  </si>
  <si>
    <t xml:space="preserve">ضريبه العمولات </t>
  </si>
  <si>
    <t>المستحق</t>
  </si>
  <si>
    <t>إيقاف 50% من الراتب</t>
  </si>
  <si>
    <t>المستحق بعد الإيقاف</t>
  </si>
  <si>
    <t>القبض</t>
  </si>
  <si>
    <t>سحر اوسامة احمد محمد</t>
  </si>
  <si>
    <t>20أ القاهرة</t>
  </si>
  <si>
    <t>التحصيل</t>
  </si>
  <si>
    <t>شركة مانى فيللوز</t>
  </si>
  <si>
    <t>مشرف تحصيل</t>
  </si>
  <si>
    <t>فيزا</t>
  </si>
  <si>
    <t>عبد العزيز صلاح عبد العزيز على حسن</t>
  </si>
  <si>
    <t>الادارى</t>
  </si>
  <si>
    <t>الشئون القانونية</t>
  </si>
  <si>
    <t>مشرف قضائى</t>
  </si>
  <si>
    <t>محمود النادى أبو الحسن احمد</t>
  </si>
  <si>
    <t>25ج القاهرة</t>
  </si>
  <si>
    <t>متعدد</t>
  </si>
  <si>
    <t>كبير مشرفى تحصيل</t>
  </si>
  <si>
    <t>رحمة مصطفى خلف الله حسانين</t>
  </si>
  <si>
    <t>منسقى البيانات</t>
  </si>
  <si>
    <t>رئيس فريق عمل</t>
  </si>
  <si>
    <t>محمد مجدى ربيع عبد الغنى جاد</t>
  </si>
  <si>
    <t>بنك الإسكندرية</t>
  </si>
  <si>
    <t>نائب كبير مشرفى تحصيل</t>
  </si>
  <si>
    <t>رحاب عبد الهادى احمد بدوى</t>
  </si>
  <si>
    <t>شركة وسيلة</t>
  </si>
  <si>
    <t>مروة مصطفى على جاد</t>
  </si>
  <si>
    <t>شركة راية</t>
  </si>
  <si>
    <t>محمد مجدى السيد عبد الدايم</t>
  </si>
  <si>
    <t>تريز سامى رزق شحاته</t>
  </si>
  <si>
    <t>الموارد البشرية</t>
  </si>
  <si>
    <t>مدير موارد بشرية</t>
  </si>
  <si>
    <t>ندى محمد سعد محمد</t>
  </si>
  <si>
    <t>شركة حالا</t>
  </si>
  <si>
    <t>حبيبه احمد سلطان منصور عويس</t>
  </si>
  <si>
    <t>ندى محمد محمود عبد المقصود</t>
  </si>
  <si>
    <t>وكيل تحصيل هاتفى</t>
  </si>
  <si>
    <t>مصطفى جميل عبد الفتاح محمد شاهين</t>
  </si>
  <si>
    <t>شركة سفن</t>
  </si>
  <si>
    <t>نانسى يوسف عزيز يوسف</t>
  </si>
  <si>
    <t>المنصورة</t>
  </si>
  <si>
    <t>نائب مدير الإدارة القانونية</t>
  </si>
  <si>
    <t>امانى طارق إبراهيم عبد الحميد</t>
  </si>
  <si>
    <t>نادين عماد منصور محمد</t>
  </si>
  <si>
    <t>شركة تنمية</t>
  </si>
  <si>
    <t>بهاء محمد السيد صالح أبو حسين</t>
  </si>
  <si>
    <t>هدى حسن السيد على الضوى</t>
  </si>
  <si>
    <t>مشرف منسقى بيانات</t>
  </si>
  <si>
    <t xml:space="preserve">احمد عبد الباسط عبد السلام محمد </t>
  </si>
  <si>
    <t>المالية</t>
  </si>
  <si>
    <t>مدير حسابات</t>
  </si>
  <si>
    <t>عمرو على سليم محمد السيد</t>
  </si>
  <si>
    <t>أسماء إبراهيم السيد عبد الله</t>
  </si>
  <si>
    <t xml:space="preserve">احمد مجدى بكر على </t>
  </si>
  <si>
    <t>روان عادل محمد عبد الكريم</t>
  </si>
  <si>
    <t>هبة خلف محمد احمد</t>
  </si>
  <si>
    <t xml:space="preserve">اشرف محمد محروس محمود </t>
  </si>
  <si>
    <t xml:space="preserve">يوسف كامل  عبد الله صبحى غنيم </t>
  </si>
  <si>
    <t>بنك كريدى اجريكول</t>
  </si>
  <si>
    <t xml:space="preserve">منار  سيد عثمان احمد </t>
  </si>
  <si>
    <t xml:space="preserve">يارا رمضان يوسف عبده </t>
  </si>
  <si>
    <t xml:space="preserve">هاجر شريف محمد عبد الرؤف </t>
  </si>
  <si>
    <t xml:space="preserve">ملك رمضان يوسف عبده </t>
  </si>
  <si>
    <t>هشام فتح الله عبدربه فرج</t>
  </si>
  <si>
    <t>زياد كرم عبد الفضيل عبد المجيد</t>
  </si>
  <si>
    <t>صبرى عبد الهادى عبد الهادى</t>
  </si>
  <si>
    <t>الخدمات المعاونة</t>
  </si>
  <si>
    <t>خدمات معاونة</t>
  </si>
  <si>
    <t>باسم ناجى سعد ابرهيم خلف</t>
  </si>
  <si>
    <t xml:space="preserve">محاسب </t>
  </si>
  <si>
    <t xml:space="preserve">مى سيد إبراهيم حنفي عقل </t>
  </si>
  <si>
    <t>شوقية محمد عثمان احمد</t>
  </si>
  <si>
    <t xml:space="preserve">إسماعيل سلامه إسماعيل بركات </t>
  </si>
  <si>
    <t>وكيل تحصيل</t>
  </si>
  <si>
    <t>زياد احمد سيد محمد</t>
  </si>
  <si>
    <t>اميرة شعراوى ابراهيم  حامد على</t>
  </si>
  <si>
    <t>نرمين شعراوى إبراهيم حامد على</t>
  </si>
  <si>
    <t>كرستينا مجدى محروس فؤاد</t>
  </si>
  <si>
    <t>عبد الحميد نبوى فهيم محمد</t>
  </si>
  <si>
    <t>ادهم رؤوف كمال كامل سعيد</t>
  </si>
  <si>
    <t>مصطفى احمد عبد الهادى محمود</t>
  </si>
  <si>
    <t>محمد احمد ناجز سعيد</t>
  </si>
  <si>
    <t>هدير رمضان مصطفي عبد العال</t>
  </si>
  <si>
    <t>شركة إرادة</t>
  </si>
  <si>
    <t>أسماء عباس عثمان عباس</t>
  </si>
  <si>
    <t>فاطمة محمود سلامة إبراهيم</t>
  </si>
  <si>
    <t>رحمه عاطف احمد علي</t>
  </si>
  <si>
    <t>احمد إبراهيم مبروك سعيد</t>
  </si>
  <si>
    <t>حبيبه بدر  حنفي محمود</t>
  </si>
  <si>
    <t>مسئول موارد بشرية</t>
  </si>
  <si>
    <t>ايمان رمضان السعيد مصطفي</t>
  </si>
  <si>
    <t>اسامه محمد احمد عبد الحميد</t>
  </si>
  <si>
    <t>مدير شئون قانونية</t>
  </si>
  <si>
    <t>محمود محمد محمود محمد</t>
  </si>
  <si>
    <t>محامى</t>
  </si>
  <si>
    <t>هايدي هشام السيد امام</t>
  </si>
  <si>
    <t>اسلام احمد محمود علي</t>
  </si>
  <si>
    <t>بلال فريد شوقي احمد</t>
  </si>
  <si>
    <t>كريم اشرف فاروق احمد</t>
  </si>
  <si>
    <t>شريهان كمال شفيق حسب الله</t>
  </si>
  <si>
    <t>حسين احمد حسين محمود مرسى</t>
  </si>
  <si>
    <t>محمد عبدالمنعم عبدالحليم إبراهيم</t>
  </si>
  <si>
    <t>عفاف إبراهيم محمد عبد المجيد</t>
  </si>
  <si>
    <t xml:space="preserve">عبير سليمان خلف سليمان </t>
  </si>
  <si>
    <t>محمد محمود حسين محمود</t>
  </si>
  <si>
    <t>ياسمين سيد عبدالله إبراهيم حسن نصار</t>
  </si>
  <si>
    <t>شيماء السيد السيد شلبى شهده</t>
  </si>
  <si>
    <t>احمد منصور سليم منصور سليم</t>
  </si>
  <si>
    <t>محمد الظافر محمد رفعت احمد إبراهيم</t>
  </si>
  <si>
    <t>03/10/2025</t>
  </si>
  <si>
    <t>صفيناز عبدالقادر علام عبدالقادر</t>
  </si>
  <si>
    <t>نيره عادل محمد حسين حجازى</t>
  </si>
  <si>
    <t xml:space="preserve">ايه محمد الفلاح عبدالقادر </t>
  </si>
  <si>
    <t>رقيه إبراهيم كمال محرم</t>
  </si>
  <si>
    <t xml:space="preserve">منسق بيانات </t>
  </si>
  <si>
    <t xml:space="preserve">مصطفى محمد عبدالرازق احمد </t>
  </si>
  <si>
    <t>القاهرة</t>
  </si>
  <si>
    <t>عقود انتاج</t>
  </si>
  <si>
    <t>سلمى عادل محمد احمد</t>
  </si>
  <si>
    <t>عزيزه عبدالكريم حسين غنيم</t>
  </si>
  <si>
    <t>شيماء حسين احمد حسن جابر</t>
  </si>
  <si>
    <t>ياسمين محمد جميل محمود</t>
  </si>
  <si>
    <t>اسراء حسام الدين حمدى احمد</t>
  </si>
  <si>
    <t>امنيه وليد احمد توفيق</t>
  </si>
  <si>
    <t>شركة ميد تقسيط</t>
  </si>
  <si>
    <t>الاء محمد عبدالنبى عبداللطيف</t>
  </si>
  <si>
    <t>رشا إبراهيم حافظ محمود نيل</t>
  </si>
  <si>
    <t>السيد محمد السيد بدوى حلابه</t>
  </si>
  <si>
    <t xml:space="preserve">محمد احمد محمد احمد </t>
  </si>
  <si>
    <t>مسئول ادارى</t>
  </si>
  <si>
    <t xml:space="preserve">احمد عبدالرحمن محمد درويش </t>
  </si>
  <si>
    <t>حنان عادل محمد كمال الدين</t>
  </si>
  <si>
    <t xml:space="preserve">احمد محمد حسنى فرج </t>
  </si>
  <si>
    <t>ناديه اشرف محمد إبراهيم</t>
  </si>
  <si>
    <t>بسنت نصر سالم محمد سالم</t>
  </si>
  <si>
    <t>فاتن عبده مصطفى احمد المنشاوى</t>
  </si>
  <si>
    <t>احمد السيد على عبدالقادر حسانين</t>
  </si>
  <si>
    <t>عبد الله كامل عبد الله صبحى غنيم</t>
  </si>
  <si>
    <t>سامح السعيد عارف إبراهيم ياسين</t>
  </si>
  <si>
    <t>مى إبراهيم عبدالشافى السعداوى</t>
  </si>
  <si>
    <t>سلمى محمد محمد السيد</t>
  </si>
  <si>
    <t>اسراء خالد عبدالرؤوف مشرف</t>
  </si>
  <si>
    <t>سلمى خالد عبدالرؤوف مشرف</t>
  </si>
  <si>
    <t xml:space="preserve">سهام سعد متولى الدمرداش الشابورى </t>
  </si>
  <si>
    <t>محمد راضى رمضان محمد</t>
  </si>
  <si>
    <t>احمد عبدالعزيز إبراهيم عبدالعزيز</t>
  </si>
  <si>
    <t xml:space="preserve">محمود فوزى بخيت على سليمان </t>
  </si>
  <si>
    <t>هناء السيد السيد رضوان</t>
  </si>
  <si>
    <t>عصام محمد حسين يوسف الهنداوى</t>
  </si>
  <si>
    <t>ايمان المرشدى حسنين منتصر</t>
  </si>
  <si>
    <t>محمد ربيع محمد إسماعيل</t>
  </si>
  <si>
    <t>أسماء احمد سلطان منصور عويس</t>
  </si>
  <si>
    <t>سماء محمد المتولى عبده المتولى ملح</t>
  </si>
  <si>
    <t>الاء محمد المتولى عبده المتولى ملح</t>
  </si>
  <si>
    <t xml:space="preserve">احمد مختار عاشور على رمضان </t>
  </si>
  <si>
    <t>كريم خالد محمد محمود</t>
  </si>
  <si>
    <t>منه رضا فتحى سيد</t>
  </si>
  <si>
    <t>منى محمد عبدالحميد على حسن</t>
  </si>
  <si>
    <t>همسه جمال عجمى احمد</t>
  </si>
  <si>
    <t>عمر عبدالرحيم إبراهيم عبدالرحيم</t>
  </si>
  <si>
    <t>الصعيد</t>
  </si>
  <si>
    <t>فاطمه فرج سعد محمد طنطاوى</t>
  </si>
  <si>
    <t>نانسى مصطفى كامل حسن ابوعياش</t>
  </si>
  <si>
    <t>احمد سيد عبدالمنعم سيد</t>
  </si>
  <si>
    <t>فاطمة خالد عبدالمرضى شهاب الدين</t>
  </si>
  <si>
    <t>مى ناجى حسن أنور على</t>
  </si>
  <si>
    <t>صفية محمد فوزى عبدالفتاح</t>
  </si>
  <si>
    <t>ناريمان محمد فريد عبد المقصود</t>
  </si>
  <si>
    <t xml:space="preserve">شهد احمد عبدالله محمد </t>
  </si>
  <si>
    <t xml:space="preserve">عبدالله محمد عزت عبدالقوي </t>
  </si>
  <si>
    <t>مدير إدارة العهد</t>
  </si>
  <si>
    <t>زينب محمود محمد محمود صالح</t>
  </si>
  <si>
    <t xml:space="preserve">عبدالرحمن محمود فراج </t>
  </si>
  <si>
    <t xml:space="preserve">خالد زكي السيد زكي </t>
  </si>
  <si>
    <t xml:space="preserve">محمود إبراهيم إبراهيم </t>
  </si>
  <si>
    <t xml:space="preserve">نورهان عباس المنسي </t>
  </si>
  <si>
    <t xml:space="preserve">محمد عبدالعزيز خالد </t>
  </si>
  <si>
    <t xml:space="preserve"> هاجر عبدالنبي علي </t>
  </si>
  <si>
    <t>احمد توفيق عبد الهادى</t>
  </si>
  <si>
    <t xml:space="preserve">ياسمين محمد رشاد الشحات </t>
  </si>
  <si>
    <t xml:space="preserve">أسماء عطا الله محمد علي </t>
  </si>
  <si>
    <t xml:space="preserve">شيروت محمود محمد </t>
  </si>
  <si>
    <t xml:space="preserve">ادهم خالد محمد عبدالحميد عبدالرحمن </t>
  </si>
  <si>
    <t>12/10/2025</t>
  </si>
  <si>
    <t>محمد حسن تقى دشناوى</t>
  </si>
  <si>
    <t xml:space="preserve">وليد محمد عبدالرووف محمد </t>
  </si>
  <si>
    <t xml:space="preserve">حاتم احمد احمد سعد </t>
  </si>
  <si>
    <t>الإسكندرية</t>
  </si>
  <si>
    <t>شهد احمد حسنى فرج</t>
  </si>
  <si>
    <t xml:space="preserve">جمال محمد محمد أبو النصر </t>
  </si>
  <si>
    <t xml:space="preserve">سحر سيد إبراهيم </t>
  </si>
  <si>
    <t xml:space="preserve">الهام حسن عبد المولي </t>
  </si>
  <si>
    <t>محمد اشرف محمد عبد العال</t>
  </si>
  <si>
    <t>01/10/2025</t>
  </si>
  <si>
    <t>أسماء طه عبد العزيز عبد النبى عثمان</t>
  </si>
  <si>
    <t>هاله محمد موسى محمد فودة</t>
  </si>
  <si>
    <t>احمد شريف عبد المحسن عبد الهادى عمران</t>
  </si>
  <si>
    <t>احمد محمد مصطفى عبد الغفار</t>
  </si>
  <si>
    <t xml:space="preserve">محمد عبد القادر مصطفي عبدالهادي </t>
  </si>
  <si>
    <t xml:space="preserve">محمد علي حسن محمد </t>
  </si>
  <si>
    <t xml:space="preserve">بسنت شريف عبدالعزيز </t>
  </si>
  <si>
    <t xml:space="preserve">سارة يوسف  السيد علي </t>
  </si>
  <si>
    <t xml:space="preserve">طارق رضا إبراهيم احمد </t>
  </si>
  <si>
    <t/>
  </si>
  <si>
    <t xml:space="preserve">ايه عبد الناصر عبدالعظيم متولي </t>
  </si>
  <si>
    <t xml:space="preserve">عبدالله هاني عبد المنعم عيد </t>
  </si>
  <si>
    <t xml:space="preserve">ميام احمد مصطفي درويش </t>
  </si>
  <si>
    <t xml:space="preserve">حسام ناصر حسين ناصر </t>
  </si>
  <si>
    <t xml:space="preserve">احمد خالد زغلول إبراهيم </t>
  </si>
  <si>
    <t xml:space="preserve">عبدالرحمن إسماعيل محمد </t>
  </si>
  <si>
    <t>صفيه وائل محمد حسن سليمان</t>
  </si>
  <si>
    <t>روان محمود محمد إبراهيم يوسف</t>
  </si>
  <si>
    <t xml:space="preserve">جانا محمد محيى الطنطاوى محمد سعفان </t>
  </si>
  <si>
    <t>محمود مصطفى محمود احمد حسن</t>
  </si>
  <si>
    <t xml:space="preserve">روان عثمان محمد </t>
  </si>
  <si>
    <t xml:space="preserve">سلمي يونس محمد </t>
  </si>
  <si>
    <t>ابرام نزيه يوسف منصور</t>
  </si>
  <si>
    <t xml:space="preserve">روماني لطفي أبو الغيط إبراهيم </t>
  </si>
  <si>
    <t xml:space="preserve">محمد احمد العراقي </t>
  </si>
  <si>
    <t xml:space="preserve">فرح محمود محمد علي </t>
  </si>
  <si>
    <t xml:space="preserve">مريم جابر إسماعيل </t>
  </si>
  <si>
    <t xml:space="preserve">احمد سعيد محمود صابر </t>
  </si>
  <si>
    <t xml:space="preserve">بسمه محمد محمد عبدالمنعم </t>
  </si>
  <si>
    <t xml:space="preserve">عبد الرحمن احمد ربيع عبدالله </t>
  </si>
  <si>
    <t xml:space="preserve">تسنيم يونس محمد يونس </t>
  </si>
  <si>
    <t xml:space="preserve">احمد إبراهيم عبدالله حموده </t>
  </si>
  <si>
    <t>محمد احمد النبوي</t>
  </si>
  <si>
    <t>مني هنداوي جاد الكريم</t>
  </si>
  <si>
    <t xml:space="preserve">محمد اسامة لطفى الشوربجي احمد </t>
  </si>
  <si>
    <t>محمد رضا السيد</t>
  </si>
  <si>
    <t xml:space="preserve">فاطمه سيد محمد البعرور </t>
  </si>
  <si>
    <t xml:space="preserve">سلمي إبراهيم شعبان محمد </t>
  </si>
  <si>
    <t>محمد خالد احمد</t>
  </si>
  <si>
    <t>هشام كمال عبدالرازق</t>
  </si>
  <si>
    <t>مدين السيد علوانى</t>
  </si>
  <si>
    <t>محمد محمد محمود الديب</t>
  </si>
  <si>
    <t xml:space="preserve">منار عصام إبراهيم الدسوقي </t>
  </si>
  <si>
    <t xml:space="preserve">بسمه إبراهيم عبد العظيم علي </t>
  </si>
  <si>
    <t xml:space="preserve">امل باهي عبد القادر </t>
  </si>
  <si>
    <t xml:space="preserve">هدي حسن حسن </t>
  </si>
  <si>
    <t xml:space="preserve">بسنت محمد فتحي </t>
  </si>
  <si>
    <t>هاجر زكريا بكري السايح</t>
  </si>
  <si>
    <t xml:space="preserve">احمد محمد احمد عثمان </t>
  </si>
  <si>
    <t xml:space="preserve">نورسين  عبد الغفار علي عطيه </t>
  </si>
  <si>
    <t xml:space="preserve">عبد السلام ممدوح علي علي الدبيس </t>
  </si>
  <si>
    <t>احمد محمد مقيبل محمد</t>
  </si>
  <si>
    <t>الادارة</t>
  </si>
  <si>
    <t>المدير المسئول</t>
  </si>
  <si>
    <t>امل صبرى</t>
  </si>
  <si>
    <t>ميد تقسيط - ماني فيللوز</t>
  </si>
  <si>
    <t>منار محمد احمد (انتاج )</t>
  </si>
  <si>
    <t>زينب عبد الكريم (انتاج)</t>
  </si>
  <si>
    <t xml:space="preserve">داليا محمود </t>
  </si>
  <si>
    <t xml:space="preserve">محمد بكري طه عسقلاني </t>
  </si>
  <si>
    <t>امنيه محمد إبراهيم احمد</t>
  </si>
  <si>
    <t>مصرف أبو ظبى الاسلامى</t>
  </si>
  <si>
    <t xml:space="preserve">رقيه محمد عبدالغفار حافظ </t>
  </si>
  <si>
    <t xml:space="preserve">شهاب الدين مدحت عزت محمد قنديل  </t>
  </si>
  <si>
    <t xml:space="preserve">محمد حسن محمود  حسن </t>
  </si>
  <si>
    <t xml:space="preserve">رانيا أنور احمد  فرج  </t>
  </si>
  <si>
    <t xml:space="preserve">يوسف تامر محمد  احمد </t>
  </si>
  <si>
    <t xml:space="preserve">هبه عبدالبديع محمود الصاوي </t>
  </si>
  <si>
    <t xml:space="preserve">عبدالله عيدالسيد ربيع </t>
  </si>
  <si>
    <t xml:space="preserve">محمد اشرف مصطفى أبو زيد </t>
  </si>
  <si>
    <t>روان  مجدي محمد</t>
  </si>
  <si>
    <t xml:space="preserve">مي عاطف منسي حسن </t>
  </si>
  <si>
    <t>احمد سمير محمد</t>
  </si>
  <si>
    <t xml:space="preserve">كيرلس نبيل نظير حنا </t>
  </si>
  <si>
    <t xml:space="preserve">نهي اسامه </t>
  </si>
  <si>
    <t>فهد محمود عمر احمد</t>
  </si>
  <si>
    <t xml:space="preserve">ياسمين عبد الغني فتحي عبد الغني </t>
  </si>
  <si>
    <t xml:space="preserve">محمود محمد حسني محمد </t>
  </si>
  <si>
    <t>محمد عبدالقادر جاب الله</t>
  </si>
  <si>
    <t>محمود احمد محمود محمد</t>
  </si>
  <si>
    <t xml:space="preserve">كمال سيد كمال سيد </t>
  </si>
  <si>
    <t>نجلاء فتحي  عبدالحليم</t>
  </si>
  <si>
    <t>داليا محمد الوهيدي</t>
  </si>
  <si>
    <t xml:space="preserve">كريم يحي امين احمد </t>
  </si>
  <si>
    <t xml:space="preserve">شروق عنتر سعد صديق </t>
  </si>
  <si>
    <t>عمر مختار سعيد محمد عمار</t>
  </si>
  <si>
    <t>عقد انتاج</t>
  </si>
  <si>
    <t>محمد ياسر محمد كامل</t>
  </si>
  <si>
    <t>مكافاة ترشيح عدد 3 موظفين</t>
  </si>
  <si>
    <t xml:space="preserve">مكافاة ترشيح </t>
  </si>
  <si>
    <t>خصم قيمة باقة التليفون</t>
  </si>
  <si>
    <t>خصم قيمة الجلسات التى تم الغائها</t>
  </si>
  <si>
    <t>صرف عدد 8 ايام من يوم 23/11 الى 30/11</t>
  </si>
  <si>
    <t>عدد 2 يوم بدل حضور يوم الجمعه</t>
  </si>
  <si>
    <t xml:space="preserve">الرصيد </t>
  </si>
  <si>
    <t xml:space="preserve">سلفه </t>
  </si>
  <si>
    <t xml:space="preserve">التاريخ </t>
  </si>
  <si>
    <t xml:space="preserve">الشهر </t>
  </si>
  <si>
    <t>اسم الموظف</t>
  </si>
  <si>
    <t xml:space="preserve">القسم </t>
  </si>
  <si>
    <t xml:space="preserve">الفرع </t>
  </si>
  <si>
    <t>سلفه / سداد</t>
  </si>
  <si>
    <t xml:space="preserve">السلفه </t>
  </si>
  <si>
    <t>طريق السداد</t>
  </si>
  <si>
    <t>Column1</t>
  </si>
  <si>
    <t>مبلغ معلق</t>
  </si>
  <si>
    <t>عبد الرحمن خالد عبد الفتاح محمد الرياش</t>
  </si>
  <si>
    <t>احمد عاطف محمد محمود</t>
  </si>
  <si>
    <t xml:space="preserve">إيصال امانة تخصم على 3 شهور </t>
  </si>
  <si>
    <t>كريم مجدى ربيع</t>
  </si>
  <si>
    <t>إيصال امانة 500 كل شهر</t>
  </si>
  <si>
    <t>إيصال امانة تخصم 500 كل شهر</t>
  </si>
  <si>
    <t>(blank)</t>
  </si>
  <si>
    <t>#N/A</t>
  </si>
  <si>
    <t>احمد سيد عبد المنعم</t>
  </si>
  <si>
    <t>إيصال امانة</t>
  </si>
  <si>
    <t>مرحل</t>
  </si>
  <si>
    <t>عادل الادهم امين احمد</t>
  </si>
  <si>
    <t>500 كل شهر</t>
  </si>
  <si>
    <t>إيصال امانة (تخصم على 3 شهور )</t>
  </si>
  <si>
    <t>محمود فوزى بخيت</t>
  </si>
  <si>
    <t>يوسف تامر محمد</t>
  </si>
  <si>
    <t>علاج ابنه</t>
  </si>
  <si>
    <t>Grand Total</t>
  </si>
  <si>
    <t>راتب شهر 10</t>
  </si>
  <si>
    <t>ايصال امانة يخصم علي مرتين</t>
  </si>
  <si>
    <t>علي مرة من المرتب</t>
  </si>
  <si>
    <t>تخصم من شهر نوفمبر</t>
  </si>
  <si>
    <t xml:space="preserve">إيصال امانة 2500 و 500 سلفة </t>
  </si>
  <si>
    <t>عن ايصالات موجودة فالخزينة</t>
  </si>
  <si>
    <t>تخصم من اقرب مرتب او المكافاة</t>
  </si>
  <si>
    <t>علي مرتين من المرتب</t>
  </si>
  <si>
    <t>تخصم من شهر ديسمبر</t>
  </si>
  <si>
    <t>Column2</t>
  </si>
  <si>
    <t>Row Labels</t>
  </si>
  <si>
    <t>احمد خالد زغلول إبراهيم</t>
  </si>
  <si>
    <t>احمد سعيد محمود</t>
  </si>
  <si>
    <t>احمد محمد حسنى</t>
  </si>
  <si>
    <t>الهام حسن عبدالمولي</t>
  </si>
  <si>
    <t>شهد احمد عبد الله</t>
  </si>
  <si>
    <t xml:space="preserve">شيروت محمود محمد توفيق </t>
  </si>
  <si>
    <t>عبد الله محمد عزت</t>
  </si>
  <si>
    <t>محمد احمد محمد</t>
  </si>
  <si>
    <t>محمود مصطفى محمود</t>
  </si>
  <si>
    <t>هاجر عبدالنبي علي</t>
  </si>
  <si>
    <t>هاله محمد موسى</t>
  </si>
  <si>
    <t xml:space="preserve">Sum of السلفه </t>
  </si>
  <si>
    <t>إيقاف</t>
  </si>
  <si>
    <t>خصم عدد 2 يوم</t>
  </si>
  <si>
    <t>مكافاة عن طبيعة عمل البحث عن مقر للشركة مستخدما الاسكوتر الخاص</t>
  </si>
  <si>
    <t>عدد 2 يوم بدل حضور يوم الجمعه + مكافأة تحرير إنذارات شركة وسيلة</t>
  </si>
  <si>
    <t>مكافاة ترشيح + مكافأة تحرير إنذارات شركة وسيلة</t>
  </si>
  <si>
    <t xml:space="preserve">ملاحظات </t>
  </si>
  <si>
    <t xml:space="preserve"> السلفه </t>
  </si>
  <si>
    <t>سداد</t>
  </si>
  <si>
    <t xml:space="preserve">الايصال </t>
  </si>
  <si>
    <t>صبري عبد الهادي عبد الهادي</t>
  </si>
  <si>
    <t>باسم ناجي سعد</t>
  </si>
  <si>
    <t xml:space="preserve">فاطمة محمود سلامه </t>
  </si>
  <si>
    <t xml:space="preserve">كريم اشرف فاروق </t>
  </si>
  <si>
    <t xml:space="preserve">السيد محمد السيد بدوي </t>
  </si>
  <si>
    <t xml:space="preserve">نيرة عادل محمد حسين </t>
  </si>
  <si>
    <t xml:space="preserve">إيصال امانه </t>
  </si>
  <si>
    <t xml:space="preserve">محمد حسن محمود حسن </t>
  </si>
  <si>
    <t>مي سيد إبراهيم</t>
  </si>
  <si>
    <t xml:space="preserve">هبه عبدالبديع </t>
  </si>
  <si>
    <t>مكافاة تشجيعية Cae Loans  تعليمات ا/وليد</t>
  </si>
  <si>
    <t>مكافاة تشجيعية Cae W.Off  تعليمات ا/وليد</t>
  </si>
  <si>
    <t>مكافاة تشجيعية Cae C.C  تعليمات ا/وليد</t>
  </si>
  <si>
    <t>مكافاة تشجيعية Cae Loans + C.C  تعليمات ا/وليد</t>
  </si>
  <si>
    <t>مكافاة اشراف</t>
  </si>
  <si>
    <t>مكافاة تشجيعية من الإدارة</t>
  </si>
  <si>
    <t>مكافاة تشجيعية بناء على تعليمات ا/باسم &amp; بدل غلاء المعيشة</t>
  </si>
  <si>
    <t>تسوية فرق 5000 عمولة ثابته</t>
  </si>
  <si>
    <t>عمولات وسيلة قانونى</t>
  </si>
  <si>
    <t>وسيلة  10</t>
  </si>
  <si>
    <t>عمولة سهولة قانوني</t>
  </si>
  <si>
    <t xml:space="preserve">كريمه هانى </t>
  </si>
  <si>
    <t>أسماء محمود</t>
  </si>
  <si>
    <t>رد فرق عمولات بنك اسكندرية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</si>
</sst>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.00\ _ج_._م_._‏_-;\-* #,##0.00\ _ج_._م_._‏_-;_-* &quot;-&quot;??\ _ج_._م_._‏_-;_-@_-"/>
    <numFmt numFmtId="166" formatCode="_-* #,##0\ _ج_._م_._‏_-;\-* #,##0\ _ج_._م_._‏_-;_-* &quot;-&quot;??\ _ج_._م_._‏_-;_-@_-"/>
    <numFmt numFmtId="167" formatCode="[$-409]d\-mmm;@"/>
    <numFmt numFmtId="168" formatCode="yyyy\-mm\-dd;@"/>
  </numFmts>
  <fonts count="2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4"/>
      <color theme="1"/>
      <name val="Times New Roman"/>
      <family val="1"/>
    </font>
    <font>
      <b/>
      <sz val="16"/>
      <color theme="0"/>
      <name val="Times New Roman"/>
      <family val="1"/>
    </font>
    <font>
      <b/>
      <sz val="18"/>
      <color theme="0"/>
      <name val="Times New Roman"/>
      <family val="1"/>
    </font>
    <font>
      <b/>
      <sz val="16"/>
      <color theme="0"/>
      <name val="Calibri"/>
      <family val="2"/>
      <scheme val="minor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name val="Times New Roman"/>
      <family val="1"/>
    </font>
    <font>
      <b/>
      <sz val="14"/>
      <color rgb="FFFF000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92D050"/>
        <bgColor theme="0" tint="-0.14999847407452621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6">
    <xf numFmtId="0" fontId="0" fillId="0" borderId="0"/>
    <xf numFmtId="165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41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5" fontId="4" fillId="0" borderId="0" xfId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4" fillId="3" borderId="0" xfId="1" applyFont="1" applyFill="1" applyAlignment="1">
      <alignment horizontal="center" vertical="center"/>
    </xf>
    <xf numFmtId="165" fontId="4" fillId="0" borderId="0" xfId="1" applyFont="1" applyAlignment="1">
      <alignment horizontal="center" vertical="center" wrapText="1"/>
    </xf>
    <xf numFmtId="49" fontId="6" fillId="4" borderId="2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right" vertical="center" wrapText="1"/>
    </xf>
    <xf numFmtId="0" fontId="6" fillId="4" borderId="3" xfId="0" applyFont="1" applyFill="1" applyBorder="1" applyAlignment="1">
      <alignment horizontal="center" vertical="center" wrapText="1"/>
    </xf>
    <xf numFmtId="167" fontId="6" fillId="4" borderId="3" xfId="0" applyNumberFormat="1" applyFont="1" applyFill="1" applyBorder="1" applyAlignment="1">
      <alignment horizontal="center" vertical="center" wrapText="1"/>
    </xf>
    <xf numFmtId="166" fontId="6" fillId="4" borderId="3" xfId="1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165" fontId="7" fillId="5" borderId="3" xfId="1" applyFont="1" applyFill="1" applyBorder="1" applyAlignment="1">
      <alignment horizontal="center" vertical="center" wrapText="1"/>
    </xf>
    <xf numFmtId="166" fontId="6" fillId="4" borderId="4" xfId="1" applyNumberFormat="1" applyFont="1" applyFill="1" applyBorder="1" applyAlignment="1">
      <alignment horizontal="center" vertical="center" wrapText="1"/>
    </xf>
    <xf numFmtId="166" fontId="8" fillId="6" borderId="5" xfId="1" applyNumberFormat="1" applyFont="1" applyFill="1" applyBorder="1" applyAlignment="1">
      <alignment horizontal="center" vertical="center" wrapText="1"/>
    </xf>
    <xf numFmtId="166" fontId="8" fillId="7" borderId="5" xfId="1" applyNumberFormat="1" applyFont="1" applyFill="1" applyBorder="1" applyAlignment="1">
      <alignment horizontal="center" vertical="center" wrapText="1"/>
    </xf>
    <xf numFmtId="166" fontId="8" fillId="4" borderId="5" xfId="1" applyNumberFormat="1" applyFont="1" applyFill="1" applyBorder="1" applyAlignment="1">
      <alignment horizontal="center" vertical="center" wrapText="1"/>
    </xf>
    <xf numFmtId="165" fontId="8" fillId="4" borderId="5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66" fontId="4" fillId="0" borderId="7" xfId="1" applyNumberFormat="1" applyFont="1" applyFill="1" applyBorder="1" applyAlignment="1">
      <alignment horizontal="center" vertical="center"/>
    </xf>
    <xf numFmtId="165" fontId="4" fillId="0" borderId="7" xfId="1" applyFont="1" applyFill="1" applyBorder="1" applyAlignment="1">
      <alignment horizontal="center" vertical="center"/>
    </xf>
    <xf numFmtId="43" fontId="4" fillId="0" borderId="7" xfId="1" applyNumberFormat="1" applyFont="1" applyFill="1" applyBorder="1" applyAlignment="1">
      <alignment horizontal="center" vertical="center"/>
    </xf>
    <xf numFmtId="43" fontId="4" fillId="0" borderId="7" xfId="0" applyNumberFormat="1" applyFont="1" applyBorder="1" applyAlignment="1">
      <alignment horizontal="center" vertical="center"/>
    </xf>
    <xf numFmtId="43" fontId="9" fillId="0" borderId="7" xfId="0" applyNumberFormat="1" applyFont="1" applyBorder="1" applyAlignment="1">
      <alignment horizontal="center" vertical="center"/>
    </xf>
    <xf numFmtId="43" fontId="4" fillId="0" borderId="8" xfId="0" applyNumberFormat="1" applyFont="1" applyBorder="1" applyAlignment="1">
      <alignment horizontal="center" vertical="center"/>
    </xf>
    <xf numFmtId="165" fontId="4" fillId="0" borderId="5" xfId="1" applyFont="1" applyFill="1" applyBorder="1" applyAlignment="1">
      <alignment horizontal="center" vertical="center"/>
    </xf>
    <xf numFmtId="165" fontId="4" fillId="0" borderId="9" xfId="1" applyFont="1" applyFill="1" applyBorder="1" applyAlignment="1">
      <alignment horizontal="center" vertical="center"/>
    </xf>
    <xf numFmtId="166" fontId="4" fillId="0" borderId="9" xfId="1" applyNumberFormat="1" applyFont="1" applyFill="1" applyBorder="1" applyAlignment="1">
      <alignment horizontal="center" vertical="center"/>
    </xf>
    <xf numFmtId="166" fontId="4" fillId="0" borderId="5" xfId="1" applyNumberFormat="1" applyFont="1" applyFill="1" applyBorder="1" applyAlignment="1">
      <alignment horizontal="center" vertical="center"/>
    </xf>
    <xf numFmtId="43" fontId="4" fillId="0" borderId="5" xfId="1" applyNumberFormat="1" applyFont="1" applyFill="1" applyBorder="1" applyAlignment="1">
      <alignment horizontal="center" vertical="center"/>
    </xf>
    <xf numFmtId="43" fontId="4" fillId="0" borderId="5" xfId="0" applyNumberFormat="1" applyFont="1" applyBorder="1" applyAlignment="1">
      <alignment horizontal="center" vertical="center"/>
    </xf>
    <xf numFmtId="43" fontId="4" fillId="0" borderId="9" xfId="0" applyNumberFormat="1" applyFont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165" fontId="4" fillId="8" borderId="9" xfId="1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166" fontId="10" fillId="0" borderId="9" xfId="1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right" vertical="center"/>
    </xf>
    <xf numFmtId="0" fontId="6" fillId="2" borderId="12" xfId="0" applyFont="1" applyFill="1" applyBorder="1" applyAlignment="1">
      <alignment horizontal="center" vertical="center"/>
    </xf>
    <xf numFmtId="166" fontId="6" fillId="2" borderId="12" xfId="0" applyNumberFormat="1" applyFont="1" applyFill="1" applyBorder="1" applyAlignment="1">
      <alignment horizontal="center" vertical="center"/>
    </xf>
    <xf numFmtId="166" fontId="6" fillId="2" borderId="7" xfId="0" applyNumberFormat="1" applyFont="1" applyFill="1" applyBorder="1" applyAlignment="1">
      <alignment horizontal="center" vertical="center"/>
    </xf>
    <xf numFmtId="166" fontId="6" fillId="2" borderId="8" xfId="0" applyNumberFormat="1" applyFont="1" applyFill="1" applyBorder="1" applyAlignment="1">
      <alignment horizontal="center" vertical="center"/>
    </xf>
    <xf numFmtId="166" fontId="6" fillId="2" borderId="13" xfId="0" applyNumberFormat="1" applyFont="1" applyFill="1" applyBorder="1" applyAlignment="1">
      <alignment horizontal="center" vertical="center"/>
    </xf>
    <xf numFmtId="165" fontId="6" fillId="2" borderId="13" xfId="1" applyFont="1" applyFill="1" applyBorder="1" applyAlignment="1">
      <alignment horizontal="center" vertical="center"/>
    </xf>
    <xf numFmtId="165" fontId="6" fillId="2" borderId="1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65" fontId="6" fillId="2" borderId="8" xfId="1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8" fontId="4" fillId="0" borderId="7" xfId="0" applyNumberFormat="1" applyFont="1" applyBorder="1" applyAlignment="1">
      <alignment horizontal="center" vertical="center"/>
    </xf>
    <xf numFmtId="14" fontId="4" fillId="8" borderId="7" xfId="0" applyNumberFormat="1" applyFont="1" applyFill="1" applyBorder="1" applyAlignment="1">
      <alignment horizontal="center" vertical="center"/>
    </xf>
    <xf numFmtId="1" fontId="4" fillId="8" borderId="7" xfId="0" applyNumberFormat="1" applyFont="1" applyFill="1" applyBorder="1" applyAlignment="1">
      <alignment horizontal="center" vertical="center"/>
    </xf>
    <xf numFmtId="166" fontId="4" fillId="8" borderId="7" xfId="1" applyNumberFormat="1" applyFont="1" applyFill="1" applyBorder="1" applyAlignment="1">
      <alignment horizontal="center" vertical="center"/>
    </xf>
    <xf numFmtId="165" fontId="4" fillId="8" borderId="7" xfId="1" applyFont="1" applyFill="1" applyBorder="1" applyAlignment="1">
      <alignment horizontal="center" vertical="center"/>
    </xf>
    <xf numFmtId="43" fontId="4" fillId="8" borderId="7" xfId="1" applyNumberFormat="1" applyFont="1" applyFill="1" applyBorder="1" applyAlignment="1">
      <alignment horizontal="center" vertical="center"/>
    </xf>
    <xf numFmtId="43" fontId="4" fillId="8" borderId="7" xfId="0" applyNumberFormat="1" applyFont="1" applyFill="1" applyBorder="1" applyAlignment="1">
      <alignment horizontal="center" vertical="center"/>
    </xf>
    <xf numFmtId="43" fontId="9" fillId="8" borderId="7" xfId="0" applyNumberFormat="1" applyFont="1" applyFill="1" applyBorder="1" applyAlignment="1">
      <alignment horizontal="center" vertical="center"/>
    </xf>
    <xf numFmtId="43" fontId="4" fillId="8" borderId="8" xfId="0" applyNumberFormat="1" applyFont="1" applyFill="1" applyBorder="1" applyAlignment="1">
      <alignment horizontal="center" vertical="center"/>
    </xf>
    <xf numFmtId="165" fontId="4" fillId="8" borderId="5" xfId="1" applyFont="1" applyFill="1" applyBorder="1" applyAlignment="1">
      <alignment horizontal="center" vertical="center"/>
    </xf>
    <xf numFmtId="166" fontId="4" fillId="8" borderId="9" xfId="1" applyNumberFormat="1" applyFont="1" applyFill="1" applyBorder="1" applyAlignment="1">
      <alignment horizontal="center" vertical="center"/>
    </xf>
    <xf numFmtId="166" fontId="4" fillId="8" borderId="5" xfId="1" applyNumberFormat="1" applyFont="1" applyFill="1" applyBorder="1" applyAlignment="1">
      <alignment horizontal="center" vertical="center"/>
    </xf>
    <xf numFmtId="43" fontId="4" fillId="8" borderId="5" xfId="1" applyNumberFormat="1" applyFont="1" applyFill="1" applyBorder="1" applyAlignment="1">
      <alignment horizontal="center" vertical="center"/>
    </xf>
    <xf numFmtId="43" fontId="4" fillId="8" borderId="5" xfId="0" applyNumberFormat="1" applyFont="1" applyFill="1" applyBorder="1" applyAlignment="1">
      <alignment horizontal="center" vertical="center"/>
    </xf>
    <xf numFmtId="43" fontId="4" fillId="8" borderId="9" xfId="0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166" fontId="4" fillId="8" borderId="0" xfId="0" applyNumberFormat="1" applyFont="1" applyFill="1" applyAlignment="1">
      <alignment horizontal="center" vertical="center"/>
    </xf>
    <xf numFmtId="166" fontId="10" fillId="8" borderId="9" xfId="1" applyNumberFormat="1" applyFont="1" applyFill="1" applyBorder="1" applyAlignment="1">
      <alignment horizontal="center" vertical="center"/>
    </xf>
    <xf numFmtId="43" fontId="11" fillId="8" borderId="8" xfId="0" applyNumberFormat="1" applyFont="1" applyFill="1" applyBorder="1" applyAlignment="1">
      <alignment horizontal="center" vertical="center"/>
    </xf>
    <xf numFmtId="0" fontId="14" fillId="0" borderId="0" xfId="2" applyFont="1"/>
    <xf numFmtId="43" fontId="15" fillId="0" borderId="14" xfId="3" applyFont="1" applyBorder="1"/>
    <xf numFmtId="0" fontId="16" fillId="0" borderId="15" xfId="2" applyFont="1" applyBorder="1"/>
    <xf numFmtId="43" fontId="16" fillId="0" borderId="14" xfId="3" applyFont="1" applyBorder="1"/>
    <xf numFmtId="164" fontId="14" fillId="0" borderId="0" xfId="2" applyNumberFormat="1" applyFont="1"/>
    <xf numFmtId="168" fontId="17" fillId="9" borderId="16" xfId="2" applyNumberFormat="1" applyFont="1" applyFill="1" applyBorder="1" applyAlignment="1">
      <alignment horizontal="center" vertical="center"/>
    </xf>
    <xf numFmtId="0" fontId="17" fillId="9" borderId="17" xfId="2" applyFont="1" applyFill="1" applyBorder="1" applyAlignment="1">
      <alignment horizontal="center" vertical="center"/>
    </xf>
    <xf numFmtId="0" fontId="17" fillId="9" borderId="18" xfId="2" applyFont="1" applyFill="1" applyBorder="1" applyAlignment="1">
      <alignment horizontal="center" vertical="center"/>
    </xf>
    <xf numFmtId="43" fontId="17" fillId="9" borderId="18" xfId="3" applyFont="1" applyFill="1" applyBorder="1" applyAlignment="1">
      <alignment horizontal="center" vertical="center"/>
    </xf>
    <xf numFmtId="0" fontId="17" fillId="9" borderId="0" xfId="2" applyFont="1" applyFill="1" applyAlignment="1">
      <alignment horizontal="center" vertical="center"/>
    </xf>
    <xf numFmtId="168" fontId="18" fillId="10" borderId="16" xfId="2" applyNumberFormat="1" applyFont="1" applyFill="1" applyBorder="1"/>
    <xf numFmtId="0" fontId="18" fillId="10" borderId="17" xfId="2" applyFont="1" applyFill="1" applyBorder="1"/>
    <xf numFmtId="0" fontId="18" fillId="10" borderId="17" xfId="2" applyFont="1" applyFill="1" applyBorder="1" applyAlignment="1">
      <alignment horizontal="center"/>
    </xf>
    <xf numFmtId="43" fontId="18" fillId="10" borderId="17" xfId="3" applyFont="1" applyFill="1" applyBorder="1" applyAlignment="1">
      <alignment horizontal="center"/>
    </xf>
    <xf numFmtId="0" fontId="18" fillId="10" borderId="0" xfId="2" applyFont="1" applyFill="1"/>
    <xf numFmtId="168" fontId="18" fillId="10" borderId="19" xfId="2" applyNumberFormat="1" applyFont="1" applyFill="1" applyBorder="1"/>
    <xf numFmtId="43" fontId="18" fillId="10" borderId="17" xfId="3" applyFont="1" applyFill="1" applyBorder="1"/>
    <xf numFmtId="168" fontId="18" fillId="10" borderId="20" xfId="2" applyNumberFormat="1" applyFont="1" applyFill="1" applyBorder="1"/>
    <xf numFmtId="0" fontId="18" fillId="10" borderId="21" xfId="2" applyFont="1" applyFill="1" applyBorder="1"/>
    <xf numFmtId="0" fontId="18" fillId="10" borderId="21" xfId="2" applyFont="1" applyFill="1" applyBorder="1" applyAlignment="1">
      <alignment horizontal="center"/>
    </xf>
    <xf numFmtId="43" fontId="18" fillId="10" borderId="21" xfId="3" applyFont="1" applyFill="1" applyBorder="1"/>
    <xf numFmtId="43" fontId="14" fillId="0" borderId="0" xfId="3" applyFont="1"/>
    <xf numFmtId="0" fontId="0" fillId="0" borderId="0" xfId="0" pivotButton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43" fontId="19" fillId="2" borderId="9" xfId="0" applyNumberFormat="1" applyFont="1" applyFill="1" applyBorder="1" applyAlignment="1">
      <alignment horizontal="center" vertical="center"/>
    </xf>
    <xf numFmtId="0" fontId="14" fillId="0" borderId="0" xfId="4" applyFont="1"/>
    <xf numFmtId="0" fontId="16" fillId="0" borderId="15" xfId="4" applyFont="1" applyBorder="1"/>
    <xf numFmtId="43" fontId="16" fillId="0" borderId="14" xfId="5" applyFont="1" applyBorder="1"/>
    <xf numFmtId="168" fontId="17" fillId="9" borderId="16" xfId="4" applyNumberFormat="1" applyFont="1" applyFill="1" applyBorder="1" applyAlignment="1">
      <alignment horizontal="center" vertical="center"/>
    </xf>
    <xf numFmtId="0" fontId="17" fillId="9" borderId="17" xfId="4" applyFont="1" applyFill="1" applyBorder="1" applyAlignment="1">
      <alignment horizontal="center" vertical="center"/>
    </xf>
    <xf numFmtId="0" fontId="17" fillId="9" borderId="18" xfId="4" applyFont="1" applyFill="1" applyBorder="1" applyAlignment="1">
      <alignment horizontal="center" vertical="center"/>
    </xf>
    <xf numFmtId="43" fontId="17" fillId="9" borderId="18" xfId="5" applyFont="1" applyFill="1" applyBorder="1" applyAlignment="1">
      <alignment horizontal="center" vertical="center"/>
    </xf>
    <xf numFmtId="0" fontId="17" fillId="9" borderId="0" xfId="4" applyFont="1" applyFill="1" applyAlignment="1">
      <alignment horizontal="center" vertical="center"/>
    </xf>
    <xf numFmtId="168" fontId="18" fillId="10" borderId="16" xfId="4" applyNumberFormat="1" applyFont="1" applyFill="1" applyBorder="1"/>
    <xf numFmtId="0" fontId="18" fillId="10" borderId="17" xfId="4" applyFont="1" applyFill="1" applyBorder="1"/>
    <xf numFmtId="43" fontId="18" fillId="11" borderId="17" xfId="5" applyFont="1" applyFill="1" applyBorder="1"/>
    <xf numFmtId="0" fontId="1" fillId="0" borderId="5" xfId="4" applyBorder="1"/>
    <xf numFmtId="0" fontId="18" fillId="10" borderId="0" xfId="4" applyFont="1" applyFill="1"/>
    <xf numFmtId="0" fontId="14" fillId="12" borderId="0" xfId="4" applyFont="1" applyFill="1"/>
    <xf numFmtId="3" fontId="14" fillId="12" borderId="0" xfId="4" applyNumberFormat="1" applyFont="1" applyFill="1"/>
    <xf numFmtId="43" fontId="18" fillId="10" borderId="17" xfId="5" applyFont="1" applyFill="1" applyBorder="1"/>
    <xf numFmtId="0" fontId="1" fillId="0" borderId="0" xfId="4"/>
    <xf numFmtId="0" fontId="18" fillId="10" borderId="21" xfId="4" applyFont="1" applyFill="1" applyBorder="1"/>
    <xf numFmtId="0" fontId="20" fillId="10" borderId="17" xfId="4" applyFont="1" applyFill="1" applyBorder="1"/>
    <xf numFmtId="43" fontId="20" fillId="10" borderId="17" xfId="5" applyFont="1" applyFill="1" applyBorder="1"/>
    <xf numFmtId="0" fontId="20" fillId="10" borderId="0" xfId="4" applyFont="1" applyFill="1"/>
    <xf numFmtId="168" fontId="20" fillId="10" borderId="16" xfId="4" applyNumberFormat="1" applyFont="1" applyFill="1" applyBorder="1"/>
    <xf numFmtId="0" fontId="20" fillId="10" borderId="21" xfId="4" applyFont="1" applyFill="1" applyBorder="1"/>
    <xf numFmtId="43" fontId="20" fillId="10" borderId="21" xfId="5" applyFont="1" applyFill="1" applyBorder="1"/>
    <xf numFmtId="168" fontId="20" fillId="13" borderId="16" xfId="4" applyNumberFormat="1" applyFont="1" applyFill="1" applyBorder="1"/>
    <xf numFmtId="0" fontId="20" fillId="13" borderId="17" xfId="4" applyFont="1" applyFill="1" applyBorder="1"/>
    <xf numFmtId="43" fontId="20" fillId="13" borderId="17" xfId="5" applyFont="1" applyFill="1" applyBorder="1"/>
    <xf numFmtId="0" fontId="14" fillId="4" borderId="0" xfId="4" applyFont="1" applyFill="1"/>
    <xf numFmtId="0" fontId="20" fillId="13" borderId="0" xfId="4" applyFont="1" applyFill="1"/>
    <xf numFmtId="168" fontId="20" fillId="10" borderId="20" xfId="4" applyNumberFormat="1" applyFont="1" applyFill="1" applyBorder="1"/>
    <xf numFmtId="43" fontId="14" fillId="0" borderId="0" xfId="5" applyFont="1"/>
    <xf numFmtId="166" fontId="8" fillId="7" borderId="5" xfId="1" applyNumberFormat="1" applyFont="1" applyFill="1" applyBorder="1" applyAlignment="1">
      <alignment horizontal="center" vertical="center"/>
    </xf>
    <xf numFmtId="166" fontId="8" fillId="3" borderId="5" xfId="1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" xfId="3" xr:uid="{33062270-83E0-487D-A786-E86F0D24ED02}"/>
    <cellStyle name="Comma 3" xfId="5" xr:uid="{E7990F24-644C-443F-978F-8A8DBEA4457C}"/>
    <cellStyle name="Normal 2" xfId="2" xr:uid="{3E677EFE-3193-4B4A-8D59-7DA1BD721E46}"/>
    <cellStyle name="Normal 3" xfId="4" xr:uid="{07697592-2955-46A0-BF0B-A15F7081E01C}"/>
    <cellStyle name="عادي" xfId="0" builtinId="0"/>
  </cellStyles>
  <dxfs count="83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numFmt numFmtId="168" formatCode="yyyy\-mm\-dd;@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  <dxf>
      <fill>
        <patternFill>
          <fgColor theme="0" tint="-0.14999847407452621"/>
        </patternFill>
      </fill>
      <alignment horizontal="general" vertical="bottom" textRotation="0" wrapText="0" indent="0" justifyLastLine="0" shrinkToFit="0" readingOrder="0"/>
    </dxf>
    <dxf>
      <fill>
        <patternFill>
          <fgColor theme="0" tint="-0.14999847407452621"/>
        </patternFill>
      </fill>
      <alignment horizontal="general" vertical="bottom" textRotation="0" wrapText="0" indent="0" justifyLastLine="0" shrinkToFit="0" readingOrder="0"/>
    </dxf>
    <dxf>
      <fill>
        <patternFill>
          <fgColor theme="0" tint="-0.14999847407452621"/>
        </patternFill>
      </fill>
      <alignment horizontal="general" vertical="bottom" textRotation="0" wrapText="0" indent="0" justifyLastLine="0" shrinkToFit="0" readingOrder="0"/>
    </dxf>
    <dxf>
      <fill>
        <patternFill>
          <fgColor theme="0" tint="-0.14999847407452621"/>
        </patternFill>
      </fill>
      <alignment horizontal="general" vertical="bottom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border diagonalUp="0" diagonalDown="0">
        <left/>
        <right/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8" formatCode="yyyy\-mm\-dd;@"/>
      <fill>
        <patternFill patternType="solid">
          <fgColor theme="0" tint="-0.14999847407452621"/>
          <bgColor theme="0" tint="-0.14999847407452621"/>
        </patternFill>
      </fill>
      <border diagonalUp="0" diagonalDown="0" outline="0">
        <left style="thin">
          <color theme="1"/>
        </left>
        <right/>
        <top style="thin">
          <color theme="1"/>
        </top>
        <bottom style="thin">
          <color theme="1"/>
        </bottom>
      </border>
    </dxf>
    <dxf>
      <border outline="0">
        <left style="thin">
          <color theme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CCRCAI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FINSERV/FIN_OTH/INSLIC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ti-mla01-fs01\dfs\TLC\M.Accts\TLC-2004-09\TLC04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ti-mla01-fs01\Dfs\Excel\MPM\Purchase%20Orders\Purchase%20Order2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olly's%20Islam%20Farag\Finance\2022\Ban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olly's%20Islam%20Farag\Finance\Bank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Inance\Finance\&#1605;&#1585;&#1578;&#1576;&#1575;&#1578;\2025\&#1587;&#1576;&#1578;&#1605;&#1576;&#1585;\&#1593;&#1605;&#1608;&#1604;&#1575;&#1578;.xlsx" TargetMode="External"/><Relationship Id="rId1" Type="http://schemas.openxmlformats.org/officeDocument/2006/relationships/externalLinkPath" Target="https://d.docs.live.net/FInance/Finance/&#1605;&#1585;&#1578;&#1576;&#1575;&#1578;/2025/&#1587;&#1576;&#1578;&#1605;&#1576;&#1585;/&#1593;&#1605;&#1608;&#1604;&#1575;&#1578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ti-mla01-fs01\dfs\MLA01\FTH_MLA01_Accounting\Share\LALSA\Accounts\CCC-2009-09\CCC0903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Inance\Finance\&#1605;&#1585;&#1578;&#1576;&#1575;&#1578;\2025\&#1575;&#1594;&#1587;&#1591;&#1587;\&#1588;&#1610;&#1578;%20&#1575;&#1604;&#1578;&#1571;&#1605;&#1610;&#1606;&#1575;&#1578;%20&#1593;&#1606;%20&#1588;&#1607;&#1585;%20&#1575;&#1594;&#1587;&#1591;&#1587;.xlsx" TargetMode="External"/><Relationship Id="rId1" Type="http://schemas.openxmlformats.org/officeDocument/2006/relationships/externalLinkPath" Target="https://d.docs.live.net/FInance/Finance/&#1605;&#1585;&#1578;&#1576;&#1575;&#1578;/2025/&#1575;&#1594;&#1587;&#1591;&#1587;/&#1588;&#1610;&#1578;%20&#1575;&#1604;&#1578;&#1571;&#1605;&#1610;&#1606;&#1575;&#1578;%20&#1593;&#1606;%20&#1588;&#1607;&#1585;%20&#1575;&#1594;&#1587;&#1591;&#1587;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Inance\&#1605;&#1581;&#1605;&#1583;%20&#1605;&#1583;&#1581;&#1578;\2025&#1605;&#1589;&#1585;&#1608;&#1601;&#1575;&#1578;%20&#1602;&#1610;&#1605;&#1577;%20...xlsx" TargetMode="External"/><Relationship Id="rId1" Type="http://schemas.openxmlformats.org/officeDocument/2006/relationships/externalLinkPath" Target="https://d.docs.live.net/FInance/&#1605;&#1581;&#1605;&#1583;%20&#1605;&#1583;&#1581;&#1578;/2025&#1605;&#1589;&#1585;&#1608;&#1601;&#1575;&#1578;%20&#1602;&#1610;&#1605;&#1577;%20..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Copy%20of%202025&#1605;&#1589;&#1585;&#1608;&#1601;&#1575;&#1578;%20&#1602;&#1610;&#1605;&#1577;...%20(7).xlsx" TargetMode="External"/><Relationship Id="rId1" Type="http://schemas.openxmlformats.org/officeDocument/2006/relationships/externalLinkPath" Target="/Users/HP/Downloads/Copy%20of%202025&#1605;&#1589;&#1585;&#1608;&#1601;&#1575;&#1578;%20&#1602;&#1610;&#1605;&#1577;...%20(7)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in\AppData\Local\Microsoft\Windows\INetCache\Content.Outlook\MTRTU20W\&#1605;&#1589;&#1585;&#1608;&#1601;&#1575;&#1578;%20&#1575;&#1604;&#1605;&#1606;&#1589;&#1608;&#1585;&#1607;%20&#1575;&#1603;&#1578;&#1608;&#1576;&#1585;%202025_.xlsx" TargetMode="External"/><Relationship Id="rId1" Type="http://schemas.openxmlformats.org/officeDocument/2006/relationships/externalLinkPath" Target="/Users/fin/AppData/Local/Microsoft/Windows/INetCache/Content.Outlook/MTRTU20W/&#1605;&#1589;&#1585;&#1608;&#1601;&#1575;&#1578;%20&#1575;&#1604;&#1605;&#1606;&#1589;&#1608;&#1585;&#1607;%20&#1575;&#1603;&#1578;&#1608;&#1576;&#1585;%202025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RCAI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8-02-97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P&amp;L &amp; Stats"/>
      <sheetName val="SumP&amp;L &amp; BS"/>
      <sheetName val="TB"/>
      <sheetName val="Acc&amp;Prep"/>
      <sheetName val="Adjustments"/>
      <sheetName val="Cons"/>
      <sheetName val="Graphs"/>
      <sheetName val="Print Modules"/>
    </sheetNames>
    <sheetDataSet>
      <sheetData sheetId="0"/>
      <sheetData sheetId="1"/>
      <sheetData sheetId="2" refreshError="1">
        <row r="8">
          <cell r="A8" t="str">
            <v>Sales</v>
          </cell>
          <cell r="K8">
            <v>0</v>
          </cell>
          <cell r="L8">
            <v>0</v>
          </cell>
        </row>
        <row r="9">
          <cell r="A9">
            <v>1000</v>
          </cell>
          <cell r="B9">
            <v>105010</v>
          </cell>
          <cell r="C9" t="str">
            <v>SALES: Tuition: Main</v>
          </cell>
          <cell r="E9">
            <v>1734796</v>
          </cell>
          <cell r="F9">
            <v>0</v>
          </cell>
          <cell r="G9">
            <v>0</v>
          </cell>
          <cell r="H9" t="str">
            <v>4,11,28</v>
          </cell>
          <cell r="I9">
            <v>270151</v>
          </cell>
          <cell r="K9">
            <v>0</v>
          </cell>
          <cell r="L9">
            <v>1464645</v>
          </cell>
        </row>
        <row r="10">
          <cell r="A10">
            <v>1000</v>
          </cell>
          <cell r="B10">
            <v>105410</v>
          </cell>
          <cell r="C10" t="str">
            <v>SALES: Tuition: Cambr</v>
          </cell>
          <cell r="F10">
            <v>0</v>
          </cell>
          <cell r="G10">
            <v>0</v>
          </cell>
          <cell r="K10">
            <v>0</v>
          </cell>
          <cell r="L10">
            <v>0</v>
          </cell>
        </row>
        <row r="11">
          <cell r="A11">
            <v>1000</v>
          </cell>
          <cell r="B11">
            <v>105610</v>
          </cell>
          <cell r="C11" t="str">
            <v>SALES: Tuition: Priva</v>
          </cell>
          <cell r="F11">
            <v>0</v>
          </cell>
          <cell r="G11">
            <v>0</v>
          </cell>
          <cell r="K11">
            <v>0</v>
          </cell>
          <cell r="L11">
            <v>0</v>
          </cell>
        </row>
        <row r="12">
          <cell r="A12">
            <v>1000</v>
          </cell>
          <cell r="B12">
            <v>105810</v>
          </cell>
          <cell r="C12" t="str">
            <v>SALES: Abiturkurs</v>
          </cell>
          <cell r="F12">
            <v>0</v>
          </cell>
          <cell r="G12">
            <v>0</v>
          </cell>
          <cell r="K12">
            <v>0</v>
          </cell>
          <cell r="L12">
            <v>0</v>
          </cell>
        </row>
        <row r="13">
          <cell r="A13">
            <v>1000</v>
          </cell>
          <cell r="B13">
            <v>105910</v>
          </cell>
          <cell r="C13" t="str">
            <v>SALES: Tuition: Busin</v>
          </cell>
          <cell r="F13">
            <v>0</v>
          </cell>
          <cell r="G13">
            <v>0</v>
          </cell>
          <cell r="K13">
            <v>0</v>
          </cell>
          <cell r="L13">
            <v>0</v>
          </cell>
        </row>
        <row r="14">
          <cell r="A14">
            <v>1000</v>
          </cell>
          <cell r="B14">
            <v>106010</v>
          </cell>
          <cell r="C14" t="str">
            <v>SALES: Academic Year</v>
          </cell>
          <cell r="F14">
            <v>0</v>
          </cell>
          <cell r="G14">
            <v>0</v>
          </cell>
          <cell r="K14">
            <v>0</v>
          </cell>
          <cell r="L14">
            <v>0</v>
          </cell>
        </row>
        <row r="15">
          <cell r="A15">
            <v>1000</v>
          </cell>
          <cell r="B15">
            <v>106110</v>
          </cell>
          <cell r="C15" t="str">
            <v>SALES: General Englis</v>
          </cell>
          <cell r="F15">
            <v>0</v>
          </cell>
          <cell r="G15">
            <v>0</v>
          </cell>
          <cell r="K15">
            <v>0</v>
          </cell>
          <cell r="L15">
            <v>0</v>
          </cell>
        </row>
        <row r="16">
          <cell r="A16">
            <v>1000</v>
          </cell>
          <cell r="C16" t="str">
            <v>SALES: General English PLUS</v>
          </cell>
          <cell r="F16">
            <v>0</v>
          </cell>
          <cell r="G16">
            <v>0</v>
          </cell>
          <cell r="K16">
            <v>0</v>
          </cell>
          <cell r="L16">
            <v>0</v>
          </cell>
        </row>
        <row r="17">
          <cell r="A17">
            <v>1000</v>
          </cell>
          <cell r="C17" t="str">
            <v>SALES: Mini Group Torquay</v>
          </cell>
          <cell r="F17">
            <v>0</v>
          </cell>
          <cell r="G17">
            <v>0</v>
          </cell>
          <cell r="K17">
            <v>0</v>
          </cell>
          <cell r="L17">
            <v>0</v>
          </cell>
        </row>
        <row r="18">
          <cell r="A18">
            <v>1000</v>
          </cell>
          <cell r="C18" t="str">
            <v>SALES: Teenager Course Torquay</v>
          </cell>
          <cell r="F18">
            <v>0</v>
          </cell>
          <cell r="G18">
            <v>0</v>
          </cell>
          <cell r="K18">
            <v>0</v>
          </cell>
          <cell r="L18">
            <v>0</v>
          </cell>
        </row>
        <row r="19">
          <cell r="A19">
            <v>1000</v>
          </cell>
          <cell r="C19" t="str">
            <v>SALES: Teenager Course w/Activity Torquay</v>
          </cell>
          <cell r="F19">
            <v>0</v>
          </cell>
          <cell r="G19">
            <v>0</v>
          </cell>
          <cell r="K19">
            <v>0</v>
          </cell>
          <cell r="L19">
            <v>0</v>
          </cell>
        </row>
        <row r="20">
          <cell r="A20">
            <v>1000</v>
          </cell>
          <cell r="C20" t="str">
            <v>SALES: Junior Course Torquay</v>
          </cell>
          <cell r="F20">
            <v>0</v>
          </cell>
          <cell r="G20">
            <v>0</v>
          </cell>
          <cell r="K20">
            <v>0</v>
          </cell>
          <cell r="L20">
            <v>0</v>
          </cell>
        </row>
        <row r="21">
          <cell r="A21">
            <v>1000</v>
          </cell>
          <cell r="C21" t="str">
            <v>SALES: Teenager Course Paington</v>
          </cell>
          <cell r="F21">
            <v>0</v>
          </cell>
          <cell r="G21">
            <v>0</v>
          </cell>
          <cell r="K21">
            <v>0</v>
          </cell>
          <cell r="L21">
            <v>0</v>
          </cell>
        </row>
        <row r="22">
          <cell r="A22">
            <v>1000</v>
          </cell>
          <cell r="C22" t="str">
            <v>SALES: Teenager Course q/Activity Torquay</v>
          </cell>
          <cell r="F22">
            <v>0</v>
          </cell>
          <cell r="G22">
            <v>0</v>
          </cell>
          <cell r="K22">
            <v>0</v>
          </cell>
          <cell r="L22">
            <v>0</v>
          </cell>
        </row>
        <row r="23">
          <cell r="A23">
            <v>1000</v>
          </cell>
          <cell r="C23" t="str">
            <v>SALES: Junior Course Paington</v>
          </cell>
          <cell r="F23">
            <v>0</v>
          </cell>
          <cell r="G23">
            <v>0</v>
          </cell>
          <cell r="K23">
            <v>0</v>
          </cell>
          <cell r="L23">
            <v>0</v>
          </cell>
        </row>
        <row r="24">
          <cell r="A24">
            <v>1000</v>
          </cell>
          <cell r="B24">
            <v>110010</v>
          </cell>
          <cell r="C24" t="str">
            <v>SALES: Parties</v>
          </cell>
          <cell r="E24">
            <v>14796</v>
          </cell>
          <cell r="F24">
            <v>0</v>
          </cell>
          <cell r="G24">
            <v>0</v>
          </cell>
          <cell r="K24">
            <v>0</v>
          </cell>
          <cell r="L24">
            <v>14796</v>
          </cell>
        </row>
        <row r="25">
          <cell r="A25">
            <v>1000</v>
          </cell>
          <cell r="B25">
            <v>115010</v>
          </cell>
          <cell r="C25" t="str">
            <v>SALES: Junior Suppliment</v>
          </cell>
          <cell r="E25">
            <v>30958</v>
          </cell>
          <cell r="F25">
            <v>0</v>
          </cell>
          <cell r="G25">
            <v>0</v>
          </cell>
          <cell r="K25">
            <v>0</v>
          </cell>
          <cell r="L25">
            <v>30958</v>
          </cell>
        </row>
        <row r="26">
          <cell r="A26">
            <v>1000</v>
          </cell>
          <cell r="B26">
            <v>120010</v>
          </cell>
          <cell r="C26" t="str">
            <v>SALES: Activities</v>
          </cell>
          <cell r="E26">
            <v>91104</v>
          </cell>
          <cell r="F26">
            <v>0</v>
          </cell>
          <cell r="G26">
            <v>0</v>
          </cell>
          <cell r="H26">
            <v>4</v>
          </cell>
          <cell r="I26">
            <v>2889</v>
          </cell>
          <cell r="K26">
            <v>0</v>
          </cell>
          <cell r="L26">
            <v>88215</v>
          </cell>
        </row>
        <row r="27">
          <cell r="A27">
            <v>1000</v>
          </cell>
          <cell r="B27">
            <v>125010</v>
          </cell>
          <cell r="C27" t="str">
            <v>SALES: Accommodation: Hotels HLH</v>
          </cell>
          <cell r="E27">
            <v>8902</v>
          </cell>
          <cell r="F27">
            <v>0</v>
          </cell>
          <cell r="G27">
            <v>0</v>
          </cell>
          <cell r="H27">
            <v>32</v>
          </cell>
          <cell r="J27">
            <v>5000</v>
          </cell>
          <cell r="K27">
            <v>0</v>
          </cell>
          <cell r="L27">
            <v>13902</v>
          </cell>
        </row>
        <row r="28">
          <cell r="A28">
            <v>1000</v>
          </cell>
          <cell r="B28" t="str">
            <v>126010</v>
          </cell>
          <cell r="C28" t="str">
            <v>SALES: HLH Residence</v>
          </cell>
          <cell r="E28">
            <v>60176</v>
          </cell>
          <cell r="L28">
            <v>60176</v>
          </cell>
        </row>
        <row r="29">
          <cell r="A29">
            <v>1000</v>
          </cell>
          <cell r="B29">
            <v>127010</v>
          </cell>
          <cell r="C29" t="str">
            <v>SALES: Matilda House</v>
          </cell>
          <cell r="E29">
            <v>15652</v>
          </cell>
          <cell r="F29">
            <v>0</v>
          </cell>
          <cell r="G29">
            <v>0</v>
          </cell>
          <cell r="K29">
            <v>0</v>
          </cell>
          <cell r="L29">
            <v>15652</v>
          </cell>
        </row>
        <row r="30">
          <cell r="A30">
            <v>1000</v>
          </cell>
          <cell r="B30">
            <v>130010</v>
          </cell>
          <cell r="C30" t="str">
            <v>SALES: Accommodation: Hotel</v>
          </cell>
          <cell r="E30">
            <v>120603</v>
          </cell>
          <cell r="F30">
            <v>0</v>
          </cell>
          <cell r="G30">
            <v>0</v>
          </cell>
          <cell r="H30">
            <v>4</v>
          </cell>
          <cell r="I30">
            <v>4215</v>
          </cell>
          <cell r="K30">
            <v>0</v>
          </cell>
          <cell r="L30">
            <v>116388</v>
          </cell>
        </row>
        <row r="31">
          <cell r="A31">
            <v>1000</v>
          </cell>
          <cell r="B31">
            <v>135010</v>
          </cell>
          <cell r="C31" t="str">
            <v>SALES: Accommodation: Host Family</v>
          </cell>
          <cell r="E31">
            <v>913891</v>
          </cell>
          <cell r="F31">
            <v>0</v>
          </cell>
          <cell r="G31">
            <v>0</v>
          </cell>
          <cell r="H31" t="str">
            <v>2,4,32</v>
          </cell>
          <cell r="I31">
            <v>96602</v>
          </cell>
          <cell r="K31">
            <v>0</v>
          </cell>
          <cell r="L31">
            <v>817289</v>
          </cell>
        </row>
        <row r="32">
          <cell r="A32">
            <v>1000</v>
          </cell>
          <cell r="B32">
            <v>140010</v>
          </cell>
          <cell r="C32" t="str">
            <v>SALES: Transfers</v>
          </cell>
          <cell r="E32">
            <v>125351</v>
          </cell>
          <cell r="F32">
            <v>0</v>
          </cell>
          <cell r="G32">
            <v>0</v>
          </cell>
          <cell r="H32" t="str">
            <v>4,28</v>
          </cell>
          <cell r="J32">
            <v>7770</v>
          </cell>
          <cell r="K32">
            <v>0</v>
          </cell>
          <cell r="L32">
            <v>133121</v>
          </cell>
        </row>
        <row r="33">
          <cell r="A33">
            <v>1000</v>
          </cell>
          <cell r="B33">
            <v>145010</v>
          </cell>
          <cell r="C33" t="str">
            <v>SALES: Excursions</v>
          </cell>
          <cell r="E33">
            <v>135915</v>
          </cell>
          <cell r="F33">
            <v>0</v>
          </cell>
          <cell r="G33">
            <v>0</v>
          </cell>
          <cell r="K33">
            <v>0</v>
          </cell>
          <cell r="L33">
            <v>135915</v>
          </cell>
        </row>
        <row r="34">
          <cell r="A34">
            <v>1000</v>
          </cell>
          <cell r="B34">
            <v>155010</v>
          </cell>
          <cell r="C34" t="str">
            <v>SALES: Course Books/M</v>
          </cell>
          <cell r="E34">
            <v>59722</v>
          </cell>
          <cell r="F34">
            <v>0</v>
          </cell>
          <cell r="G34">
            <v>0</v>
          </cell>
          <cell r="K34">
            <v>0</v>
          </cell>
          <cell r="L34">
            <v>59722</v>
          </cell>
        </row>
        <row r="35">
          <cell r="A35">
            <v>1000</v>
          </cell>
          <cell r="C35" t="str">
            <v>SALES: KC Tuition</v>
          </cell>
          <cell r="H35">
            <v>11</v>
          </cell>
          <cell r="J35">
            <v>190624</v>
          </cell>
          <cell r="L35">
            <v>190624</v>
          </cell>
        </row>
        <row r="36">
          <cell r="A36">
            <v>1000</v>
          </cell>
          <cell r="C36" t="str">
            <v>SALES: Residential Income</v>
          </cell>
          <cell r="E36">
            <v>94822</v>
          </cell>
          <cell r="K36">
            <v>0</v>
          </cell>
          <cell r="L36">
            <v>94822</v>
          </cell>
        </row>
        <row r="37">
          <cell r="A37">
            <v>1000</v>
          </cell>
          <cell r="B37">
            <v>190010</v>
          </cell>
          <cell r="C37" t="str">
            <v>SALES: Examination Fee</v>
          </cell>
          <cell r="E37">
            <v>4285</v>
          </cell>
          <cell r="F37">
            <v>0</v>
          </cell>
          <cell r="G37">
            <v>0</v>
          </cell>
          <cell r="K37">
            <v>0</v>
          </cell>
          <cell r="L37">
            <v>4285</v>
          </cell>
        </row>
        <row r="38">
          <cell r="A38">
            <v>1000</v>
          </cell>
          <cell r="B38">
            <v>195010</v>
          </cell>
          <cell r="C38" t="str">
            <v>SALES: Discounts Allo</v>
          </cell>
          <cell r="D38">
            <v>636032</v>
          </cell>
          <cell r="F38">
            <v>0</v>
          </cell>
          <cell r="G38">
            <v>0</v>
          </cell>
          <cell r="H38">
            <v>4</v>
          </cell>
          <cell r="J38">
            <v>19464</v>
          </cell>
          <cell r="K38">
            <v>616568</v>
          </cell>
          <cell r="L38">
            <v>0</v>
          </cell>
        </row>
        <row r="42">
          <cell r="A42" t="str">
            <v>Direct Costs</v>
          </cell>
          <cell r="F42">
            <v>0</v>
          </cell>
          <cell r="G42">
            <v>0</v>
          </cell>
          <cell r="K42">
            <v>0</v>
          </cell>
          <cell r="L42">
            <v>0</v>
          </cell>
        </row>
        <row r="43">
          <cell r="A43">
            <v>2000</v>
          </cell>
          <cell r="B43">
            <v>204010</v>
          </cell>
          <cell r="C43" t="str">
            <v>DC: Opening Stock</v>
          </cell>
          <cell r="D43">
            <v>98135</v>
          </cell>
          <cell r="F43">
            <v>0</v>
          </cell>
          <cell r="G43">
            <v>0</v>
          </cell>
          <cell r="K43">
            <v>98135</v>
          </cell>
          <cell r="L43">
            <v>0</v>
          </cell>
        </row>
        <row r="44">
          <cell r="A44">
            <v>2000</v>
          </cell>
          <cell r="B44">
            <v>208010</v>
          </cell>
          <cell r="C44" t="str">
            <v>DC: Closing Stock</v>
          </cell>
          <cell r="E44">
            <v>98135</v>
          </cell>
          <cell r="F44">
            <v>0</v>
          </cell>
          <cell r="G44">
            <v>0</v>
          </cell>
          <cell r="K44">
            <v>0</v>
          </cell>
          <cell r="L44">
            <v>98135</v>
          </cell>
        </row>
        <row r="45">
          <cell r="A45">
            <v>2000</v>
          </cell>
          <cell r="B45">
            <v>211010</v>
          </cell>
          <cell r="C45" t="str">
            <v>DC: Matilda House</v>
          </cell>
          <cell r="D45">
            <v>10250</v>
          </cell>
          <cell r="F45">
            <v>0</v>
          </cell>
          <cell r="G45">
            <v>310</v>
          </cell>
          <cell r="K45">
            <v>9940</v>
          </cell>
          <cell r="L45">
            <v>0</v>
          </cell>
        </row>
        <row r="46">
          <cell r="A46">
            <v>2000</v>
          </cell>
          <cell r="B46">
            <v>212010</v>
          </cell>
          <cell r="C46" t="str">
            <v>DC: Accommodation: HLH</v>
          </cell>
          <cell r="D46">
            <v>70171</v>
          </cell>
          <cell r="F46">
            <v>0</v>
          </cell>
          <cell r="G46">
            <v>0</v>
          </cell>
          <cell r="K46">
            <v>70171</v>
          </cell>
          <cell r="L46">
            <v>0</v>
          </cell>
        </row>
        <row r="47">
          <cell r="A47">
            <v>2000</v>
          </cell>
          <cell r="B47">
            <v>216010</v>
          </cell>
          <cell r="C47" t="str">
            <v>DC: Accommodation: Hotels</v>
          </cell>
          <cell r="D47">
            <v>83771</v>
          </cell>
          <cell r="F47">
            <v>24345</v>
          </cell>
          <cell r="G47">
            <v>0</v>
          </cell>
          <cell r="K47">
            <v>108116</v>
          </cell>
          <cell r="L47">
            <v>0</v>
          </cell>
        </row>
        <row r="48">
          <cell r="A48">
            <v>2000</v>
          </cell>
          <cell r="B48">
            <v>220010</v>
          </cell>
          <cell r="C48" t="str">
            <v>DC: Accommodation: Host Family</v>
          </cell>
          <cell r="D48">
            <v>124641</v>
          </cell>
          <cell r="F48">
            <v>5337</v>
          </cell>
          <cell r="G48">
            <v>0</v>
          </cell>
          <cell r="H48" t="str">
            <v>8,24,29</v>
          </cell>
          <cell r="I48">
            <v>464721</v>
          </cell>
          <cell r="J48">
            <v>12000</v>
          </cell>
          <cell r="K48">
            <v>582699</v>
          </cell>
          <cell r="L48">
            <v>0</v>
          </cell>
        </row>
        <row r="49">
          <cell r="A49">
            <v>2000</v>
          </cell>
          <cell r="B49">
            <v>220055</v>
          </cell>
          <cell r="C49" t="str">
            <v>DC: Accommodation: Residence</v>
          </cell>
          <cell r="D49">
            <v>2852</v>
          </cell>
          <cell r="F49">
            <v>31979</v>
          </cell>
          <cell r="G49">
            <v>0</v>
          </cell>
          <cell r="K49">
            <v>34831</v>
          </cell>
          <cell r="L49">
            <v>0</v>
          </cell>
        </row>
        <row r="50">
          <cell r="A50">
            <v>2000</v>
          </cell>
          <cell r="B50">
            <v>222055</v>
          </cell>
          <cell r="C50" t="str">
            <v>DC: Residential Education</v>
          </cell>
          <cell r="D50">
            <v>2</v>
          </cell>
          <cell r="F50">
            <v>0</v>
          </cell>
          <cell r="G50">
            <v>0</v>
          </cell>
          <cell r="K50">
            <v>2</v>
          </cell>
          <cell r="L50">
            <v>0</v>
          </cell>
        </row>
        <row r="51">
          <cell r="A51">
            <v>2000</v>
          </cell>
          <cell r="B51">
            <v>223010</v>
          </cell>
          <cell r="C51" t="str">
            <v>DC: Lunches</v>
          </cell>
          <cell r="D51">
            <v>77</v>
          </cell>
          <cell r="F51">
            <v>0</v>
          </cell>
          <cell r="G51">
            <v>0</v>
          </cell>
          <cell r="K51">
            <v>77</v>
          </cell>
          <cell r="L51">
            <v>0</v>
          </cell>
        </row>
        <row r="52">
          <cell r="A52">
            <v>2000</v>
          </cell>
          <cell r="B52">
            <v>228110</v>
          </cell>
          <cell r="C52" t="str">
            <v>DC: Transfers: Adults</v>
          </cell>
          <cell r="D52">
            <v>49663</v>
          </cell>
          <cell r="F52">
            <v>7750</v>
          </cell>
          <cell r="G52">
            <v>0</v>
          </cell>
          <cell r="K52">
            <v>57413</v>
          </cell>
          <cell r="L52">
            <v>0</v>
          </cell>
        </row>
        <row r="53">
          <cell r="A53">
            <v>2000</v>
          </cell>
          <cell r="B53">
            <v>229010</v>
          </cell>
          <cell r="C53" t="str">
            <v>DC: Meet &amp; Greet</v>
          </cell>
          <cell r="D53">
            <v>40667</v>
          </cell>
          <cell r="F53">
            <v>1500</v>
          </cell>
          <cell r="G53">
            <v>0</v>
          </cell>
          <cell r="K53">
            <v>42167</v>
          </cell>
          <cell r="L53">
            <v>0</v>
          </cell>
        </row>
        <row r="54">
          <cell r="A54">
            <v>2000</v>
          </cell>
          <cell r="B54">
            <v>230010</v>
          </cell>
          <cell r="C54" t="str">
            <v>DC: National Express</v>
          </cell>
          <cell r="D54">
            <v>6434</v>
          </cell>
          <cell r="F54">
            <v>500</v>
          </cell>
          <cell r="G54">
            <v>0</v>
          </cell>
          <cell r="H54">
            <v>25</v>
          </cell>
          <cell r="I54">
            <v>1779</v>
          </cell>
          <cell r="K54">
            <v>8713</v>
          </cell>
          <cell r="L54">
            <v>0</v>
          </cell>
        </row>
        <row r="55">
          <cell r="A55">
            <v>2000</v>
          </cell>
          <cell r="C55" t="str">
            <v>DC: FOC accommodation</v>
          </cell>
          <cell r="D55">
            <v>14172</v>
          </cell>
          <cell r="H55">
            <v>29</v>
          </cell>
          <cell r="I55">
            <v>12000</v>
          </cell>
          <cell r="K55">
            <v>26172</v>
          </cell>
          <cell r="L55">
            <v>0</v>
          </cell>
        </row>
        <row r="56">
          <cell r="A56">
            <v>2000</v>
          </cell>
          <cell r="B56">
            <v>236010</v>
          </cell>
          <cell r="C56" t="str">
            <v>DC: Excursions</v>
          </cell>
          <cell r="D56">
            <v>60848</v>
          </cell>
          <cell r="F56">
            <v>18678</v>
          </cell>
          <cell r="G56">
            <v>0</v>
          </cell>
          <cell r="K56">
            <v>79526</v>
          </cell>
          <cell r="L56">
            <v>0</v>
          </cell>
        </row>
        <row r="57">
          <cell r="A57">
            <v>2000</v>
          </cell>
          <cell r="B57">
            <v>240010</v>
          </cell>
          <cell r="C57" t="str">
            <v>DC: Wages: Academic: Pe</v>
          </cell>
          <cell r="D57">
            <v>273626</v>
          </cell>
          <cell r="F57">
            <v>50451</v>
          </cell>
          <cell r="G57">
            <v>0</v>
          </cell>
          <cell r="K57">
            <v>324077</v>
          </cell>
          <cell r="L57">
            <v>0</v>
          </cell>
          <cell r="O57" t="str">
            <v>wages</v>
          </cell>
        </row>
        <row r="58">
          <cell r="A58">
            <v>2000</v>
          </cell>
          <cell r="B58">
            <v>244020</v>
          </cell>
          <cell r="C58" t="str">
            <v xml:space="preserve">DC: Wages: Academic: P/T      </v>
          </cell>
          <cell r="D58">
            <v>90262</v>
          </cell>
          <cell r="F58">
            <v>0</v>
          </cell>
          <cell r="G58">
            <v>0</v>
          </cell>
          <cell r="K58">
            <v>90262</v>
          </cell>
          <cell r="L58">
            <v>0</v>
          </cell>
          <cell r="O58" t="str">
            <v>wages</v>
          </cell>
        </row>
        <row r="59">
          <cell r="A59">
            <v>2000</v>
          </cell>
          <cell r="B59" t="str">
            <v>244055</v>
          </cell>
          <cell r="C59" t="str">
            <v>DC: Residential Salaries</v>
          </cell>
          <cell r="D59">
            <v>42109</v>
          </cell>
          <cell r="F59">
            <v>0</v>
          </cell>
          <cell r="G59">
            <v>0</v>
          </cell>
          <cell r="K59">
            <v>42109</v>
          </cell>
        </row>
        <row r="60">
          <cell r="A60">
            <v>2000</v>
          </cell>
          <cell r="B60">
            <v>248070</v>
          </cell>
          <cell r="C60" t="str">
            <v xml:space="preserve">DC: Wages: Leisure             </v>
          </cell>
          <cell r="D60">
            <v>84955</v>
          </cell>
          <cell r="F60">
            <v>31470</v>
          </cell>
          <cell r="G60">
            <v>0</v>
          </cell>
          <cell r="K60">
            <v>116425</v>
          </cell>
          <cell r="L60">
            <v>0</v>
          </cell>
          <cell r="O60" t="str">
            <v>wages</v>
          </cell>
        </row>
        <row r="61">
          <cell r="A61">
            <v>2000</v>
          </cell>
          <cell r="B61">
            <v>248080</v>
          </cell>
          <cell r="C61" t="str">
            <v>DC: Wages: Leisure: Co NI</v>
          </cell>
          <cell r="D61">
            <v>33727</v>
          </cell>
          <cell r="F61">
            <v>0</v>
          </cell>
          <cell r="G61">
            <v>0</v>
          </cell>
          <cell r="K61">
            <v>33727</v>
          </cell>
          <cell r="L61">
            <v>0</v>
          </cell>
          <cell r="O61" t="str">
            <v>wages</v>
          </cell>
        </row>
        <row r="62">
          <cell r="A62">
            <v>2000</v>
          </cell>
          <cell r="B62">
            <v>248170</v>
          </cell>
          <cell r="C62" t="str">
            <v xml:space="preserve">DC: Wages: Admin               </v>
          </cell>
          <cell r="F62">
            <v>0</v>
          </cell>
          <cell r="G62">
            <v>0</v>
          </cell>
          <cell r="K62">
            <v>0</v>
          </cell>
          <cell r="L62">
            <v>0</v>
          </cell>
          <cell r="O62" t="str">
            <v>wages</v>
          </cell>
        </row>
        <row r="63">
          <cell r="A63">
            <v>2000</v>
          </cell>
          <cell r="B63">
            <v>252010</v>
          </cell>
          <cell r="C63" t="str">
            <v xml:space="preserve">DC: Course Books               </v>
          </cell>
          <cell r="D63">
            <v>38329</v>
          </cell>
          <cell r="F63">
            <v>4000</v>
          </cell>
          <cell r="G63">
            <v>0</v>
          </cell>
          <cell r="H63" t="str">
            <v>6,7</v>
          </cell>
          <cell r="I63">
            <v>3428</v>
          </cell>
          <cell r="K63">
            <v>45757</v>
          </cell>
          <cell r="L63">
            <v>0</v>
          </cell>
        </row>
        <row r="64">
          <cell r="A64">
            <v>2000</v>
          </cell>
          <cell r="B64">
            <v>252060</v>
          </cell>
          <cell r="C64" t="str">
            <v>DC: Books for Re-sale</v>
          </cell>
          <cell r="F64">
            <v>0</v>
          </cell>
          <cell r="G64">
            <v>0</v>
          </cell>
          <cell r="K64">
            <v>0</v>
          </cell>
          <cell r="L64">
            <v>0</v>
          </cell>
        </row>
        <row r="65">
          <cell r="A65">
            <v>2000</v>
          </cell>
          <cell r="B65">
            <v>253010</v>
          </cell>
          <cell r="C65" t="str">
            <v>DC: Resources</v>
          </cell>
          <cell r="D65">
            <v>3057</v>
          </cell>
          <cell r="F65">
            <v>0</v>
          </cell>
          <cell r="G65">
            <v>0</v>
          </cell>
          <cell r="H65">
            <v>6</v>
          </cell>
          <cell r="I65">
            <v>15376</v>
          </cell>
          <cell r="K65">
            <v>18433</v>
          </cell>
          <cell r="L65">
            <v>0</v>
          </cell>
        </row>
        <row r="66">
          <cell r="A66">
            <v>2000</v>
          </cell>
          <cell r="B66">
            <v>256020</v>
          </cell>
          <cell r="C66" t="str">
            <v>DC: Teaching Material</v>
          </cell>
          <cell r="D66">
            <v>229</v>
          </cell>
          <cell r="F66">
            <v>0</v>
          </cell>
          <cell r="G66">
            <v>0</v>
          </cell>
          <cell r="K66">
            <v>229</v>
          </cell>
          <cell r="L66">
            <v>0</v>
          </cell>
        </row>
        <row r="67">
          <cell r="A67">
            <v>2000</v>
          </cell>
          <cell r="B67">
            <v>264010</v>
          </cell>
          <cell r="C67" t="str">
            <v>DC: Coach Hire: Trans</v>
          </cell>
          <cell r="D67">
            <v>14779</v>
          </cell>
          <cell r="F67">
            <v>21173</v>
          </cell>
          <cell r="G67">
            <v>0</v>
          </cell>
          <cell r="K67">
            <v>35952</v>
          </cell>
          <cell r="L67">
            <v>0</v>
          </cell>
        </row>
        <row r="68">
          <cell r="A68">
            <v>2000</v>
          </cell>
          <cell r="B68">
            <v>264110</v>
          </cell>
          <cell r="C68" t="str">
            <v>DC: Coach Hire: Transp</v>
          </cell>
          <cell r="D68">
            <v>2606</v>
          </cell>
          <cell r="F68">
            <v>0</v>
          </cell>
          <cell r="G68">
            <v>0</v>
          </cell>
          <cell r="K68">
            <v>2606</v>
          </cell>
          <cell r="L68">
            <v>0</v>
          </cell>
        </row>
        <row r="69">
          <cell r="A69">
            <v>2000</v>
          </cell>
          <cell r="B69">
            <v>268010</v>
          </cell>
          <cell r="C69" t="str">
            <v>DC: Taxis</v>
          </cell>
          <cell r="D69">
            <v>11150</v>
          </cell>
          <cell r="F69">
            <v>1500</v>
          </cell>
          <cell r="G69">
            <v>0</v>
          </cell>
          <cell r="K69">
            <v>12650</v>
          </cell>
          <cell r="L69">
            <v>0</v>
          </cell>
        </row>
        <row r="70">
          <cell r="A70">
            <v>2000</v>
          </cell>
          <cell r="B70">
            <v>276010</v>
          </cell>
          <cell r="C70" t="str">
            <v>DC: Activities</v>
          </cell>
          <cell r="D70">
            <v>5902</v>
          </cell>
          <cell r="F70">
            <v>1000</v>
          </cell>
          <cell r="G70">
            <v>0</v>
          </cell>
          <cell r="K70">
            <v>6902</v>
          </cell>
          <cell r="L70">
            <v>0</v>
          </cell>
        </row>
        <row r="71">
          <cell r="A71">
            <v>2000</v>
          </cell>
          <cell r="B71" t="str">
            <v>220055</v>
          </cell>
          <cell r="C71" t="str">
            <v>DC: Activities Residential</v>
          </cell>
          <cell r="D71">
            <v>94861</v>
          </cell>
          <cell r="F71">
            <v>13426</v>
          </cell>
          <cell r="G71">
            <v>0</v>
          </cell>
          <cell r="H71" t="str">
            <v>9,31</v>
          </cell>
          <cell r="I71">
            <v>10000</v>
          </cell>
          <cell r="J71">
            <v>5000</v>
          </cell>
          <cell r="K71">
            <v>113287</v>
          </cell>
          <cell r="L71">
            <v>0</v>
          </cell>
        </row>
        <row r="72">
          <cell r="A72">
            <v>2000</v>
          </cell>
          <cell r="B72">
            <v>277020</v>
          </cell>
          <cell r="C72" t="str">
            <v>DC: Training Partners</v>
          </cell>
          <cell r="D72">
            <v>1090</v>
          </cell>
          <cell r="F72">
            <v>0</v>
          </cell>
          <cell r="G72">
            <v>0</v>
          </cell>
          <cell r="K72">
            <v>1090</v>
          </cell>
          <cell r="L72">
            <v>0</v>
          </cell>
        </row>
        <row r="73">
          <cell r="A73">
            <v>2000</v>
          </cell>
          <cell r="B73">
            <v>284010</v>
          </cell>
          <cell r="C73" t="str">
            <v>DC: Exam Fees</v>
          </cell>
          <cell r="D73">
            <v>4439</v>
          </cell>
          <cell r="F73">
            <v>250</v>
          </cell>
          <cell r="G73">
            <v>0</v>
          </cell>
          <cell r="K73">
            <v>4689</v>
          </cell>
          <cell r="L73">
            <v>0</v>
          </cell>
        </row>
        <row r="74">
          <cell r="C74" t="str">
            <v>DC: Miscellenous KC</v>
          </cell>
          <cell r="H74">
            <v>31</v>
          </cell>
          <cell r="I74">
            <v>5000</v>
          </cell>
          <cell r="K74">
            <v>5000</v>
          </cell>
          <cell r="L74">
            <v>0</v>
          </cell>
        </row>
        <row r="75">
          <cell r="A75">
            <v>2000</v>
          </cell>
          <cell r="B75" t="str">
            <v>295010</v>
          </cell>
          <cell r="C75" t="str">
            <v>DC: Sundry Expenses</v>
          </cell>
          <cell r="D75">
            <v>1021</v>
          </cell>
          <cell r="K75">
            <v>1021</v>
          </cell>
          <cell r="L75">
            <v>0</v>
          </cell>
        </row>
        <row r="76">
          <cell r="F76">
            <v>0</v>
          </cell>
          <cell r="G76">
            <v>0</v>
          </cell>
          <cell r="K76">
            <v>0</v>
          </cell>
          <cell r="L76">
            <v>0</v>
          </cell>
        </row>
        <row r="77">
          <cell r="A77" t="str">
            <v>Overheads</v>
          </cell>
          <cell r="F77">
            <v>0</v>
          </cell>
          <cell r="G77">
            <v>0</v>
          </cell>
          <cell r="K77">
            <v>0</v>
          </cell>
          <cell r="L77">
            <v>0</v>
          </cell>
        </row>
        <row r="78">
          <cell r="A78">
            <v>3000</v>
          </cell>
          <cell r="B78">
            <v>302010</v>
          </cell>
          <cell r="C78" t="str">
            <v>OS: Teacher Training</v>
          </cell>
          <cell r="E78">
            <v>32007</v>
          </cell>
          <cell r="F78">
            <v>0</v>
          </cell>
          <cell r="G78">
            <v>0</v>
          </cell>
          <cell r="K78">
            <v>0</v>
          </cell>
          <cell r="L78">
            <v>32007</v>
          </cell>
        </row>
        <row r="79">
          <cell r="A79">
            <v>3000</v>
          </cell>
          <cell r="B79">
            <v>303050</v>
          </cell>
          <cell r="C79" t="str">
            <v>OS: Tuckshop: Pgn</v>
          </cell>
          <cell r="E79">
            <v>12961</v>
          </cell>
          <cell r="F79">
            <v>0</v>
          </cell>
          <cell r="G79">
            <v>0</v>
          </cell>
          <cell r="H79" t="str">
            <v>16,21</v>
          </cell>
          <cell r="J79">
            <v>4549</v>
          </cell>
          <cell r="K79">
            <v>0</v>
          </cell>
          <cell r="L79">
            <v>17510</v>
          </cell>
        </row>
        <row r="80">
          <cell r="A80">
            <v>3000</v>
          </cell>
          <cell r="B80">
            <v>303150</v>
          </cell>
          <cell r="C80" t="str">
            <v>OS: Tuckshop: Tqy</v>
          </cell>
          <cell r="E80">
            <v>3588</v>
          </cell>
          <cell r="F80">
            <v>0</v>
          </cell>
          <cell r="G80">
            <v>0</v>
          </cell>
          <cell r="H80" t="str">
            <v>16,21</v>
          </cell>
          <cell r="J80">
            <v>1512</v>
          </cell>
          <cell r="K80">
            <v>0</v>
          </cell>
          <cell r="L80">
            <v>5100</v>
          </cell>
        </row>
        <row r="81">
          <cell r="A81">
            <v>3000</v>
          </cell>
          <cell r="B81">
            <v>306040</v>
          </cell>
          <cell r="C81" t="str">
            <v>OS: Bookshop</v>
          </cell>
          <cell r="E81">
            <v>6874</v>
          </cell>
          <cell r="F81">
            <v>0</v>
          </cell>
          <cell r="G81">
            <v>0</v>
          </cell>
          <cell r="H81" t="str">
            <v>16,21</v>
          </cell>
          <cell r="J81">
            <v>1797</v>
          </cell>
          <cell r="K81">
            <v>0</v>
          </cell>
          <cell r="L81">
            <v>8671</v>
          </cell>
        </row>
        <row r="82">
          <cell r="A82">
            <v>3000</v>
          </cell>
          <cell r="B82">
            <v>309030</v>
          </cell>
          <cell r="C82" t="str">
            <v>OS: Reception</v>
          </cell>
          <cell r="E82">
            <v>527</v>
          </cell>
          <cell r="F82">
            <v>0</v>
          </cell>
          <cell r="G82">
            <v>0</v>
          </cell>
          <cell r="H82">
            <v>21</v>
          </cell>
          <cell r="J82">
            <v>84</v>
          </cell>
          <cell r="K82">
            <v>0</v>
          </cell>
          <cell r="L82">
            <v>611</v>
          </cell>
        </row>
        <row r="83">
          <cell r="A83">
            <v>3000</v>
          </cell>
          <cell r="B83">
            <v>310030</v>
          </cell>
          <cell r="C83" t="str">
            <v>OS: Promotional Produ</v>
          </cell>
          <cell r="E83">
            <v>1259</v>
          </cell>
          <cell r="F83">
            <v>0</v>
          </cell>
          <cell r="G83">
            <v>0</v>
          </cell>
          <cell r="H83">
            <v>21</v>
          </cell>
          <cell r="J83">
            <v>216</v>
          </cell>
          <cell r="K83">
            <v>0</v>
          </cell>
          <cell r="L83">
            <v>1475</v>
          </cell>
        </row>
        <row r="84">
          <cell r="A84">
            <v>3000</v>
          </cell>
          <cell r="B84">
            <v>312060</v>
          </cell>
          <cell r="C84" t="str">
            <v>OS: Vending Machines</v>
          </cell>
          <cell r="E84">
            <v>663</v>
          </cell>
          <cell r="F84">
            <v>0</v>
          </cell>
          <cell r="G84">
            <v>0</v>
          </cell>
          <cell r="H84">
            <v>21</v>
          </cell>
          <cell r="J84">
            <v>122</v>
          </cell>
          <cell r="K84">
            <v>0</v>
          </cell>
          <cell r="L84">
            <v>785</v>
          </cell>
        </row>
        <row r="85">
          <cell r="A85">
            <v>3000</v>
          </cell>
          <cell r="B85">
            <v>318080</v>
          </cell>
          <cell r="C85" t="str">
            <v>OS: Excursions</v>
          </cell>
          <cell r="E85">
            <v>4568</v>
          </cell>
          <cell r="F85">
            <v>0</v>
          </cell>
          <cell r="G85">
            <v>0</v>
          </cell>
          <cell r="H85">
            <v>21</v>
          </cell>
          <cell r="J85">
            <v>7779</v>
          </cell>
          <cell r="K85">
            <v>0</v>
          </cell>
          <cell r="L85">
            <v>12347</v>
          </cell>
        </row>
        <row r="86">
          <cell r="A86">
            <v>3000</v>
          </cell>
          <cell r="B86">
            <v>319010</v>
          </cell>
          <cell r="C86" t="str">
            <v>OS: Room Hire</v>
          </cell>
          <cell r="E86">
            <v>200</v>
          </cell>
          <cell r="F86">
            <v>0</v>
          </cell>
          <cell r="G86">
            <v>0</v>
          </cell>
          <cell r="K86">
            <v>0</v>
          </cell>
          <cell r="L86">
            <v>200</v>
          </cell>
        </row>
        <row r="87">
          <cell r="A87">
            <v>3000</v>
          </cell>
          <cell r="B87">
            <v>320510</v>
          </cell>
          <cell r="C87" t="str">
            <v>OS: FOREX</v>
          </cell>
          <cell r="E87">
            <v>8</v>
          </cell>
          <cell r="F87">
            <v>0</v>
          </cell>
          <cell r="G87">
            <v>0</v>
          </cell>
          <cell r="K87">
            <v>0</v>
          </cell>
          <cell r="L87">
            <v>8</v>
          </cell>
        </row>
        <row r="88">
          <cell r="A88">
            <v>3000</v>
          </cell>
          <cell r="B88">
            <v>324010</v>
          </cell>
          <cell r="C88" t="str">
            <v>OS: Telephone</v>
          </cell>
          <cell r="E88">
            <v>171</v>
          </cell>
          <cell r="F88">
            <v>0</v>
          </cell>
          <cell r="G88">
            <v>0</v>
          </cell>
          <cell r="H88">
            <v>21</v>
          </cell>
          <cell r="J88">
            <v>39</v>
          </cell>
          <cell r="K88">
            <v>0</v>
          </cell>
          <cell r="L88">
            <v>210</v>
          </cell>
        </row>
        <row r="89">
          <cell r="A89">
            <v>3000</v>
          </cell>
          <cell r="B89">
            <v>324510</v>
          </cell>
          <cell r="C89" t="str">
            <v>OS: Telephone Cards</v>
          </cell>
          <cell r="E89">
            <v>1112</v>
          </cell>
          <cell r="F89">
            <v>0</v>
          </cell>
          <cell r="G89">
            <v>0</v>
          </cell>
          <cell r="H89">
            <v>21</v>
          </cell>
          <cell r="J89">
            <v>241</v>
          </cell>
          <cell r="K89">
            <v>0</v>
          </cell>
          <cell r="L89">
            <v>1353</v>
          </cell>
        </row>
        <row r="90">
          <cell r="A90">
            <v>3000</v>
          </cell>
          <cell r="B90">
            <v>325010</v>
          </cell>
          <cell r="C90" t="str">
            <v>OS: National Express</v>
          </cell>
          <cell r="D90">
            <v>466</v>
          </cell>
          <cell r="F90">
            <v>0</v>
          </cell>
          <cell r="G90">
            <v>0</v>
          </cell>
          <cell r="H90" t="str">
            <v>21,25</v>
          </cell>
          <cell r="J90">
            <v>1908</v>
          </cell>
          <cell r="K90">
            <v>0</v>
          </cell>
          <cell r="L90">
            <v>1442</v>
          </cell>
        </row>
        <row r="91">
          <cell r="A91">
            <v>3000</v>
          </cell>
          <cell r="B91">
            <v>327010</v>
          </cell>
          <cell r="C91" t="str">
            <v>OS: C.F.O. Recharges</v>
          </cell>
          <cell r="E91">
            <v>36874</v>
          </cell>
          <cell r="F91">
            <v>0</v>
          </cell>
          <cell r="G91">
            <v>0</v>
          </cell>
          <cell r="H91" t="str">
            <v>14,30</v>
          </cell>
          <cell r="I91">
            <v>8950</v>
          </cell>
          <cell r="K91">
            <v>0</v>
          </cell>
          <cell r="L91">
            <v>27924</v>
          </cell>
        </row>
        <row r="92">
          <cell r="A92">
            <v>3000</v>
          </cell>
          <cell r="B92">
            <v>342580</v>
          </cell>
          <cell r="C92" t="str">
            <v>OS: Transport: Int</v>
          </cell>
          <cell r="E92">
            <v>1980</v>
          </cell>
          <cell r="F92">
            <v>0</v>
          </cell>
          <cell r="G92">
            <v>0</v>
          </cell>
          <cell r="K92">
            <v>0</v>
          </cell>
          <cell r="L92">
            <v>1980</v>
          </cell>
        </row>
        <row r="93">
          <cell r="A93">
            <v>3000</v>
          </cell>
          <cell r="B93">
            <v>343010</v>
          </cell>
          <cell r="C93" t="str">
            <v>OS: Interest Received</v>
          </cell>
          <cell r="E93">
            <v>151</v>
          </cell>
          <cell r="F93">
            <v>0</v>
          </cell>
          <cell r="G93">
            <v>0</v>
          </cell>
          <cell r="K93">
            <v>0</v>
          </cell>
          <cell r="L93">
            <v>151</v>
          </cell>
        </row>
        <row r="94">
          <cell r="A94">
            <v>3000</v>
          </cell>
          <cell r="B94">
            <v>345010</v>
          </cell>
          <cell r="C94" t="str">
            <v>OS: Sundry</v>
          </cell>
          <cell r="E94">
            <v>934</v>
          </cell>
          <cell r="F94">
            <v>0</v>
          </cell>
          <cell r="G94">
            <v>0</v>
          </cell>
          <cell r="K94">
            <v>0</v>
          </cell>
          <cell r="L94">
            <v>934</v>
          </cell>
        </row>
        <row r="95">
          <cell r="A95">
            <v>3500</v>
          </cell>
          <cell r="B95">
            <v>204050</v>
          </cell>
          <cell r="C95" t="str">
            <v>OC: Opening Stock: Tuckshop</v>
          </cell>
          <cell r="D95">
            <v>707</v>
          </cell>
          <cell r="F95">
            <v>0</v>
          </cell>
          <cell r="G95">
            <v>0</v>
          </cell>
          <cell r="K95">
            <v>707</v>
          </cell>
          <cell r="L95">
            <v>0</v>
          </cell>
        </row>
        <row r="96">
          <cell r="A96">
            <v>3500</v>
          </cell>
          <cell r="B96">
            <v>208050</v>
          </cell>
          <cell r="C96" t="str">
            <v>OC: Closing Stock: Tuckshop</v>
          </cell>
          <cell r="E96">
            <v>597</v>
          </cell>
          <cell r="F96">
            <v>0</v>
          </cell>
          <cell r="G96">
            <v>0</v>
          </cell>
          <cell r="K96">
            <v>0</v>
          </cell>
          <cell r="L96">
            <v>597</v>
          </cell>
        </row>
        <row r="97">
          <cell r="A97">
            <v>3500</v>
          </cell>
          <cell r="B97">
            <v>352050</v>
          </cell>
          <cell r="C97" t="str">
            <v>OC: Purchases: Tuckshop</v>
          </cell>
          <cell r="D97">
            <v>14478</v>
          </cell>
          <cell r="F97">
            <v>2621</v>
          </cell>
          <cell r="G97">
            <v>0</v>
          </cell>
          <cell r="H97" t="str">
            <v>7,16</v>
          </cell>
          <cell r="I97">
            <v>1031</v>
          </cell>
          <cell r="J97">
            <v>636</v>
          </cell>
          <cell r="K97">
            <v>17494</v>
          </cell>
          <cell r="L97">
            <v>0</v>
          </cell>
        </row>
        <row r="98">
          <cell r="A98">
            <v>3500</v>
          </cell>
          <cell r="B98">
            <v>352150</v>
          </cell>
          <cell r="C98" t="str">
            <v>OC: Tuckshop: Other Purchases</v>
          </cell>
          <cell r="D98">
            <v>47</v>
          </cell>
          <cell r="F98">
            <v>750</v>
          </cell>
          <cell r="G98">
            <v>0</v>
          </cell>
          <cell r="H98">
            <v>6</v>
          </cell>
          <cell r="I98">
            <v>207</v>
          </cell>
          <cell r="K98">
            <v>1004</v>
          </cell>
          <cell r="L98">
            <v>0</v>
          </cell>
        </row>
        <row r="99">
          <cell r="A99">
            <v>3500</v>
          </cell>
          <cell r="B99">
            <v>354040</v>
          </cell>
          <cell r="C99" t="str">
            <v>OC: Purchases: Bookshop</v>
          </cell>
          <cell r="D99">
            <v>7826</v>
          </cell>
          <cell r="F99">
            <v>10000</v>
          </cell>
          <cell r="G99">
            <v>0</v>
          </cell>
          <cell r="H99" t="str">
            <v>6,16</v>
          </cell>
          <cell r="I99">
            <v>1692</v>
          </cell>
          <cell r="K99">
            <v>19518</v>
          </cell>
          <cell r="L99">
            <v>0</v>
          </cell>
        </row>
        <row r="100">
          <cell r="A100">
            <v>3500</v>
          </cell>
          <cell r="B100">
            <v>357030</v>
          </cell>
          <cell r="C100" t="str">
            <v>OC: Purchases: Promot</v>
          </cell>
          <cell r="D100">
            <v>276</v>
          </cell>
          <cell r="F100">
            <v>0</v>
          </cell>
          <cell r="G100">
            <v>0</v>
          </cell>
          <cell r="K100">
            <v>276</v>
          </cell>
          <cell r="L100">
            <v>0</v>
          </cell>
        </row>
        <row r="101">
          <cell r="A101">
            <v>3500</v>
          </cell>
          <cell r="B101">
            <v>360050</v>
          </cell>
          <cell r="C101" t="str">
            <v>OC: Salaries: Tuckshop</v>
          </cell>
          <cell r="D101">
            <v>7963</v>
          </cell>
          <cell r="F101">
            <v>911</v>
          </cell>
          <cell r="G101">
            <v>0</v>
          </cell>
          <cell r="K101">
            <v>8874</v>
          </cell>
          <cell r="L101">
            <v>0</v>
          </cell>
          <cell r="O101" t="str">
            <v>wages</v>
          </cell>
        </row>
        <row r="102">
          <cell r="A102">
            <v>3500</v>
          </cell>
          <cell r="B102">
            <v>362040</v>
          </cell>
          <cell r="C102" t="str">
            <v>OC: Salaries: Bookshop</v>
          </cell>
          <cell r="D102">
            <v>3424</v>
          </cell>
          <cell r="F102">
            <v>296</v>
          </cell>
          <cell r="G102">
            <v>0</v>
          </cell>
          <cell r="K102">
            <v>3720</v>
          </cell>
          <cell r="L102">
            <v>0</v>
          </cell>
          <cell r="O102" t="str">
            <v>wages</v>
          </cell>
        </row>
        <row r="103">
          <cell r="A103">
            <v>3500</v>
          </cell>
          <cell r="B103">
            <v>364080</v>
          </cell>
          <cell r="C103" t="str">
            <v>OC: Salaries: Adult</v>
          </cell>
          <cell r="D103">
            <v>73321</v>
          </cell>
          <cell r="F103">
            <v>3160</v>
          </cell>
          <cell r="G103">
            <v>0</v>
          </cell>
          <cell r="K103">
            <v>76481</v>
          </cell>
          <cell r="L103">
            <v>0</v>
          </cell>
          <cell r="O103" t="str">
            <v>wages</v>
          </cell>
        </row>
        <row r="104">
          <cell r="A104">
            <v>3500</v>
          </cell>
          <cell r="B104">
            <v>366030</v>
          </cell>
          <cell r="C104" t="str">
            <v>OC: Salaries: Co NI</v>
          </cell>
          <cell r="D104">
            <v>4645</v>
          </cell>
          <cell r="F104">
            <v>0</v>
          </cell>
          <cell r="G104">
            <v>0</v>
          </cell>
          <cell r="K104">
            <v>4645</v>
          </cell>
          <cell r="L104">
            <v>0</v>
          </cell>
          <cell r="O104" t="str">
            <v>wages</v>
          </cell>
        </row>
        <row r="105">
          <cell r="A105">
            <v>3500</v>
          </cell>
          <cell r="B105">
            <v>366580</v>
          </cell>
          <cell r="C105" t="str">
            <v>OC: Trailer</v>
          </cell>
          <cell r="D105">
            <v>62</v>
          </cell>
          <cell r="F105">
            <v>0</v>
          </cell>
          <cell r="G105">
            <v>0</v>
          </cell>
          <cell r="K105">
            <v>62</v>
          </cell>
          <cell r="L105">
            <v>0</v>
          </cell>
        </row>
        <row r="106">
          <cell r="A106">
            <v>3500</v>
          </cell>
          <cell r="B106">
            <v>370580</v>
          </cell>
          <cell r="C106" t="str">
            <v>OC: W857 WOD: Insurance</v>
          </cell>
          <cell r="D106">
            <v>434</v>
          </cell>
          <cell r="F106">
            <v>0</v>
          </cell>
          <cell r="G106">
            <v>0</v>
          </cell>
          <cell r="K106">
            <v>434</v>
          </cell>
          <cell r="L106">
            <v>0</v>
          </cell>
          <cell r="O106" t="str">
            <v>insurance</v>
          </cell>
        </row>
        <row r="107">
          <cell r="A107">
            <v>3500</v>
          </cell>
          <cell r="B107">
            <v>370680</v>
          </cell>
          <cell r="C107" t="str">
            <v>OC: W857 WOD: Fuel</v>
          </cell>
          <cell r="D107">
            <v>2998</v>
          </cell>
          <cell r="F107">
            <v>1000</v>
          </cell>
          <cell r="G107">
            <v>0</v>
          </cell>
          <cell r="K107">
            <v>3998</v>
          </cell>
          <cell r="L107">
            <v>0</v>
          </cell>
          <cell r="O107" t="str">
            <v>motor vehicle exp</v>
          </cell>
        </row>
        <row r="108">
          <cell r="A108">
            <v>3500</v>
          </cell>
          <cell r="B108">
            <v>370780</v>
          </cell>
          <cell r="C108" t="str">
            <v>OC: W857 WOD: Repairs</v>
          </cell>
          <cell r="D108">
            <v>1552</v>
          </cell>
          <cell r="F108">
            <v>0</v>
          </cell>
          <cell r="G108">
            <v>0</v>
          </cell>
          <cell r="K108">
            <v>1552</v>
          </cell>
          <cell r="L108">
            <v>0</v>
          </cell>
          <cell r="O108" t="str">
            <v>repairs &amp; m'tnce</v>
          </cell>
        </row>
        <row r="109">
          <cell r="A109">
            <v>3500</v>
          </cell>
          <cell r="B109">
            <v>371280</v>
          </cell>
          <cell r="C109" t="str">
            <v>OC:M463 KFJ: Repairs</v>
          </cell>
          <cell r="D109">
            <v>454</v>
          </cell>
          <cell r="F109">
            <v>0</v>
          </cell>
          <cell r="G109">
            <v>0</v>
          </cell>
          <cell r="K109">
            <v>454</v>
          </cell>
          <cell r="L109">
            <v>0</v>
          </cell>
          <cell r="O109" t="str">
            <v>repairs &amp; m'tnce</v>
          </cell>
        </row>
        <row r="110">
          <cell r="A110">
            <v>3500</v>
          </cell>
          <cell r="B110">
            <v>371580</v>
          </cell>
          <cell r="C110" t="str">
            <v>OC: P649 BOD: Insuarance</v>
          </cell>
          <cell r="D110">
            <v>504</v>
          </cell>
          <cell r="F110">
            <v>0</v>
          </cell>
          <cell r="G110">
            <v>0</v>
          </cell>
          <cell r="K110">
            <v>504</v>
          </cell>
          <cell r="L110">
            <v>0</v>
          </cell>
          <cell r="O110" t="str">
            <v>insurance</v>
          </cell>
        </row>
        <row r="111">
          <cell r="A111">
            <v>3500</v>
          </cell>
          <cell r="B111">
            <v>371680</v>
          </cell>
          <cell r="C111" t="str">
            <v>OC: P649 BOD: Fuel</v>
          </cell>
          <cell r="D111">
            <v>340</v>
          </cell>
          <cell r="F111">
            <v>0</v>
          </cell>
          <cell r="G111">
            <v>0</v>
          </cell>
          <cell r="K111">
            <v>340</v>
          </cell>
          <cell r="L111">
            <v>0</v>
          </cell>
          <cell r="O111" t="str">
            <v>motor vehicle exp</v>
          </cell>
        </row>
        <row r="112">
          <cell r="A112">
            <v>3500</v>
          </cell>
          <cell r="B112">
            <v>371780</v>
          </cell>
          <cell r="C112" t="str">
            <v>OC: P649 BOD: Repairs</v>
          </cell>
          <cell r="D112">
            <v>1423</v>
          </cell>
          <cell r="F112">
            <v>0</v>
          </cell>
          <cell r="G112">
            <v>0</v>
          </cell>
          <cell r="K112">
            <v>1423</v>
          </cell>
          <cell r="L112">
            <v>0</v>
          </cell>
          <cell r="O112" t="str">
            <v>repairs &amp; m'tnce</v>
          </cell>
        </row>
        <row r="113">
          <cell r="A113">
            <v>3500</v>
          </cell>
          <cell r="B113">
            <v>372080</v>
          </cell>
          <cell r="C113" t="str">
            <v>OC: P308 CFJ: Insurance</v>
          </cell>
          <cell r="D113">
            <v>460</v>
          </cell>
          <cell r="F113">
            <v>0</v>
          </cell>
          <cell r="G113">
            <v>0</v>
          </cell>
          <cell r="K113">
            <v>460</v>
          </cell>
          <cell r="L113">
            <v>0</v>
          </cell>
          <cell r="O113" t="str">
            <v>insurance</v>
          </cell>
        </row>
        <row r="114">
          <cell r="A114">
            <v>3500</v>
          </cell>
          <cell r="B114">
            <v>372180</v>
          </cell>
          <cell r="C114" t="str">
            <v>OC: P308 CFJ: Fuel</v>
          </cell>
          <cell r="D114">
            <v>960</v>
          </cell>
          <cell r="F114">
            <v>0</v>
          </cell>
          <cell r="G114">
            <v>0</v>
          </cell>
          <cell r="K114">
            <v>960</v>
          </cell>
          <cell r="L114">
            <v>0</v>
          </cell>
          <cell r="O114" t="str">
            <v>motor vehicle exp</v>
          </cell>
        </row>
        <row r="115">
          <cell r="A115">
            <v>3500</v>
          </cell>
          <cell r="B115">
            <v>372280</v>
          </cell>
          <cell r="C115" t="str">
            <v>OC: P308 CFJ: Repairs</v>
          </cell>
          <cell r="D115">
            <v>2016</v>
          </cell>
          <cell r="F115">
            <v>0</v>
          </cell>
          <cell r="G115">
            <v>0</v>
          </cell>
          <cell r="K115">
            <v>2016</v>
          </cell>
          <cell r="L115">
            <v>0</v>
          </cell>
          <cell r="O115" t="str">
            <v>repairs &amp; m'tnce</v>
          </cell>
        </row>
        <row r="116">
          <cell r="A116">
            <v>3500</v>
          </cell>
          <cell r="B116">
            <v>372580</v>
          </cell>
          <cell r="C116" t="str">
            <v>OC: R693 RFJ: Insurance</v>
          </cell>
          <cell r="D116">
            <v>506</v>
          </cell>
          <cell r="F116">
            <v>0</v>
          </cell>
          <cell r="G116">
            <v>0</v>
          </cell>
          <cell r="K116">
            <v>506</v>
          </cell>
          <cell r="L116">
            <v>0</v>
          </cell>
          <cell r="O116" t="str">
            <v>insurance</v>
          </cell>
        </row>
        <row r="117">
          <cell r="A117">
            <v>3500</v>
          </cell>
          <cell r="B117">
            <v>372680</v>
          </cell>
          <cell r="C117" t="str">
            <v>OC: R693 RFJ: Fuel</v>
          </cell>
          <cell r="D117">
            <v>702</v>
          </cell>
          <cell r="F117">
            <v>0</v>
          </cell>
          <cell r="G117">
            <v>0</v>
          </cell>
          <cell r="K117">
            <v>702</v>
          </cell>
          <cell r="L117">
            <v>0</v>
          </cell>
          <cell r="O117" t="str">
            <v>motor vehicle exp</v>
          </cell>
        </row>
        <row r="118">
          <cell r="A118">
            <v>3500</v>
          </cell>
          <cell r="B118">
            <v>372780</v>
          </cell>
          <cell r="C118" t="str">
            <v>OC: R693 RFJ: Repairs</v>
          </cell>
          <cell r="D118">
            <v>937</v>
          </cell>
          <cell r="F118">
            <v>0</v>
          </cell>
          <cell r="G118">
            <v>0</v>
          </cell>
          <cell r="K118">
            <v>937</v>
          </cell>
          <cell r="L118">
            <v>0</v>
          </cell>
          <cell r="O118" t="str">
            <v>repairs &amp; m'tnce</v>
          </cell>
        </row>
        <row r="119">
          <cell r="A119">
            <v>3500</v>
          </cell>
          <cell r="B119">
            <v>382030</v>
          </cell>
          <cell r="C119" t="str">
            <v>OC: Theatre Tickets</v>
          </cell>
          <cell r="D119">
            <v>54</v>
          </cell>
          <cell r="F119">
            <v>0</v>
          </cell>
          <cell r="G119">
            <v>0</v>
          </cell>
          <cell r="K119">
            <v>54</v>
          </cell>
          <cell r="L119">
            <v>0</v>
          </cell>
        </row>
        <row r="120">
          <cell r="A120">
            <v>3500</v>
          </cell>
          <cell r="B120">
            <v>384080</v>
          </cell>
          <cell r="C120" t="str">
            <v>OC: Excursions</v>
          </cell>
          <cell r="D120">
            <v>8770</v>
          </cell>
          <cell r="F120">
            <v>0</v>
          </cell>
          <cell r="G120">
            <v>0</v>
          </cell>
          <cell r="K120">
            <v>8770</v>
          </cell>
          <cell r="L120">
            <v>0</v>
          </cell>
        </row>
        <row r="121">
          <cell r="A121">
            <v>3500</v>
          </cell>
          <cell r="B121">
            <v>386050</v>
          </cell>
          <cell r="C121" t="str">
            <v>OC: Wastage: Tuckshop</v>
          </cell>
          <cell r="D121">
            <v>40</v>
          </cell>
          <cell r="F121">
            <v>0</v>
          </cell>
          <cell r="G121">
            <v>0</v>
          </cell>
          <cell r="K121">
            <v>40</v>
          </cell>
          <cell r="L121">
            <v>0</v>
          </cell>
        </row>
        <row r="122">
          <cell r="A122">
            <v>3500</v>
          </cell>
          <cell r="B122">
            <v>392060</v>
          </cell>
          <cell r="C122" t="str">
            <v>OC: Vending Machine R</v>
          </cell>
          <cell r="D122">
            <v>702</v>
          </cell>
          <cell r="F122">
            <v>0</v>
          </cell>
          <cell r="G122">
            <v>0</v>
          </cell>
          <cell r="H122">
            <v>17</v>
          </cell>
          <cell r="I122">
            <v>412</v>
          </cell>
          <cell r="K122">
            <v>1114</v>
          </cell>
          <cell r="L122">
            <v>0</v>
          </cell>
        </row>
        <row r="123">
          <cell r="A123">
            <v>3500</v>
          </cell>
          <cell r="B123">
            <v>394080</v>
          </cell>
          <cell r="C123" t="str">
            <v>OC: CPC Checks</v>
          </cell>
          <cell r="D123">
            <v>606</v>
          </cell>
          <cell r="F123">
            <v>0</v>
          </cell>
          <cell r="G123">
            <v>0</v>
          </cell>
          <cell r="K123">
            <v>606</v>
          </cell>
          <cell r="L123">
            <v>0</v>
          </cell>
          <cell r="O123" t="str">
            <v>sundry</v>
          </cell>
        </row>
        <row r="124">
          <cell r="A124">
            <v>3500</v>
          </cell>
          <cell r="B124">
            <v>398010</v>
          </cell>
          <cell r="C124" t="str">
            <v>OC: Sundry Expenses</v>
          </cell>
          <cell r="D124">
            <v>1054</v>
          </cell>
          <cell r="F124">
            <v>0</v>
          </cell>
          <cell r="G124">
            <v>0</v>
          </cell>
          <cell r="K124">
            <v>1054</v>
          </cell>
          <cell r="L124">
            <v>0</v>
          </cell>
          <cell r="O124" t="str">
            <v>sundry</v>
          </cell>
        </row>
      </sheetData>
      <sheetData sheetId="3" refreshError="1">
        <row r="1">
          <cell r="A1" t="str">
            <v>LAL Language Centre (Torbay) Ltd</v>
          </cell>
          <cell r="G1" t="str">
            <v/>
          </cell>
        </row>
        <row r="3">
          <cell r="A3" t="str">
            <v>A/c No</v>
          </cell>
          <cell r="C3" t="str">
            <v>ACCOUNT NAME</v>
          </cell>
          <cell r="D3" t="str">
            <v>DETAILS</v>
          </cell>
          <cell r="F3" t="str">
            <v/>
          </cell>
          <cell r="G3" t="str">
            <v>NET AMOUNT</v>
          </cell>
          <cell r="I3" t="str">
            <v>6300 PREPAYMENTS</v>
          </cell>
          <cell r="J3" t="str">
            <v>7250     ACCRUAL</v>
          </cell>
        </row>
        <row r="5">
          <cell r="A5" t="str">
            <v>Sales</v>
          </cell>
        </row>
        <row r="7">
          <cell r="A7">
            <v>1000</v>
          </cell>
          <cell r="B7">
            <v>105010</v>
          </cell>
          <cell r="C7" t="str">
            <v>SALES: Tuition: Main</v>
          </cell>
        </row>
        <row r="10">
          <cell r="A10">
            <v>1000</v>
          </cell>
          <cell r="B10">
            <v>105410</v>
          </cell>
          <cell r="C10" t="str">
            <v>SALES: Tuition: Cambr</v>
          </cell>
        </row>
        <row r="13">
          <cell r="A13">
            <v>1000</v>
          </cell>
          <cell r="B13">
            <v>105610</v>
          </cell>
          <cell r="C13" t="str">
            <v>SALES: Tuition: Priva</v>
          </cell>
        </row>
        <row r="16">
          <cell r="A16">
            <v>1000</v>
          </cell>
          <cell r="B16">
            <v>105810</v>
          </cell>
          <cell r="C16" t="str">
            <v>SALES: Abiturkurs</v>
          </cell>
          <cell r="F16">
            <v>0</v>
          </cell>
          <cell r="G16">
            <v>0</v>
          </cell>
        </row>
        <row r="19">
          <cell r="A19">
            <v>1000</v>
          </cell>
          <cell r="B19">
            <v>105910</v>
          </cell>
          <cell r="C19" t="str">
            <v>SALES: Tuition: Busin</v>
          </cell>
        </row>
        <row r="22">
          <cell r="A22">
            <v>1000</v>
          </cell>
          <cell r="B22">
            <v>106010</v>
          </cell>
          <cell r="C22" t="str">
            <v>SALES: Academic Year</v>
          </cell>
        </row>
        <row r="25">
          <cell r="A25">
            <v>1000</v>
          </cell>
          <cell r="B25">
            <v>106110</v>
          </cell>
          <cell r="C25" t="str">
            <v>SALES: General Englis</v>
          </cell>
        </row>
        <row r="28">
          <cell r="A28">
            <v>1000</v>
          </cell>
          <cell r="C28" t="str">
            <v>SALES: General English PLUS</v>
          </cell>
        </row>
        <row r="31">
          <cell r="A31">
            <v>1000</v>
          </cell>
          <cell r="C31" t="str">
            <v>SALES: Mini Group Torquay</v>
          </cell>
        </row>
        <row r="34">
          <cell r="A34">
            <v>1000</v>
          </cell>
          <cell r="C34" t="str">
            <v>SALES: Teenager Course Torquay</v>
          </cell>
        </row>
        <row r="37">
          <cell r="A37">
            <v>1000</v>
          </cell>
          <cell r="C37" t="str">
            <v>SALES: Teenager Course w/Activity Torquay</v>
          </cell>
        </row>
        <row r="40">
          <cell r="A40">
            <v>1000</v>
          </cell>
          <cell r="C40" t="str">
            <v>SALES: Junior Course Torquay</v>
          </cell>
        </row>
        <row r="43">
          <cell r="A43">
            <v>1000</v>
          </cell>
          <cell r="C43" t="str">
            <v>SALES: Teenager Course Paington</v>
          </cell>
        </row>
        <row r="46">
          <cell r="A46">
            <v>1000</v>
          </cell>
          <cell r="C46" t="str">
            <v>SALES: Teenager Course q/Activity Torquay</v>
          </cell>
        </row>
        <row r="49">
          <cell r="A49">
            <v>1000</v>
          </cell>
          <cell r="C49" t="str">
            <v>SALES: Junior Course Paington</v>
          </cell>
        </row>
        <row r="52">
          <cell r="A52">
            <v>1000</v>
          </cell>
          <cell r="B52">
            <v>110010</v>
          </cell>
          <cell r="C52" t="str">
            <v>SALES: Parties</v>
          </cell>
        </row>
        <row r="55">
          <cell r="A55">
            <v>1000</v>
          </cell>
          <cell r="B55">
            <v>115010</v>
          </cell>
          <cell r="C55" t="str">
            <v>SALES: Junior Suppliment</v>
          </cell>
        </row>
        <row r="58">
          <cell r="A58">
            <v>1000</v>
          </cell>
          <cell r="B58">
            <v>120010</v>
          </cell>
          <cell r="C58" t="str">
            <v>SALES: Activities</v>
          </cell>
        </row>
        <row r="61">
          <cell r="A61">
            <v>1000</v>
          </cell>
          <cell r="B61">
            <v>125010</v>
          </cell>
          <cell r="C61" t="str">
            <v>SALES: Accommodation: Hotels HLH</v>
          </cell>
        </row>
        <row r="64">
          <cell r="A64">
            <v>1000</v>
          </cell>
          <cell r="B64">
            <v>127010</v>
          </cell>
          <cell r="C64" t="str">
            <v>SALES: Matilda House</v>
          </cell>
        </row>
        <row r="67">
          <cell r="A67">
            <v>1000</v>
          </cell>
          <cell r="B67">
            <v>130010</v>
          </cell>
          <cell r="C67" t="str">
            <v>SALES: Accommodation: Hotel</v>
          </cell>
        </row>
        <row r="70">
          <cell r="A70">
            <v>1000</v>
          </cell>
          <cell r="B70">
            <v>135010</v>
          </cell>
          <cell r="C70" t="str">
            <v>SALES: Accommodation: Host Family</v>
          </cell>
        </row>
        <row r="73">
          <cell r="A73">
            <v>1000</v>
          </cell>
          <cell r="B73">
            <v>140010</v>
          </cell>
          <cell r="C73" t="str">
            <v>SALES: Transfers</v>
          </cell>
        </row>
        <row r="76">
          <cell r="A76">
            <v>1000</v>
          </cell>
          <cell r="B76">
            <v>145010</v>
          </cell>
          <cell r="C76" t="str">
            <v>SALES: Excursions</v>
          </cell>
        </row>
        <row r="79">
          <cell r="A79">
            <v>1000</v>
          </cell>
          <cell r="B79">
            <v>155010</v>
          </cell>
          <cell r="C79" t="str">
            <v>SALES: Course Books/M</v>
          </cell>
        </row>
        <row r="82">
          <cell r="A82">
            <v>1000</v>
          </cell>
          <cell r="B82">
            <v>190010</v>
          </cell>
          <cell r="C82" t="str">
            <v>SALES: Examination Fee</v>
          </cell>
        </row>
        <row r="85">
          <cell r="A85">
            <v>1000</v>
          </cell>
          <cell r="B85">
            <v>195010</v>
          </cell>
          <cell r="C85" t="str">
            <v>SALES: Discounts Allo</v>
          </cell>
        </row>
        <row r="88">
          <cell r="A88" t="str">
            <v>Direct Costs</v>
          </cell>
        </row>
        <row r="90">
          <cell r="A90">
            <v>2000</v>
          </cell>
          <cell r="B90">
            <v>204010</v>
          </cell>
          <cell r="C90" t="str">
            <v>DC: Opening Stock</v>
          </cell>
        </row>
        <row r="93">
          <cell r="A93">
            <v>2000</v>
          </cell>
          <cell r="B93">
            <v>208010</v>
          </cell>
          <cell r="C93" t="str">
            <v>DC: Closing Stock</v>
          </cell>
        </row>
        <row r="96">
          <cell r="A96">
            <v>2000</v>
          </cell>
          <cell r="B96">
            <v>211010</v>
          </cell>
          <cell r="C96" t="str">
            <v>DC: Matilda House</v>
          </cell>
          <cell r="D96" t="str">
            <v>Deferred income on Matilda house</v>
          </cell>
          <cell r="G96">
            <v>310</v>
          </cell>
          <cell r="I96">
            <v>310</v>
          </cell>
        </row>
        <row r="101">
          <cell r="A101">
            <v>2000</v>
          </cell>
          <cell r="B101">
            <v>212010</v>
          </cell>
          <cell r="C101" t="str">
            <v>DC: Accommodation: HLH</v>
          </cell>
          <cell r="J101">
            <v>0</v>
          </cell>
        </row>
        <row r="106">
          <cell r="A106">
            <v>2000</v>
          </cell>
          <cell r="B106">
            <v>216010</v>
          </cell>
          <cell r="C106" t="str">
            <v>DC: Accommodation: Hotels</v>
          </cell>
          <cell r="D106" t="str">
            <v>Wynncroft Hotel</v>
          </cell>
          <cell r="F106">
            <v>273</v>
          </cell>
          <cell r="G106">
            <v>24345</v>
          </cell>
          <cell r="J106">
            <v>24345</v>
          </cell>
        </row>
        <row r="107">
          <cell r="D107" t="str">
            <v>Summerhill Hotel</v>
          </cell>
          <cell r="E107">
            <v>144</v>
          </cell>
          <cell r="F107">
            <v>602</v>
          </cell>
        </row>
        <row r="108">
          <cell r="D108" t="str">
            <v>Summerhill Hotel</v>
          </cell>
          <cell r="E108">
            <v>143</v>
          </cell>
          <cell r="F108">
            <v>412</v>
          </cell>
        </row>
        <row r="109">
          <cell r="D109" t="str">
            <v>Summerhill Hotel</v>
          </cell>
          <cell r="E109">
            <v>142</v>
          </cell>
          <cell r="F109">
            <v>412</v>
          </cell>
        </row>
        <row r="110">
          <cell r="D110" t="str">
            <v>Summerhill Hotel</v>
          </cell>
          <cell r="E110">
            <v>141</v>
          </cell>
          <cell r="F110">
            <v>412</v>
          </cell>
        </row>
        <row r="111">
          <cell r="D111" t="str">
            <v>Summerhill Hotel</v>
          </cell>
          <cell r="E111">
            <v>140</v>
          </cell>
          <cell r="F111">
            <v>209</v>
          </cell>
        </row>
        <row r="112">
          <cell r="D112" t="str">
            <v>Summerhill Hotel</v>
          </cell>
          <cell r="E112">
            <v>139</v>
          </cell>
          <cell r="F112">
            <v>615</v>
          </cell>
        </row>
        <row r="113">
          <cell r="D113" t="str">
            <v>Summerhill Hotel</v>
          </cell>
          <cell r="E113">
            <v>133</v>
          </cell>
          <cell r="F113">
            <v>217</v>
          </cell>
        </row>
        <row r="114">
          <cell r="D114" t="str">
            <v>Summerhill Hotel</v>
          </cell>
          <cell r="E114">
            <v>134</v>
          </cell>
          <cell r="F114">
            <v>426</v>
          </cell>
        </row>
        <row r="115">
          <cell r="D115" t="str">
            <v>Summerhill Hotel</v>
          </cell>
          <cell r="E115">
            <v>135</v>
          </cell>
          <cell r="F115">
            <v>860</v>
          </cell>
        </row>
        <row r="116">
          <cell r="D116" t="str">
            <v>Summerhill Hotel</v>
          </cell>
          <cell r="F116">
            <v>852</v>
          </cell>
        </row>
        <row r="117">
          <cell r="D117" t="str">
            <v>Summerhill Hotel</v>
          </cell>
          <cell r="E117">
            <v>137</v>
          </cell>
          <cell r="F117">
            <v>426</v>
          </cell>
        </row>
        <row r="118">
          <cell r="D118" t="str">
            <v>Summerhill Hotel</v>
          </cell>
          <cell r="E118">
            <v>138</v>
          </cell>
          <cell r="F118">
            <v>629</v>
          </cell>
        </row>
        <row r="119">
          <cell r="D119" t="str">
            <v>Other assumed</v>
          </cell>
          <cell r="F119">
            <v>18000</v>
          </cell>
        </row>
        <row r="121">
          <cell r="A121">
            <v>2000</v>
          </cell>
          <cell r="B121">
            <v>220010</v>
          </cell>
          <cell r="C121" t="str">
            <v>DC: Accommodation: Host Family</v>
          </cell>
          <cell r="D121" t="str">
            <v>Accrual from 29-31 August</v>
          </cell>
          <cell r="G121">
            <v>5337</v>
          </cell>
          <cell r="J121">
            <v>5337</v>
          </cell>
        </row>
        <row r="124">
          <cell r="A124">
            <v>2000</v>
          </cell>
          <cell r="B124">
            <v>220055</v>
          </cell>
          <cell r="C124" t="str">
            <v>DC: Accommodation: Residence</v>
          </cell>
          <cell r="D124" t="str">
            <v>Inv 808</v>
          </cell>
          <cell r="F124">
            <v>10164</v>
          </cell>
          <cell r="G124">
            <v>31979</v>
          </cell>
          <cell r="J124">
            <v>31979</v>
          </cell>
        </row>
        <row r="125">
          <cell r="D125" t="str">
            <v>Inv 816</v>
          </cell>
          <cell r="F125">
            <v>10926</v>
          </cell>
        </row>
        <row r="126">
          <cell r="D126" t="str">
            <v>Inv 813</v>
          </cell>
          <cell r="F126">
            <v>6861</v>
          </cell>
        </row>
        <row r="127">
          <cell r="D127" t="str">
            <v>Inv 814</v>
          </cell>
          <cell r="F127">
            <v>1894</v>
          </cell>
        </row>
        <row r="128">
          <cell r="D128" t="str">
            <v>Inv 815</v>
          </cell>
          <cell r="F128">
            <v>2134</v>
          </cell>
        </row>
        <row r="130">
          <cell r="A130">
            <v>2000</v>
          </cell>
          <cell r="B130">
            <v>222055</v>
          </cell>
          <cell r="C130" t="str">
            <v>DC: Residential Education</v>
          </cell>
        </row>
        <row r="133">
          <cell r="A133">
            <v>2000</v>
          </cell>
          <cell r="B133">
            <v>223010</v>
          </cell>
          <cell r="C133" t="str">
            <v>DC: Lunches</v>
          </cell>
        </row>
        <row r="136">
          <cell r="A136">
            <v>2000</v>
          </cell>
          <cell r="B136">
            <v>228110</v>
          </cell>
          <cell r="C136" t="str">
            <v>DC: Transfers: Adults</v>
          </cell>
          <cell r="D136" t="str">
            <v>Orcharrd Transport</v>
          </cell>
          <cell r="E136" t="str">
            <v>InvTLC220804</v>
          </cell>
          <cell r="F136">
            <v>150</v>
          </cell>
          <cell r="G136">
            <v>7750</v>
          </cell>
          <cell r="J136">
            <v>7750</v>
          </cell>
        </row>
        <row r="137">
          <cell r="D137" t="str">
            <v>Target Travel</v>
          </cell>
          <cell r="E137" t="str">
            <v>InvBD/827/04</v>
          </cell>
          <cell r="F137">
            <v>2600</v>
          </cell>
        </row>
        <row r="138">
          <cell r="D138" t="str">
            <v>Assumed</v>
          </cell>
          <cell r="F138">
            <v>5000</v>
          </cell>
        </row>
        <row r="142">
          <cell r="A142">
            <v>2000</v>
          </cell>
          <cell r="B142">
            <v>229010</v>
          </cell>
          <cell r="C142" t="str">
            <v>DC: Meet &amp; Greet</v>
          </cell>
          <cell r="D142" t="str">
            <v>Assumed</v>
          </cell>
          <cell r="F142">
            <v>1500</v>
          </cell>
          <cell r="G142">
            <v>1500</v>
          </cell>
          <cell r="J142">
            <v>1500</v>
          </cell>
        </row>
        <row r="145">
          <cell r="A145">
            <v>2000</v>
          </cell>
          <cell r="B145">
            <v>230010</v>
          </cell>
          <cell r="C145" t="str">
            <v>DC: National Express</v>
          </cell>
          <cell r="D145" t="str">
            <v>Assumed</v>
          </cell>
          <cell r="F145">
            <v>500</v>
          </cell>
          <cell r="G145">
            <v>500</v>
          </cell>
          <cell r="J145">
            <v>500</v>
          </cell>
        </row>
        <row r="148">
          <cell r="A148">
            <v>2000</v>
          </cell>
          <cell r="B148">
            <v>236010</v>
          </cell>
          <cell r="C148" t="str">
            <v>DC: Excursions</v>
          </cell>
          <cell r="D148" t="str">
            <v>Beggars Banquet</v>
          </cell>
          <cell r="E148" t="str">
            <v>INV7972</v>
          </cell>
          <cell r="F148">
            <v>11.04</v>
          </cell>
          <cell r="G148">
            <v>18678.04</v>
          </cell>
          <cell r="J148">
            <v>18678.04</v>
          </cell>
        </row>
        <row r="149">
          <cell r="D149" t="str">
            <v>Beggars Banquet</v>
          </cell>
          <cell r="E149" t="str">
            <v>INV7971</v>
          </cell>
          <cell r="F149">
            <v>235</v>
          </cell>
        </row>
        <row r="150">
          <cell r="D150" t="str">
            <v>Kents Caverns</v>
          </cell>
          <cell r="E150" t="str">
            <v>INV04/133</v>
          </cell>
          <cell r="F150">
            <v>630</v>
          </cell>
        </row>
        <row r="151">
          <cell r="D151" t="str">
            <v>Kents Caverns</v>
          </cell>
          <cell r="E151" t="str">
            <v>INV04/138</v>
          </cell>
          <cell r="F151">
            <v>717</v>
          </cell>
        </row>
        <row r="152">
          <cell r="D152" t="str">
            <v>AMF Bowling</v>
          </cell>
          <cell r="E152" t="str">
            <v>INV150/I01016</v>
          </cell>
          <cell r="F152">
            <v>302</v>
          </cell>
        </row>
        <row r="153">
          <cell r="D153" t="str">
            <v>AMF Bowling</v>
          </cell>
          <cell r="E153" t="str">
            <v>INV150/I01026</v>
          </cell>
          <cell r="F153">
            <v>221</v>
          </cell>
        </row>
        <row r="154">
          <cell r="D154" t="str">
            <v>Riviera International</v>
          </cell>
          <cell r="E154" t="str">
            <v>Inv08976</v>
          </cell>
          <cell r="F154">
            <v>52</v>
          </cell>
        </row>
        <row r="155">
          <cell r="D155" t="str">
            <v>Riviera International</v>
          </cell>
          <cell r="E155" t="str">
            <v>Inv08965</v>
          </cell>
          <cell r="F155">
            <v>92</v>
          </cell>
        </row>
        <row r="156">
          <cell r="D156" t="str">
            <v>Woodlands</v>
          </cell>
          <cell r="E156" t="str">
            <v>Inv1165</v>
          </cell>
          <cell r="F156">
            <v>328</v>
          </cell>
        </row>
        <row r="157">
          <cell r="D157" t="str">
            <v>Woodlands</v>
          </cell>
          <cell r="E157" t="str">
            <v>Inv1187</v>
          </cell>
          <cell r="F157">
            <v>146</v>
          </cell>
        </row>
        <row r="158">
          <cell r="D158" t="str">
            <v>VISA exp</v>
          </cell>
          <cell r="F158">
            <v>944</v>
          </cell>
        </row>
        <row r="159">
          <cell r="D159" t="str">
            <v>Assumed</v>
          </cell>
          <cell r="F159">
            <v>15000</v>
          </cell>
        </row>
        <row r="161">
          <cell r="A161">
            <v>2000</v>
          </cell>
          <cell r="B161">
            <v>240010</v>
          </cell>
          <cell r="C161" t="str">
            <v>DC: Wages: Academic: Pe</v>
          </cell>
          <cell r="D161" t="str">
            <v>FT untaken leave</v>
          </cell>
          <cell r="F161">
            <v>4722</v>
          </cell>
          <cell r="G161">
            <v>50451</v>
          </cell>
          <cell r="J161">
            <v>50451</v>
          </cell>
        </row>
        <row r="162">
          <cell r="D162" t="str">
            <v>PT untaken leave</v>
          </cell>
          <cell r="F162">
            <v>17650</v>
          </cell>
        </row>
        <row r="163">
          <cell r="D163" t="str">
            <v>Wage accrual</v>
          </cell>
          <cell r="F163">
            <v>28079</v>
          </cell>
        </row>
        <row r="165">
          <cell r="A165">
            <v>2000</v>
          </cell>
          <cell r="B165">
            <v>244020</v>
          </cell>
          <cell r="C165" t="str">
            <v xml:space="preserve">DC: Wages: Academic: P/T      </v>
          </cell>
        </row>
        <row r="167">
          <cell r="A167">
            <v>2000</v>
          </cell>
          <cell r="B167" t="str">
            <v>244055</v>
          </cell>
          <cell r="C167" t="str">
            <v>DC: Residential Salaries</v>
          </cell>
          <cell r="G167">
            <v>0</v>
          </cell>
          <cell r="J167">
            <v>0</v>
          </cell>
        </row>
        <row r="169">
          <cell r="A169">
            <v>2000</v>
          </cell>
          <cell r="B169">
            <v>248070</v>
          </cell>
          <cell r="C169" t="str">
            <v xml:space="preserve">DC: Wages: Leisure             </v>
          </cell>
          <cell r="D169" t="str">
            <v>FT untaken leave</v>
          </cell>
          <cell r="F169">
            <v>2317</v>
          </cell>
          <cell r="G169">
            <v>31470</v>
          </cell>
          <cell r="J169">
            <v>31470</v>
          </cell>
        </row>
        <row r="170">
          <cell r="D170" t="str">
            <v>PT untaken leave</v>
          </cell>
          <cell r="F170">
            <v>11252</v>
          </cell>
        </row>
        <row r="171">
          <cell r="D171" t="str">
            <v>Wage accrual</v>
          </cell>
          <cell r="F171">
            <v>17901</v>
          </cell>
        </row>
        <row r="173">
          <cell r="A173">
            <v>2000</v>
          </cell>
          <cell r="B173">
            <v>248080</v>
          </cell>
          <cell r="C173" t="str">
            <v>DC: Wages: Leisure: Co NI</v>
          </cell>
        </row>
        <row r="176">
          <cell r="A176">
            <v>2000</v>
          </cell>
          <cell r="B176">
            <v>248170</v>
          </cell>
          <cell r="C176" t="str">
            <v xml:space="preserve">DC: Wages: Admin               </v>
          </cell>
        </row>
        <row r="179">
          <cell r="A179">
            <v>2000</v>
          </cell>
          <cell r="B179">
            <v>252010</v>
          </cell>
          <cell r="C179" t="str">
            <v xml:space="preserve">DC: Course Books               </v>
          </cell>
          <cell r="D179" t="str">
            <v>Assumed</v>
          </cell>
          <cell r="F179">
            <v>4000</v>
          </cell>
          <cell r="G179">
            <v>4000</v>
          </cell>
          <cell r="J179">
            <v>4000</v>
          </cell>
        </row>
        <row r="182">
          <cell r="A182">
            <v>2000</v>
          </cell>
          <cell r="B182">
            <v>252060</v>
          </cell>
          <cell r="C182" t="str">
            <v>DC: Books for Re-sale</v>
          </cell>
        </row>
        <row r="185">
          <cell r="A185">
            <v>2000</v>
          </cell>
          <cell r="B185">
            <v>253010</v>
          </cell>
          <cell r="C185" t="str">
            <v>DC: Resources</v>
          </cell>
          <cell r="J185">
            <v>0</v>
          </cell>
        </row>
        <row r="188">
          <cell r="A188">
            <v>2000</v>
          </cell>
          <cell r="B188">
            <v>256020</v>
          </cell>
          <cell r="C188" t="str">
            <v>DC: Teaching Material</v>
          </cell>
        </row>
        <row r="191">
          <cell r="A191">
            <v>2000</v>
          </cell>
          <cell r="B191">
            <v>264010</v>
          </cell>
          <cell r="C191" t="str">
            <v>DC: Coach Hire: Trans</v>
          </cell>
          <cell r="D191" t="str">
            <v>Millmans Coaches</v>
          </cell>
          <cell r="F191">
            <v>325</v>
          </cell>
          <cell r="G191">
            <v>21173</v>
          </cell>
          <cell r="J191">
            <v>21173</v>
          </cell>
        </row>
        <row r="192">
          <cell r="D192" t="str">
            <v>Town &amp; Country</v>
          </cell>
          <cell r="E192" t="str">
            <v>Inv1726</v>
          </cell>
          <cell r="F192">
            <v>5225</v>
          </cell>
        </row>
        <row r="193">
          <cell r="D193" t="str">
            <v>Town &amp; Country</v>
          </cell>
          <cell r="E193" t="str">
            <v>Inv1739</v>
          </cell>
          <cell r="F193">
            <v>907</v>
          </cell>
        </row>
        <row r="194">
          <cell r="D194" t="str">
            <v>Town &amp; Country</v>
          </cell>
          <cell r="E194" t="str">
            <v>Inv1744</v>
          </cell>
          <cell r="F194">
            <v>1064</v>
          </cell>
        </row>
        <row r="195">
          <cell r="D195" t="str">
            <v>Town &amp; Country</v>
          </cell>
          <cell r="E195" t="str">
            <v>Inv1714</v>
          </cell>
          <cell r="F195">
            <v>695</v>
          </cell>
        </row>
        <row r="196">
          <cell r="D196" t="str">
            <v>Town &amp; Country</v>
          </cell>
          <cell r="E196" t="str">
            <v>Inv1719</v>
          </cell>
          <cell r="F196">
            <v>328</v>
          </cell>
        </row>
        <row r="197">
          <cell r="D197" t="str">
            <v>Town &amp; Country</v>
          </cell>
          <cell r="E197" t="str">
            <v>Inv1720</v>
          </cell>
          <cell r="F197">
            <v>886</v>
          </cell>
        </row>
        <row r="198">
          <cell r="D198" t="str">
            <v>Town &amp; Country</v>
          </cell>
          <cell r="E198" t="str">
            <v>Inv1724</v>
          </cell>
          <cell r="F198">
            <v>5112</v>
          </cell>
        </row>
        <row r="199">
          <cell r="D199" t="str">
            <v>Town &amp; Country</v>
          </cell>
          <cell r="E199" t="str">
            <v>Inv1730</v>
          </cell>
          <cell r="F199">
            <v>1631</v>
          </cell>
        </row>
        <row r="200">
          <cell r="D200" t="str">
            <v>Assumed</v>
          </cell>
          <cell r="F200">
            <v>5000</v>
          </cell>
        </row>
        <row r="202">
          <cell r="A202">
            <v>2000</v>
          </cell>
          <cell r="B202">
            <v>264110</v>
          </cell>
          <cell r="C202" t="str">
            <v>DC: Coach Hire: Transp</v>
          </cell>
        </row>
        <row r="205">
          <cell r="A205">
            <v>2000</v>
          </cell>
          <cell r="B205">
            <v>268010</v>
          </cell>
          <cell r="C205" t="str">
            <v>DC: Taxis</v>
          </cell>
          <cell r="D205" t="str">
            <v>Assumed</v>
          </cell>
          <cell r="F205">
            <v>1500</v>
          </cell>
          <cell r="G205">
            <v>1500</v>
          </cell>
          <cell r="J205">
            <v>1500</v>
          </cell>
        </row>
        <row r="210">
          <cell r="A210">
            <v>2000</v>
          </cell>
          <cell r="B210">
            <v>276010</v>
          </cell>
          <cell r="C210" t="str">
            <v>DC: Activities</v>
          </cell>
          <cell r="D210" t="str">
            <v>Assumed</v>
          </cell>
          <cell r="F210">
            <v>1000</v>
          </cell>
          <cell r="G210">
            <v>1000</v>
          </cell>
          <cell r="J210">
            <v>1000</v>
          </cell>
        </row>
        <row r="213">
          <cell r="A213">
            <v>2000</v>
          </cell>
          <cell r="B213" t="str">
            <v>220055</v>
          </cell>
          <cell r="C213" t="str">
            <v>DC: Activities Residential</v>
          </cell>
          <cell r="D213" t="str">
            <v>Refer to workings</v>
          </cell>
          <cell r="F213">
            <v>10926</v>
          </cell>
          <cell r="G213">
            <v>13426</v>
          </cell>
          <cell r="J213">
            <v>13426</v>
          </cell>
        </row>
        <row r="214">
          <cell r="D214" t="str">
            <v>Additional costs (group leader, lunches, etc)</v>
          </cell>
          <cell r="F214">
            <v>2500</v>
          </cell>
        </row>
        <row r="216">
          <cell r="A216">
            <v>2000</v>
          </cell>
          <cell r="B216">
            <v>277020</v>
          </cell>
          <cell r="C216" t="str">
            <v>DC: Training Partners</v>
          </cell>
        </row>
        <row r="219">
          <cell r="A219">
            <v>2000</v>
          </cell>
          <cell r="B219">
            <v>284010</v>
          </cell>
          <cell r="C219" t="str">
            <v>DC: Exam Fees</v>
          </cell>
          <cell r="D219" t="str">
            <v>Assumed</v>
          </cell>
          <cell r="F219">
            <v>250</v>
          </cell>
          <cell r="G219">
            <v>250</v>
          </cell>
          <cell r="J219">
            <v>250</v>
          </cell>
        </row>
        <row r="222">
          <cell r="A222" t="str">
            <v>Direct Overheads</v>
          </cell>
        </row>
        <row r="224">
          <cell r="A224">
            <v>3000</v>
          </cell>
          <cell r="B224">
            <v>302010</v>
          </cell>
          <cell r="C224" t="str">
            <v>OS: Teacher Training</v>
          </cell>
        </row>
        <row r="227">
          <cell r="A227">
            <v>3000</v>
          </cell>
          <cell r="B227">
            <v>303050</v>
          </cell>
          <cell r="C227" t="str">
            <v>OS: Tuckshop: Pgn</v>
          </cell>
        </row>
        <row r="230">
          <cell r="A230">
            <v>3000</v>
          </cell>
          <cell r="B230">
            <v>303150</v>
          </cell>
          <cell r="C230" t="str">
            <v>OS: Tuckshop: Tqy</v>
          </cell>
        </row>
        <row r="233">
          <cell r="A233">
            <v>3000</v>
          </cell>
          <cell r="B233">
            <v>306040</v>
          </cell>
          <cell r="C233" t="str">
            <v>OS: Bookshop</v>
          </cell>
        </row>
        <row r="236">
          <cell r="A236">
            <v>3000</v>
          </cell>
          <cell r="B236">
            <v>309030</v>
          </cell>
          <cell r="C236" t="str">
            <v>OS: Reception</v>
          </cell>
        </row>
        <row r="239">
          <cell r="A239">
            <v>3000</v>
          </cell>
          <cell r="B239">
            <v>310030</v>
          </cell>
          <cell r="C239" t="str">
            <v>OS: Promotional Produ</v>
          </cell>
        </row>
        <row r="242">
          <cell r="A242">
            <v>3000</v>
          </cell>
          <cell r="B242">
            <v>312060</v>
          </cell>
          <cell r="C242" t="str">
            <v>OS: Vending Machines</v>
          </cell>
        </row>
        <row r="245">
          <cell r="A245">
            <v>3000</v>
          </cell>
          <cell r="B245">
            <v>318080</v>
          </cell>
          <cell r="C245" t="str">
            <v>OS: Excursions</v>
          </cell>
        </row>
        <row r="248">
          <cell r="A248">
            <v>3000</v>
          </cell>
          <cell r="B248">
            <v>319010</v>
          </cell>
          <cell r="C248" t="str">
            <v>OS: Room Hire</v>
          </cell>
        </row>
        <row r="251">
          <cell r="A251">
            <v>3000</v>
          </cell>
          <cell r="B251">
            <v>320510</v>
          </cell>
          <cell r="C251" t="str">
            <v>OS: FOREX</v>
          </cell>
        </row>
        <row r="254">
          <cell r="A254">
            <v>3000</v>
          </cell>
          <cell r="B254">
            <v>324010</v>
          </cell>
          <cell r="C254" t="str">
            <v>OS: Telephone</v>
          </cell>
        </row>
        <row r="257">
          <cell r="A257">
            <v>3000</v>
          </cell>
          <cell r="B257">
            <v>324510</v>
          </cell>
          <cell r="C257" t="str">
            <v>OS: Telephone Cards</v>
          </cell>
        </row>
        <row r="260">
          <cell r="A260">
            <v>3000</v>
          </cell>
          <cell r="B260">
            <v>325010</v>
          </cell>
          <cell r="C260" t="str">
            <v>OS: National Express</v>
          </cell>
        </row>
        <row r="263">
          <cell r="A263">
            <v>3000</v>
          </cell>
          <cell r="B263">
            <v>327010</v>
          </cell>
          <cell r="C263" t="str">
            <v>OS: C.F.O. Recharges</v>
          </cell>
        </row>
        <row r="266">
          <cell r="A266">
            <v>3000</v>
          </cell>
          <cell r="B266">
            <v>342580</v>
          </cell>
          <cell r="C266" t="str">
            <v>OS: Transport: Int</v>
          </cell>
        </row>
        <row r="269">
          <cell r="A269">
            <v>3000</v>
          </cell>
          <cell r="B269">
            <v>343010</v>
          </cell>
          <cell r="C269" t="str">
            <v>OS: Interest Received</v>
          </cell>
        </row>
        <row r="272">
          <cell r="A272">
            <v>3000</v>
          </cell>
          <cell r="B272">
            <v>345010</v>
          </cell>
          <cell r="C272" t="str">
            <v>OS: Sundry</v>
          </cell>
        </row>
        <row r="275">
          <cell r="A275">
            <v>3500</v>
          </cell>
          <cell r="B275">
            <v>204050</v>
          </cell>
          <cell r="C275" t="str">
            <v>OC: Opening Stock: Tuckshop</v>
          </cell>
        </row>
        <row r="278">
          <cell r="A278">
            <v>3500</v>
          </cell>
          <cell r="B278">
            <v>208050</v>
          </cell>
          <cell r="C278" t="str">
            <v>OC: Closing Stock: Tuckshop</v>
          </cell>
        </row>
        <row r="281">
          <cell r="A281">
            <v>3500</v>
          </cell>
          <cell r="B281">
            <v>352050</v>
          </cell>
          <cell r="C281" t="str">
            <v>OC: Purchases: Tuckshop</v>
          </cell>
          <cell r="D281" t="str">
            <v>MJ Baker</v>
          </cell>
          <cell r="E281" t="str">
            <v>INV003134</v>
          </cell>
          <cell r="F281">
            <v>104</v>
          </cell>
          <cell r="G281">
            <v>2621</v>
          </cell>
          <cell r="J281">
            <v>2621</v>
          </cell>
        </row>
        <row r="282">
          <cell r="D282" t="str">
            <v>Ron Dewdney</v>
          </cell>
          <cell r="E282" t="str">
            <v>INV138186</v>
          </cell>
          <cell r="F282">
            <v>17</v>
          </cell>
        </row>
        <row r="283">
          <cell r="D283" t="str">
            <v>Assumed</v>
          </cell>
          <cell r="F283">
            <v>2500</v>
          </cell>
        </row>
        <row r="287">
          <cell r="A287">
            <v>3500</v>
          </cell>
          <cell r="B287">
            <v>352150</v>
          </cell>
          <cell r="C287" t="str">
            <v>OC: Tuckshop: Other Purchases</v>
          </cell>
          <cell r="D287" t="str">
            <v>Assumed</v>
          </cell>
          <cell r="F287">
            <v>750</v>
          </cell>
          <cell r="G287">
            <v>750</v>
          </cell>
          <cell r="J287">
            <v>750</v>
          </cell>
        </row>
        <row r="290">
          <cell r="A290">
            <v>3500</v>
          </cell>
          <cell r="B290">
            <v>354040</v>
          </cell>
          <cell r="C290" t="str">
            <v>OC: Purchases: Bookshop</v>
          </cell>
          <cell r="D290" t="str">
            <v>Assumed</v>
          </cell>
          <cell r="F290">
            <v>10000</v>
          </cell>
          <cell r="G290">
            <v>10000</v>
          </cell>
          <cell r="J290">
            <v>10000</v>
          </cell>
        </row>
        <row r="293">
          <cell r="A293">
            <v>3500</v>
          </cell>
          <cell r="B293">
            <v>357030</v>
          </cell>
          <cell r="C293" t="str">
            <v>OC: Purchases: Promot</v>
          </cell>
        </row>
        <row r="296">
          <cell r="A296">
            <v>3500</v>
          </cell>
          <cell r="B296">
            <v>360050</v>
          </cell>
          <cell r="C296" t="str">
            <v>OC: Salaries: Tuckshop</v>
          </cell>
          <cell r="D296" t="str">
            <v>FT untaken leave</v>
          </cell>
          <cell r="F296">
            <v>471</v>
          </cell>
          <cell r="G296">
            <v>911</v>
          </cell>
          <cell r="J296">
            <v>911</v>
          </cell>
        </row>
        <row r="297">
          <cell r="D297" t="str">
            <v>PT untaken leave</v>
          </cell>
          <cell r="F297">
            <v>170</v>
          </cell>
        </row>
        <row r="298">
          <cell r="D298" t="str">
            <v>Wage accrual</v>
          </cell>
          <cell r="F298">
            <v>270</v>
          </cell>
        </row>
        <row r="300">
          <cell r="A300">
            <v>3500</v>
          </cell>
          <cell r="B300">
            <v>362040</v>
          </cell>
          <cell r="C300" t="str">
            <v>OC: Salaries: Bookshop</v>
          </cell>
          <cell r="D300" t="str">
            <v>FT untaken leave</v>
          </cell>
          <cell r="F300">
            <v>296</v>
          </cell>
          <cell r="G300">
            <v>296</v>
          </cell>
          <cell r="J300">
            <v>296</v>
          </cell>
        </row>
        <row r="303">
          <cell r="A303">
            <v>3500</v>
          </cell>
          <cell r="B303">
            <v>364080</v>
          </cell>
          <cell r="C303" t="str">
            <v>OC: Salaries: Adult</v>
          </cell>
          <cell r="D303" t="str">
            <v>FT untaken leave</v>
          </cell>
          <cell r="F303">
            <v>968</v>
          </cell>
          <cell r="G303">
            <v>3160</v>
          </cell>
          <cell r="J303">
            <v>3160</v>
          </cell>
        </row>
        <row r="304">
          <cell r="D304" t="str">
            <v>PT untaken leave</v>
          </cell>
          <cell r="F304">
            <v>846</v>
          </cell>
        </row>
        <row r="305">
          <cell r="D305" t="str">
            <v>Wage accrual</v>
          </cell>
          <cell r="F305">
            <v>1346</v>
          </cell>
        </row>
        <row r="307">
          <cell r="A307">
            <v>3500</v>
          </cell>
          <cell r="B307">
            <v>366030</v>
          </cell>
          <cell r="C307" t="str">
            <v>OC: Salaries: Co NI</v>
          </cell>
        </row>
        <row r="310">
          <cell r="A310">
            <v>3500</v>
          </cell>
          <cell r="B310">
            <v>366580</v>
          </cell>
          <cell r="C310" t="str">
            <v>OC: Trailer</v>
          </cell>
        </row>
        <row r="313">
          <cell r="A313">
            <v>3500</v>
          </cell>
          <cell r="B313">
            <v>370580</v>
          </cell>
          <cell r="C313" t="str">
            <v>OC: W857 WOD: Insurance</v>
          </cell>
        </row>
        <row r="316">
          <cell r="A316">
            <v>3500</v>
          </cell>
          <cell r="B316">
            <v>370680</v>
          </cell>
          <cell r="C316" t="str">
            <v>OC: W857 WOD: Fuel</v>
          </cell>
          <cell r="D316" t="str">
            <v>Assumed</v>
          </cell>
          <cell r="F316">
            <v>1000</v>
          </cell>
          <cell r="G316">
            <v>1000</v>
          </cell>
          <cell r="J316">
            <v>1000</v>
          </cell>
        </row>
        <row r="319">
          <cell r="A319">
            <v>3500</v>
          </cell>
          <cell r="B319">
            <v>370780</v>
          </cell>
          <cell r="C319" t="str">
            <v>OC: W857 WOD: Repairs</v>
          </cell>
        </row>
        <row r="322">
          <cell r="A322">
            <v>3500</v>
          </cell>
          <cell r="B322">
            <v>371280</v>
          </cell>
          <cell r="C322" t="str">
            <v>OC:M463 KFJ: Repairs</v>
          </cell>
        </row>
        <row r="325">
          <cell r="A325">
            <v>3500</v>
          </cell>
          <cell r="B325">
            <v>371580</v>
          </cell>
          <cell r="C325" t="str">
            <v>OC: P649 BOD: Insuarance</v>
          </cell>
        </row>
        <row r="328">
          <cell r="A328">
            <v>3500</v>
          </cell>
          <cell r="B328">
            <v>371680</v>
          </cell>
          <cell r="C328" t="str">
            <v>OC: P649 BOD: Fuel</v>
          </cell>
        </row>
        <row r="331">
          <cell r="A331">
            <v>3500</v>
          </cell>
          <cell r="B331">
            <v>371780</v>
          </cell>
          <cell r="C331" t="str">
            <v>OC: P649 BOD: Repairs</v>
          </cell>
        </row>
        <row r="334">
          <cell r="A334">
            <v>3500</v>
          </cell>
          <cell r="B334">
            <v>372080</v>
          </cell>
          <cell r="C334" t="str">
            <v>OC: P308 CFJ: Insurance</v>
          </cell>
        </row>
        <row r="337">
          <cell r="A337">
            <v>3500</v>
          </cell>
          <cell r="B337">
            <v>372180</v>
          </cell>
          <cell r="C337" t="str">
            <v>OC: P308 CFJ: Fuel</v>
          </cell>
        </row>
        <row r="340">
          <cell r="A340">
            <v>3500</v>
          </cell>
          <cell r="B340">
            <v>372280</v>
          </cell>
          <cell r="C340" t="str">
            <v>OC: P308 CFJ: Repairs</v>
          </cell>
        </row>
        <row r="343">
          <cell r="A343">
            <v>3500</v>
          </cell>
          <cell r="B343">
            <v>372580</v>
          </cell>
          <cell r="C343" t="str">
            <v>OC: R693 RFJ: Insurance</v>
          </cell>
        </row>
        <row r="346">
          <cell r="A346">
            <v>3500</v>
          </cell>
          <cell r="B346">
            <v>372680</v>
          </cell>
          <cell r="C346" t="str">
            <v>OC: R693 RFJ: Fuel</v>
          </cell>
        </row>
        <row r="349">
          <cell r="A349">
            <v>3500</v>
          </cell>
          <cell r="B349">
            <v>372780</v>
          </cell>
          <cell r="C349" t="str">
            <v>OC: R693 RFJ: Repairs</v>
          </cell>
        </row>
        <row r="352">
          <cell r="A352">
            <v>3500</v>
          </cell>
          <cell r="B352">
            <v>382030</v>
          </cell>
          <cell r="C352" t="str">
            <v>OC: Theatre Tickets</v>
          </cell>
        </row>
        <row r="355">
          <cell r="A355">
            <v>3500</v>
          </cell>
          <cell r="B355">
            <v>384080</v>
          </cell>
          <cell r="C355" t="str">
            <v>OC: Excursions</v>
          </cell>
        </row>
        <row r="358">
          <cell r="A358">
            <v>3500</v>
          </cell>
          <cell r="B358">
            <v>386050</v>
          </cell>
          <cell r="C358" t="str">
            <v>OC: Wastage: Tuckshop</v>
          </cell>
        </row>
        <row r="361">
          <cell r="A361">
            <v>3500</v>
          </cell>
          <cell r="B361">
            <v>392060</v>
          </cell>
          <cell r="C361" t="str">
            <v>OC: Vending Machine R</v>
          </cell>
        </row>
        <row r="364">
          <cell r="A364">
            <v>3500</v>
          </cell>
          <cell r="B364">
            <v>394080</v>
          </cell>
          <cell r="C364" t="str">
            <v>OC: CPC Checks</v>
          </cell>
        </row>
        <row r="367">
          <cell r="A367">
            <v>3500</v>
          </cell>
          <cell r="B367">
            <v>398010</v>
          </cell>
          <cell r="C367" t="str">
            <v>OC: Sundry Expenses</v>
          </cell>
        </row>
        <row r="370">
          <cell r="A370" t="str">
            <v>Indirect Overheads</v>
          </cell>
        </row>
        <row r="372">
          <cell r="A372">
            <v>4000</v>
          </cell>
          <cell r="B372">
            <v>405010</v>
          </cell>
          <cell r="C372" t="str">
            <v>EC: Rates</v>
          </cell>
          <cell r="D372" t="str">
            <v>Last amount invoiced £26676 covered period from April 04 to</v>
          </cell>
          <cell r="F372">
            <v>13340</v>
          </cell>
          <cell r="G372">
            <v>13340</v>
          </cell>
          <cell r="I372">
            <v>13340</v>
          </cell>
        </row>
        <row r="373">
          <cell r="D373" t="str">
            <v>Jan 05 (ie £2668 per month)</v>
          </cell>
        </row>
        <row r="374">
          <cell r="D374" t="str">
            <v>Prepayment a Augy = 5 months @2668</v>
          </cell>
        </row>
        <row r="376">
          <cell r="A376">
            <v>4000</v>
          </cell>
          <cell r="B376">
            <v>405070</v>
          </cell>
          <cell r="C376" t="str">
            <v>EC: Rates: C/C</v>
          </cell>
          <cell r="D376" t="str">
            <v>Rates for CC included in above prepayment calculation</v>
          </cell>
          <cell r="J376">
            <v>0</v>
          </cell>
        </row>
        <row r="379">
          <cell r="A379">
            <v>4000</v>
          </cell>
          <cell r="B379">
            <v>410010</v>
          </cell>
          <cell r="C379" t="str">
            <v>EC: Light &amp; Heat</v>
          </cell>
          <cell r="D379" t="str">
            <v>SWEB 16/4 - 16/7</v>
          </cell>
          <cell r="E379" t="str">
            <v>Inv</v>
          </cell>
          <cell r="F379">
            <v>535</v>
          </cell>
          <cell r="G379">
            <v>1505.8902877697842</v>
          </cell>
          <cell r="J379">
            <v>1505.8902877697842</v>
          </cell>
        </row>
        <row r="380">
          <cell r="D380" t="str">
            <v>Accrual 17/7 - 31/8</v>
          </cell>
          <cell r="F380">
            <v>401.25</v>
          </cell>
        </row>
        <row r="381">
          <cell r="D381" t="str">
            <v>British Gas 9/3 - 26/7</v>
          </cell>
          <cell r="F381">
            <v>55</v>
          </cell>
        </row>
        <row r="382">
          <cell r="D382" t="str">
            <v>Accrual 26/7 - 31/8</v>
          </cell>
          <cell r="F382">
            <v>14.640287769784171</v>
          </cell>
        </row>
        <row r="383">
          <cell r="D383" t="str">
            <v>Assumed</v>
          </cell>
          <cell r="F383">
            <v>500</v>
          </cell>
        </row>
        <row r="385">
          <cell r="A385">
            <v>4000</v>
          </cell>
          <cell r="B385">
            <v>410070</v>
          </cell>
          <cell r="C385" t="str">
            <v>EC: Light &amp; Heat: C/C</v>
          </cell>
          <cell r="J385">
            <v>0</v>
          </cell>
        </row>
        <row r="388">
          <cell r="A388">
            <v>4000</v>
          </cell>
          <cell r="B388">
            <v>410090</v>
          </cell>
          <cell r="C388" t="str">
            <v>EC: Light &amp; Heat: B/H</v>
          </cell>
        </row>
        <row r="391">
          <cell r="A391">
            <v>4000</v>
          </cell>
          <cell r="B391">
            <v>415010</v>
          </cell>
          <cell r="C391" t="str">
            <v>EC: Insurances</v>
          </cell>
          <cell r="D391" t="str">
            <v>AON</v>
          </cell>
          <cell r="E391" t="str">
            <v>CN806480</v>
          </cell>
          <cell r="F391">
            <v>-823</v>
          </cell>
          <cell r="G391">
            <v>-823</v>
          </cell>
          <cell r="J391">
            <v>-823</v>
          </cell>
        </row>
        <row r="394">
          <cell r="A394">
            <v>4000</v>
          </cell>
          <cell r="B394">
            <v>415070</v>
          </cell>
          <cell r="C394" t="str">
            <v>EC: Insurances: Castle</v>
          </cell>
        </row>
        <row r="397">
          <cell r="A397">
            <v>4000</v>
          </cell>
          <cell r="B397">
            <v>415170</v>
          </cell>
          <cell r="C397" t="str">
            <v>EC: Service Charge: C</v>
          </cell>
        </row>
        <row r="400">
          <cell r="A400">
            <v>4000</v>
          </cell>
          <cell r="B400">
            <v>415270</v>
          </cell>
          <cell r="C400" t="str">
            <v>EC: Rent: Castle Cham</v>
          </cell>
          <cell r="D400" t="str">
            <v>Rent accrual as per Gary up to March £10,800</v>
          </cell>
          <cell r="F400">
            <v>10800</v>
          </cell>
          <cell r="G400">
            <v>14000</v>
          </cell>
          <cell r="J400">
            <v>14000</v>
          </cell>
        </row>
        <row r="401">
          <cell r="D401" t="str">
            <v>Rent accrual being added each month by Gary - £800</v>
          </cell>
        </row>
        <row r="402">
          <cell r="D402" t="str">
            <v>Accrual April - July</v>
          </cell>
          <cell r="F402">
            <v>3200</v>
          </cell>
        </row>
        <row r="404">
          <cell r="A404">
            <v>4000</v>
          </cell>
          <cell r="B404">
            <v>420010</v>
          </cell>
          <cell r="C404" t="str">
            <v>EC: Waste Disposal</v>
          </cell>
        </row>
        <row r="407">
          <cell r="A407">
            <v>4000</v>
          </cell>
          <cell r="B407">
            <v>420070</v>
          </cell>
          <cell r="C407" t="str">
            <v>EC: Renewals: C/C</v>
          </cell>
        </row>
        <row r="410">
          <cell r="A410">
            <v>4000</v>
          </cell>
          <cell r="B410">
            <v>420170</v>
          </cell>
          <cell r="C410" t="str">
            <v>EC: Waste Disposal: C</v>
          </cell>
          <cell r="D410" t="str">
            <v>Assumed</v>
          </cell>
          <cell r="F410">
            <v>500</v>
          </cell>
          <cell r="G410">
            <v>500</v>
          </cell>
          <cell r="J410">
            <v>500</v>
          </cell>
        </row>
        <row r="413">
          <cell r="A413">
            <v>4000</v>
          </cell>
          <cell r="B413">
            <v>425010</v>
          </cell>
          <cell r="C413" t="str">
            <v>EC: Repairs &amp; Mainten</v>
          </cell>
          <cell r="D413" t="str">
            <v>Assumed</v>
          </cell>
          <cell r="F413">
            <v>1000</v>
          </cell>
          <cell r="G413">
            <v>1000</v>
          </cell>
          <cell r="J413">
            <v>1000</v>
          </cell>
        </row>
        <row r="416">
          <cell r="A416">
            <v>4000</v>
          </cell>
          <cell r="B416">
            <v>425070</v>
          </cell>
          <cell r="C416" t="str">
            <v>EC: Repairs &amp; Maintent</v>
          </cell>
        </row>
        <row r="419">
          <cell r="A419">
            <v>4000</v>
          </cell>
          <cell r="B419">
            <v>426010</v>
          </cell>
          <cell r="C419" t="str">
            <v>EC: Gardening</v>
          </cell>
        </row>
        <row r="422">
          <cell r="A422">
            <v>4000</v>
          </cell>
          <cell r="B422">
            <v>430010</v>
          </cell>
          <cell r="C422" t="str">
            <v>EC: Depreciation</v>
          </cell>
        </row>
        <row r="425">
          <cell r="A425">
            <v>4000</v>
          </cell>
          <cell r="B425">
            <v>435010</v>
          </cell>
          <cell r="C425" t="str">
            <v>EC: Hire of Equipment</v>
          </cell>
          <cell r="D425" t="str">
            <v>Assumed</v>
          </cell>
          <cell r="F425">
            <v>1000</v>
          </cell>
          <cell r="G425">
            <v>1000</v>
          </cell>
          <cell r="J425">
            <v>1000</v>
          </cell>
        </row>
        <row r="428">
          <cell r="A428">
            <v>4000</v>
          </cell>
          <cell r="B428">
            <v>435070</v>
          </cell>
          <cell r="C428" t="str">
            <v>EC: Hire of Equipment2</v>
          </cell>
        </row>
        <row r="431">
          <cell r="A431">
            <v>4000</v>
          </cell>
          <cell r="B431">
            <v>442510</v>
          </cell>
          <cell r="C431" t="str">
            <v>EC: Salaries</v>
          </cell>
          <cell r="D431" t="str">
            <v>FT untaken leave</v>
          </cell>
          <cell r="F431">
            <v>663</v>
          </cell>
          <cell r="G431">
            <v>1160</v>
          </cell>
          <cell r="J431">
            <v>1160</v>
          </cell>
        </row>
        <row r="432">
          <cell r="D432" t="str">
            <v>PT untaken leave</v>
          </cell>
          <cell r="F432">
            <v>192</v>
          </cell>
        </row>
        <row r="433">
          <cell r="D433" t="str">
            <v>Wage accrual</v>
          </cell>
          <cell r="F433">
            <v>305</v>
          </cell>
        </row>
        <row r="435">
          <cell r="A435">
            <v>4000</v>
          </cell>
          <cell r="B435">
            <v>445010</v>
          </cell>
          <cell r="C435" t="str">
            <v>EC: Sundry Expenses</v>
          </cell>
        </row>
        <row r="438">
          <cell r="A438">
            <v>4500</v>
          </cell>
          <cell r="B438">
            <v>452210</v>
          </cell>
          <cell r="C438" t="str">
            <v>SM: Comlimentary Dri</v>
          </cell>
        </row>
        <row r="441">
          <cell r="A441">
            <v>4500</v>
          </cell>
          <cell r="B441">
            <v>452310</v>
          </cell>
          <cell r="C441" t="str">
            <v>SM: Lunches for Foreign</v>
          </cell>
        </row>
        <row r="444">
          <cell r="A444">
            <v>4500</v>
          </cell>
          <cell r="B444">
            <v>452410</v>
          </cell>
          <cell r="C444" t="str">
            <v>SM: Brochure Contribution</v>
          </cell>
        </row>
        <row r="447">
          <cell r="A447">
            <v>4500</v>
          </cell>
          <cell r="B447">
            <v>453510</v>
          </cell>
          <cell r="C447" t="str">
            <v>SM: Subscriptions</v>
          </cell>
          <cell r="D447" t="str">
            <v>Assumed</v>
          </cell>
          <cell r="F447">
            <v>2250</v>
          </cell>
          <cell r="G447">
            <v>2250</v>
          </cell>
          <cell r="J447">
            <v>2250</v>
          </cell>
        </row>
        <row r="450">
          <cell r="A450">
            <v>4500</v>
          </cell>
          <cell r="B450">
            <v>454010</v>
          </cell>
          <cell r="C450" t="str">
            <v>SM: Advertising</v>
          </cell>
          <cell r="D450" t="str">
            <v>Westcountry Publications</v>
          </cell>
          <cell r="E450" t="str">
            <v>CN55446</v>
          </cell>
          <cell r="F450">
            <v>-76.260000000000005</v>
          </cell>
          <cell r="G450">
            <v>-40.260000000000005</v>
          </cell>
          <cell r="J450">
            <v>-40.260000000000005</v>
          </cell>
        </row>
        <row r="451">
          <cell r="D451" t="str">
            <v>Visa</v>
          </cell>
          <cell r="F451">
            <v>36</v>
          </cell>
        </row>
        <row r="453">
          <cell r="A453">
            <v>4500</v>
          </cell>
          <cell r="B453">
            <v>454310</v>
          </cell>
          <cell r="C453" t="str">
            <v>SM: Promotional</v>
          </cell>
        </row>
        <row r="456">
          <cell r="A456">
            <v>4500</v>
          </cell>
          <cell r="B456">
            <v>454510</v>
          </cell>
          <cell r="C456" t="str">
            <v>SM: Travel</v>
          </cell>
          <cell r="D456" t="str">
            <v>Assumed</v>
          </cell>
          <cell r="F456">
            <v>1000</v>
          </cell>
          <cell r="G456">
            <v>1000</v>
          </cell>
          <cell r="J456">
            <v>1000</v>
          </cell>
        </row>
        <row r="459">
          <cell r="A459">
            <v>4500</v>
          </cell>
          <cell r="B459">
            <v>455510</v>
          </cell>
          <cell r="C459" t="str">
            <v>SM: Entertainment: LAL</v>
          </cell>
          <cell r="D459" t="str">
            <v>Assumed</v>
          </cell>
          <cell r="F459">
            <v>1000</v>
          </cell>
          <cell r="G459">
            <v>1000</v>
          </cell>
          <cell r="J459">
            <v>1000</v>
          </cell>
        </row>
        <row r="462">
          <cell r="A462">
            <v>4500</v>
          </cell>
          <cell r="B462">
            <v>456010</v>
          </cell>
          <cell r="C462" t="str">
            <v>SM: Entertaining: Cli</v>
          </cell>
        </row>
        <row r="465">
          <cell r="A465">
            <v>4500</v>
          </cell>
          <cell r="B465">
            <v>457010</v>
          </cell>
          <cell r="C465" t="str">
            <v>SM: Entertaining: Stu</v>
          </cell>
          <cell r="D465" t="str">
            <v>Visa expenses July</v>
          </cell>
          <cell r="F465">
            <v>23</v>
          </cell>
          <cell r="G465">
            <v>23</v>
          </cell>
          <cell r="J465">
            <v>23</v>
          </cell>
        </row>
        <row r="468">
          <cell r="A468">
            <v>4500</v>
          </cell>
          <cell r="B468">
            <v>457910</v>
          </cell>
          <cell r="C468" t="str">
            <v>SM: Internet</v>
          </cell>
          <cell r="D468" t="str">
            <v>Visa exp July</v>
          </cell>
          <cell r="F468">
            <v>320</v>
          </cell>
          <cell r="G468">
            <v>320</v>
          </cell>
          <cell r="J468">
            <v>320</v>
          </cell>
        </row>
        <row r="471">
          <cell r="A471">
            <v>4500</v>
          </cell>
          <cell r="B471">
            <v>458010</v>
          </cell>
          <cell r="C471" t="str">
            <v>SM: Telephone</v>
          </cell>
          <cell r="D471" t="str">
            <v>Assumed</v>
          </cell>
          <cell r="F471">
            <v>250</v>
          </cell>
          <cell r="G471">
            <v>250</v>
          </cell>
          <cell r="J471">
            <v>250</v>
          </cell>
        </row>
        <row r="474">
          <cell r="A474">
            <v>4500</v>
          </cell>
          <cell r="B474">
            <v>459010</v>
          </cell>
          <cell r="C474" t="str">
            <v>SM: Fax</v>
          </cell>
        </row>
        <row r="477">
          <cell r="A477">
            <v>4500</v>
          </cell>
          <cell r="B477">
            <v>459110</v>
          </cell>
          <cell r="C477" t="str">
            <v>SM: Central Marketing Office</v>
          </cell>
          <cell r="D477" t="str">
            <v>Assumed £4500 per month  for 11 months</v>
          </cell>
          <cell r="F477">
            <v>49500</v>
          </cell>
          <cell r="G477">
            <v>49500</v>
          </cell>
          <cell r="J477">
            <v>49500</v>
          </cell>
        </row>
        <row r="480">
          <cell r="A480">
            <v>4500</v>
          </cell>
          <cell r="B480">
            <v>459510</v>
          </cell>
          <cell r="C480" t="str">
            <v>SM: Salaries</v>
          </cell>
          <cell r="D480" t="str">
            <v>FT untaken leave</v>
          </cell>
          <cell r="F480">
            <v>1806</v>
          </cell>
          <cell r="G480">
            <v>6724</v>
          </cell>
          <cell r="J480">
            <v>6724</v>
          </cell>
        </row>
        <row r="481">
          <cell r="D481" t="str">
            <v>PT untaken leave</v>
          </cell>
          <cell r="F481">
            <v>1898</v>
          </cell>
        </row>
        <row r="482">
          <cell r="D482" t="str">
            <v>Wage Accrual</v>
          </cell>
          <cell r="F482">
            <v>3020</v>
          </cell>
        </row>
        <row r="484">
          <cell r="A484">
            <v>4500</v>
          </cell>
          <cell r="B484">
            <v>459520</v>
          </cell>
          <cell r="C484" t="str">
            <v>SM: Salaries: Co NI</v>
          </cell>
        </row>
        <row r="487">
          <cell r="A487">
            <v>4500</v>
          </cell>
          <cell r="B487">
            <v>460510</v>
          </cell>
          <cell r="C487" t="str">
            <v>AC: Fax</v>
          </cell>
        </row>
        <row r="490">
          <cell r="A490">
            <v>4600</v>
          </cell>
          <cell r="B490">
            <v>461010</v>
          </cell>
          <cell r="C490" t="str">
            <v>AC: Telephone</v>
          </cell>
          <cell r="D490" t="str">
            <v>Assumed</v>
          </cell>
          <cell r="F490">
            <v>1500</v>
          </cell>
          <cell r="G490">
            <v>1500</v>
          </cell>
          <cell r="J490">
            <v>1500</v>
          </cell>
        </row>
        <row r="496">
          <cell r="A496">
            <v>4600</v>
          </cell>
          <cell r="B496">
            <v>461020</v>
          </cell>
          <cell r="C496" t="str">
            <v>AC: Study Centre: E-m</v>
          </cell>
        </row>
        <row r="499">
          <cell r="A499">
            <v>4600</v>
          </cell>
          <cell r="B499">
            <v>461410</v>
          </cell>
          <cell r="C499" t="str">
            <v>AC: Mobile Telephones</v>
          </cell>
          <cell r="D499" t="str">
            <v>Assumed</v>
          </cell>
          <cell r="F499">
            <v>750</v>
          </cell>
          <cell r="G499">
            <v>750</v>
          </cell>
          <cell r="J499">
            <v>750</v>
          </cell>
        </row>
        <row r="502">
          <cell r="A502">
            <v>4600</v>
          </cell>
          <cell r="B502">
            <v>462010</v>
          </cell>
          <cell r="C502" t="str">
            <v>AC: Medicals</v>
          </cell>
        </row>
        <row r="505">
          <cell r="A505">
            <v>4600</v>
          </cell>
          <cell r="B505">
            <v>462510</v>
          </cell>
          <cell r="C505" t="str">
            <v>AC: Accountancy: Audit</v>
          </cell>
          <cell r="D505" t="str">
            <v>Audit fee charged last year £6100</v>
          </cell>
          <cell r="F505">
            <v>5591.666666666667</v>
          </cell>
          <cell r="G505">
            <v>8013.9583333333339</v>
          </cell>
          <cell r="J505">
            <v>8013.9583333333339</v>
          </cell>
        </row>
        <row r="506">
          <cell r="D506" t="str">
            <v>Audit fee to be charged in Malta Lm1750</v>
          </cell>
          <cell r="F506">
            <v>2422.2916666666665</v>
          </cell>
        </row>
        <row r="509">
          <cell r="A509">
            <v>4600</v>
          </cell>
          <cell r="B509">
            <v>463010</v>
          </cell>
          <cell r="C509" t="str">
            <v>AC: Accountancy: Others</v>
          </cell>
          <cell r="G509">
            <v>1100</v>
          </cell>
          <cell r="J509">
            <v>1100</v>
          </cell>
        </row>
        <row r="510">
          <cell r="D510" t="str">
            <v>Additional accountancy fees being accrued by Gary (tax???)</v>
          </cell>
          <cell r="E510" t="str">
            <v>100 per month</v>
          </cell>
          <cell r="F510">
            <v>1100</v>
          </cell>
        </row>
        <row r="512">
          <cell r="A512">
            <v>4600</v>
          </cell>
          <cell r="B512">
            <v>463510</v>
          </cell>
          <cell r="C512" t="str">
            <v>AC: Legal &amp; Professio</v>
          </cell>
        </row>
        <row r="515">
          <cell r="A515">
            <v>4600</v>
          </cell>
          <cell r="B515">
            <v>464510</v>
          </cell>
          <cell r="C515" t="str">
            <v>AC: Computer: Data Line</v>
          </cell>
        </row>
        <row r="518">
          <cell r="A518">
            <v>4600</v>
          </cell>
          <cell r="B518">
            <v>465010</v>
          </cell>
          <cell r="C518" t="str">
            <v>AC: Computer: Stationery</v>
          </cell>
          <cell r="D518" t="str">
            <v>Visa exp July</v>
          </cell>
          <cell r="F518">
            <v>50</v>
          </cell>
          <cell r="G518">
            <v>50</v>
          </cell>
          <cell r="J518">
            <v>50</v>
          </cell>
        </row>
        <row r="521">
          <cell r="A521">
            <v>4600</v>
          </cell>
          <cell r="B521">
            <v>465210</v>
          </cell>
          <cell r="C521" t="str">
            <v>AC: Computer: Maintenance</v>
          </cell>
          <cell r="D521" t="str">
            <v>Visa exp July</v>
          </cell>
          <cell r="F521">
            <v>31</v>
          </cell>
          <cell r="G521">
            <v>31</v>
          </cell>
          <cell r="J521">
            <v>31</v>
          </cell>
        </row>
        <row r="524">
          <cell r="A524">
            <v>4600</v>
          </cell>
          <cell r="B524">
            <v>465510</v>
          </cell>
          <cell r="C524" t="str">
            <v>AC: Computer: Expenses</v>
          </cell>
        </row>
        <row r="527">
          <cell r="A527">
            <v>4600</v>
          </cell>
          <cell r="B527">
            <v>466020</v>
          </cell>
          <cell r="C527" t="str">
            <v>AC: Unused</v>
          </cell>
        </row>
        <row r="530">
          <cell r="A530">
            <v>4600</v>
          </cell>
          <cell r="B530">
            <v>466510</v>
          </cell>
          <cell r="C530" t="str">
            <v>AC: Stationery</v>
          </cell>
          <cell r="D530" t="str">
            <v>Almega</v>
          </cell>
          <cell r="E530" t="str">
            <v>Inv2727</v>
          </cell>
          <cell r="F530">
            <v>196</v>
          </cell>
          <cell r="G530">
            <v>1196</v>
          </cell>
          <cell r="J530">
            <v>1196</v>
          </cell>
        </row>
        <row r="531">
          <cell r="D531" t="str">
            <v>Assumed</v>
          </cell>
          <cell r="F531">
            <v>1000</v>
          </cell>
        </row>
        <row r="540">
          <cell r="A540">
            <v>4600</v>
          </cell>
          <cell r="B540">
            <v>467010</v>
          </cell>
          <cell r="C540" t="str">
            <v>AC: Postage</v>
          </cell>
          <cell r="D540" t="str">
            <v xml:space="preserve">Pack n Post </v>
          </cell>
          <cell r="E540" t="str">
            <v>Inv100</v>
          </cell>
          <cell r="F540">
            <v>41</v>
          </cell>
          <cell r="G540">
            <v>2417</v>
          </cell>
          <cell r="J540">
            <v>2417</v>
          </cell>
        </row>
        <row r="541">
          <cell r="D541" t="str">
            <v xml:space="preserve">Pack n Post </v>
          </cell>
          <cell r="E541" t="str">
            <v>Inv118</v>
          </cell>
          <cell r="F541">
            <v>11</v>
          </cell>
        </row>
        <row r="542">
          <cell r="D542" t="str">
            <v xml:space="preserve">Pack n Post </v>
          </cell>
          <cell r="E542" t="str">
            <v>Inv128</v>
          </cell>
          <cell r="F542">
            <v>34</v>
          </cell>
        </row>
        <row r="543">
          <cell r="D543" t="str">
            <v xml:space="preserve">Pack n Post </v>
          </cell>
          <cell r="E543" t="str">
            <v>Inv145</v>
          </cell>
          <cell r="F543">
            <v>14</v>
          </cell>
        </row>
        <row r="544">
          <cell r="D544" t="str">
            <v xml:space="preserve">Pack n Post </v>
          </cell>
          <cell r="E544" t="str">
            <v>Inv163</v>
          </cell>
          <cell r="F544">
            <v>11</v>
          </cell>
        </row>
        <row r="545">
          <cell r="D545" t="str">
            <v xml:space="preserve">Pack n Post </v>
          </cell>
          <cell r="E545" t="str">
            <v>Inv196</v>
          </cell>
          <cell r="F545">
            <v>11</v>
          </cell>
        </row>
        <row r="546">
          <cell r="D546" t="str">
            <v>Royal Mail</v>
          </cell>
          <cell r="E546" t="str">
            <v>Inv IM320792</v>
          </cell>
          <cell r="F546">
            <v>1264</v>
          </cell>
        </row>
        <row r="547">
          <cell r="D547" t="str">
            <v>DHL</v>
          </cell>
          <cell r="F547">
            <v>531</v>
          </cell>
        </row>
        <row r="548">
          <cell r="D548" t="str">
            <v>Assumed</v>
          </cell>
          <cell r="F548">
            <v>500</v>
          </cell>
        </row>
        <row r="550">
          <cell r="A550">
            <v>4600</v>
          </cell>
          <cell r="B550">
            <v>467510</v>
          </cell>
          <cell r="C550" t="str">
            <v>AC: Photocopier: Admin</v>
          </cell>
          <cell r="D550" t="str">
            <v>Assumed</v>
          </cell>
          <cell r="F550">
            <v>500</v>
          </cell>
          <cell r="G550">
            <v>500</v>
          </cell>
          <cell r="J550">
            <v>500</v>
          </cell>
        </row>
        <row r="554">
          <cell r="A554">
            <v>4600</v>
          </cell>
          <cell r="B554">
            <v>468020</v>
          </cell>
          <cell r="C554" t="str">
            <v>AC: Photocopier: Acad</v>
          </cell>
        </row>
        <row r="557">
          <cell r="A557">
            <v>4600</v>
          </cell>
          <cell r="B557">
            <v>468055</v>
          </cell>
          <cell r="C557" t="str">
            <v>AC: Photocopier: Resi</v>
          </cell>
        </row>
        <row r="560">
          <cell r="A560">
            <v>4600</v>
          </cell>
          <cell r="B560">
            <v>46800</v>
          </cell>
          <cell r="C560" t="str">
            <v>AC: Photocopier: C/C</v>
          </cell>
        </row>
        <row r="563">
          <cell r="A563">
            <v>4600</v>
          </cell>
          <cell r="B563">
            <v>468510</v>
          </cell>
          <cell r="C563" t="str">
            <v>AC: Photocopier: Stat</v>
          </cell>
        </row>
        <row r="566">
          <cell r="A566">
            <v>4600</v>
          </cell>
          <cell r="B566">
            <v>470010</v>
          </cell>
          <cell r="C566" t="str">
            <v>AC: Salaries</v>
          </cell>
          <cell r="D566" t="str">
            <v>FT untaken leave</v>
          </cell>
          <cell r="F566">
            <v>5649</v>
          </cell>
          <cell r="G566">
            <v>6649</v>
          </cell>
          <cell r="J566">
            <v>6649</v>
          </cell>
        </row>
        <row r="567">
          <cell r="D567" t="str">
            <v>Assumed</v>
          </cell>
          <cell r="F567">
            <v>1000</v>
          </cell>
        </row>
        <row r="569">
          <cell r="A569">
            <v>4600</v>
          </cell>
          <cell r="B569">
            <v>470110</v>
          </cell>
          <cell r="C569" t="str">
            <v>AC: Salaries: Travel</v>
          </cell>
        </row>
        <row r="572">
          <cell r="A572">
            <v>4600</v>
          </cell>
          <cell r="B572">
            <v>470510</v>
          </cell>
          <cell r="C572" t="str">
            <v>AC: Salaries: CFO</v>
          </cell>
        </row>
        <row r="575">
          <cell r="A575">
            <v>4600</v>
          </cell>
          <cell r="B575">
            <v>470520</v>
          </cell>
          <cell r="C575" t="str">
            <v>AC: Salariies: IT</v>
          </cell>
        </row>
        <row r="578">
          <cell r="A578">
            <v>4600</v>
          </cell>
          <cell r="B578">
            <v>470530</v>
          </cell>
          <cell r="C578" t="str">
            <v>AC: Salaries: Car All</v>
          </cell>
        </row>
        <row r="581">
          <cell r="A581">
            <v>4600</v>
          </cell>
          <cell r="B581">
            <v>470540</v>
          </cell>
          <cell r="C581" t="str">
            <v>AC: Salaries: Co NI</v>
          </cell>
        </row>
        <row r="584">
          <cell r="A584">
            <v>4600</v>
          </cell>
          <cell r="B584">
            <v>470710</v>
          </cell>
          <cell r="C584" t="str">
            <v>AC: Casual Labour</v>
          </cell>
        </row>
        <row r="587">
          <cell r="A587">
            <v>4600</v>
          </cell>
          <cell r="B587">
            <v>471010</v>
          </cell>
          <cell r="C587" t="str">
            <v>AC: Ex-Gratia Payment</v>
          </cell>
        </row>
        <row r="590">
          <cell r="A590">
            <v>4600</v>
          </cell>
          <cell r="B590">
            <v>473515</v>
          </cell>
          <cell r="C590" t="str">
            <v>AC: Relocation Costs</v>
          </cell>
        </row>
        <row r="593">
          <cell r="A593">
            <v>4600</v>
          </cell>
          <cell r="B593">
            <v>473515</v>
          </cell>
          <cell r="C593" t="str">
            <v>AC: Car Allowance</v>
          </cell>
        </row>
        <row r="596">
          <cell r="A596">
            <v>4600</v>
          </cell>
          <cell r="B596">
            <v>474510</v>
          </cell>
          <cell r="C596" t="str">
            <v>AC: Subscriptions</v>
          </cell>
          <cell r="D596" t="str">
            <v>Assumed</v>
          </cell>
          <cell r="F596">
            <v>1000</v>
          </cell>
          <cell r="G596">
            <v>1000</v>
          </cell>
          <cell r="J596">
            <v>1000</v>
          </cell>
        </row>
        <row r="599">
          <cell r="A599">
            <v>4600</v>
          </cell>
          <cell r="B599">
            <v>475010</v>
          </cell>
          <cell r="C599" t="str">
            <v>AC: Donations</v>
          </cell>
        </row>
        <row r="602">
          <cell r="A602">
            <v>4600</v>
          </cell>
          <cell r="B602">
            <v>476010</v>
          </cell>
          <cell r="C602" t="str">
            <v>AC: Renewals</v>
          </cell>
        </row>
        <row r="605">
          <cell r="A605">
            <v>4600</v>
          </cell>
          <cell r="B605">
            <v>478510</v>
          </cell>
          <cell r="C605" t="str">
            <v>AC: Travel</v>
          </cell>
        </row>
        <row r="608">
          <cell r="A608">
            <v>4600</v>
          </cell>
          <cell r="B608">
            <v>479510</v>
          </cell>
          <cell r="C608" t="str">
            <v>AC: Recruitment: Host</v>
          </cell>
          <cell r="D608" t="str">
            <v>Assumed</v>
          </cell>
          <cell r="F608">
            <v>1500</v>
          </cell>
          <cell r="G608">
            <v>1500</v>
          </cell>
          <cell r="J608">
            <v>1500</v>
          </cell>
        </row>
        <row r="611">
          <cell r="A611">
            <v>4600</v>
          </cell>
          <cell r="B611">
            <v>480010</v>
          </cell>
          <cell r="C611" t="str">
            <v>AC: Recruitment: Staff</v>
          </cell>
        </row>
        <row r="614">
          <cell r="A614">
            <v>4600</v>
          </cell>
          <cell r="B614">
            <v>480110</v>
          </cell>
          <cell r="C614" t="str">
            <v>AC: Entertaining: Cli</v>
          </cell>
        </row>
        <row r="617">
          <cell r="A617">
            <v>4600</v>
          </cell>
          <cell r="B617">
            <v>480210</v>
          </cell>
          <cell r="C617" t="str">
            <v>AC: Entertaining: Sta</v>
          </cell>
          <cell r="D617" t="str">
            <v>The News Shop</v>
          </cell>
          <cell r="F617">
            <v>34</v>
          </cell>
          <cell r="G617">
            <v>284</v>
          </cell>
          <cell r="J617">
            <v>284</v>
          </cell>
        </row>
        <row r="618">
          <cell r="D618" t="str">
            <v>Assumed</v>
          </cell>
          <cell r="F618">
            <v>250</v>
          </cell>
        </row>
        <row r="620">
          <cell r="A620">
            <v>4600</v>
          </cell>
          <cell r="B620">
            <v>480310</v>
          </cell>
          <cell r="C620" t="str">
            <v>AC: Entertaining: Hos</v>
          </cell>
        </row>
        <row r="623">
          <cell r="A623">
            <v>4600</v>
          </cell>
          <cell r="B623">
            <v>480510</v>
          </cell>
          <cell r="C623" t="str">
            <v>AC: Staff Training</v>
          </cell>
        </row>
        <row r="626">
          <cell r="A626">
            <v>4600</v>
          </cell>
          <cell r="B626">
            <v>481010</v>
          </cell>
          <cell r="C626" t="str">
            <v>AC: Staff Consumables</v>
          </cell>
        </row>
        <row r="629">
          <cell r="A629">
            <v>4600</v>
          </cell>
          <cell r="B629">
            <v>481710</v>
          </cell>
          <cell r="C629" t="str">
            <v>AC: Staff Uniforms</v>
          </cell>
          <cell r="D629" t="str">
            <v>Almega Ltd</v>
          </cell>
          <cell r="E629" t="str">
            <v>IUnv2744</v>
          </cell>
          <cell r="F629">
            <v>405</v>
          </cell>
          <cell r="G629">
            <v>405</v>
          </cell>
          <cell r="J629">
            <v>405</v>
          </cell>
        </row>
        <row r="632">
          <cell r="A632">
            <v>4600</v>
          </cell>
          <cell r="B632">
            <v>482010</v>
          </cell>
          <cell r="C632" t="str">
            <v>AC: Household</v>
          </cell>
          <cell r="D632" t="str">
            <v>A&amp;D Industrial</v>
          </cell>
          <cell r="E632" t="str">
            <v>Inv4081299</v>
          </cell>
          <cell r="F632">
            <v>124</v>
          </cell>
          <cell r="G632">
            <v>874</v>
          </cell>
          <cell r="J632">
            <v>874</v>
          </cell>
        </row>
        <row r="633">
          <cell r="D633" t="str">
            <v>Assumed</v>
          </cell>
          <cell r="F633">
            <v>750</v>
          </cell>
        </row>
        <row r="635">
          <cell r="A635">
            <v>4600</v>
          </cell>
          <cell r="B635">
            <v>482070</v>
          </cell>
          <cell r="C635" t="str">
            <v>AC: Household: C/C</v>
          </cell>
        </row>
        <row r="638">
          <cell r="A638">
            <v>4600</v>
          </cell>
          <cell r="B638">
            <v>483010</v>
          </cell>
          <cell r="C638" t="str">
            <v>AC: Equipment Repairs</v>
          </cell>
          <cell r="D638" t="str">
            <v>Assumed</v>
          </cell>
          <cell r="F638">
            <v>1500</v>
          </cell>
          <cell r="G638">
            <v>1500</v>
          </cell>
          <cell r="J638">
            <v>1500</v>
          </cell>
        </row>
        <row r="641">
          <cell r="A641">
            <v>4600</v>
          </cell>
          <cell r="B641">
            <v>483510</v>
          </cell>
          <cell r="C641" t="str">
            <v>AC: Hire of Equipment</v>
          </cell>
        </row>
        <row r="644">
          <cell r="A644">
            <v>4600</v>
          </cell>
          <cell r="B644">
            <v>483570</v>
          </cell>
          <cell r="C644" t="str">
            <v>AC: Hire of Equipment2</v>
          </cell>
        </row>
        <row r="647">
          <cell r="A647">
            <v>4600</v>
          </cell>
          <cell r="B647">
            <v>484010</v>
          </cell>
          <cell r="C647" t="str">
            <v>AC: Service Contracts</v>
          </cell>
        </row>
        <row r="650">
          <cell r="A650">
            <v>4600</v>
          </cell>
          <cell r="B650">
            <v>484070</v>
          </cell>
          <cell r="C650" t="str">
            <v>AC: Service Contracts2</v>
          </cell>
        </row>
        <row r="653">
          <cell r="A653">
            <v>4600</v>
          </cell>
          <cell r="B653">
            <v>485110</v>
          </cell>
          <cell r="C653" t="str">
            <v>AC: Profit/Loss on Exchange</v>
          </cell>
        </row>
        <row r="656">
          <cell r="A656">
            <v>4600</v>
          </cell>
          <cell r="B656">
            <v>485510</v>
          </cell>
          <cell r="C656" t="str">
            <v>AC: Depreciation</v>
          </cell>
        </row>
        <row r="659">
          <cell r="A659">
            <v>4600</v>
          </cell>
          <cell r="B659">
            <v>486010</v>
          </cell>
          <cell r="C659" t="str">
            <v>AC: Bad Debts Provision</v>
          </cell>
          <cell r="J659">
            <v>0</v>
          </cell>
        </row>
        <row r="662">
          <cell r="A662">
            <v>4600</v>
          </cell>
          <cell r="B662">
            <v>487010</v>
          </cell>
          <cell r="C662" t="str">
            <v>AC: Bad Debts Written Off</v>
          </cell>
        </row>
        <row r="665">
          <cell r="A665">
            <v>4600</v>
          </cell>
          <cell r="B665">
            <v>487015</v>
          </cell>
          <cell r="C665" t="str">
            <v>W/Off Alloc Diff</v>
          </cell>
          <cell r="J665">
            <v>0</v>
          </cell>
        </row>
        <row r="668">
          <cell r="A668">
            <v>4600</v>
          </cell>
          <cell r="B668">
            <v>487510</v>
          </cell>
          <cell r="C668" t="str">
            <v>AC: Bank Charges</v>
          </cell>
          <cell r="D668" t="str">
            <v>Assumed</v>
          </cell>
          <cell r="F668">
            <v>100</v>
          </cell>
          <cell r="G668">
            <v>100</v>
          </cell>
          <cell r="J668">
            <v>100</v>
          </cell>
        </row>
        <row r="671">
          <cell r="A671">
            <v>4600</v>
          </cell>
          <cell r="B671">
            <v>488010</v>
          </cell>
          <cell r="C671" t="str">
            <v>AC: Bank Commission</v>
          </cell>
        </row>
        <row r="674">
          <cell r="A674">
            <v>4600</v>
          </cell>
          <cell r="B674">
            <v>488510</v>
          </cell>
          <cell r="C674" t="str">
            <v>AC: Lease of Equipment</v>
          </cell>
          <cell r="D674" t="str">
            <v>Assumed</v>
          </cell>
          <cell r="F674">
            <v>1000</v>
          </cell>
          <cell r="G674">
            <v>1000</v>
          </cell>
          <cell r="J674">
            <v>1000</v>
          </cell>
        </row>
        <row r="677">
          <cell r="A677">
            <v>4600</v>
          </cell>
          <cell r="B677">
            <v>489010</v>
          </cell>
          <cell r="C677" t="str">
            <v>AC: Other Interest Charges</v>
          </cell>
        </row>
        <row r="680">
          <cell r="A680">
            <v>4600</v>
          </cell>
          <cell r="B680">
            <v>489110</v>
          </cell>
          <cell r="C680" t="str">
            <v>AC: Credit Card Commission</v>
          </cell>
          <cell r="D680" t="str">
            <v>Assumed</v>
          </cell>
          <cell r="F680">
            <v>2000</v>
          </cell>
          <cell r="G680">
            <v>2000</v>
          </cell>
          <cell r="J680">
            <v>2000</v>
          </cell>
        </row>
        <row r="683">
          <cell r="A683">
            <v>4600</v>
          </cell>
          <cell r="B683">
            <v>189510</v>
          </cell>
          <cell r="C683" t="str">
            <v>AC: H.P. Interest</v>
          </cell>
        </row>
        <row r="686">
          <cell r="A686">
            <v>4600</v>
          </cell>
          <cell r="B686">
            <v>489910</v>
          </cell>
          <cell r="C686" t="str">
            <v>Not Attributable</v>
          </cell>
          <cell r="D686" t="str">
            <v>Assuming all the VAT in B/S is not claimable (£18,305)</v>
          </cell>
          <cell r="F686">
            <v>18305</v>
          </cell>
          <cell r="G686">
            <v>21050.75</v>
          </cell>
          <cell r="J686">
            <v>21050.75</v>
          </cell>
        </row>
        <row r="687">
          <cell r="D687" t="str">
            <v xml:space="preserve">Assuming 15% increase in provision due to expenses accrued for </v>
          </cell>
        </row>
        <row r="688">
          <cell r="D688" t="str">
            <v>on which VAT would not be claimed if they had been posted.</v>
          </cell>
          <cell r="F688">
            <v>2745.75</v>
          </cell>
        </row>
        <row r="690">
          <cell r="A690">
            <v>4600</v>
          </cell>
          <cell r="B690">
            <v>490010</v>
          </cell>
          <cell r="C690" t="str">
            <v>AC: FTI Management Fees</v>
          </cell>
          <cell r="D690" t="str">
            <v>1% of gross turnover for the month</v>
          </cell>
          <cell r="E690">
            <v>1118534</v>
          </cell>
          <cell r="F690">
            <v>0.01</v>
          </cell>
          <cell r="G690">
            <v>11185.34</v>
          </cell>
          <cell r="J690">
            <v>11185.34</v>
          </cell>
        </row>
        <row r="693">
          <cell r="A693">
            <v>4600</v>
          </cell>
          <cell r="B693">
            <v>499010</v>
          </cell>
          <cell r="C693" t="str">
            <v>AC: Sundry Expenses</v>
          </cell>
          <cell r="D693" t="str">
            <v>Write off of debit balances in creditors list (See mgt accounts file)</v>
          </cell>
          <cell r="F693">
            <v>16002</v>
          </cell>
          <cell r="G693">
            <v>26002</v>
          </cell>
          <cell r="J693">
            <v>26002</v>
          </cell>
        </row>
        <row r="694">
          <cell r="D694" t="str">
            <v>Estimated refunds to clients</v>
          </cell>
          <cell r="F694">
            <v>10000</v>
          </cell>
        </row>
        <row r="696">
          <cell r="A696">
            <v>4600</v>
          </cell>
          <cell r="B696">
            <v>499910</v>
          </cell>
          <cell r="C696" t="str">
            <v>AC: Bank Interest</v>
          </cell>
        </row>
        <row r="699">
          <cell r="A699" t="str">
            <v>TOTALS</v>
          </cell>
          <cell r="G699">
            <v>414224.71862110309</v>
          </cell>
          <cell r="I699">
            <v>13650</v>
          </cell>
          <cell r="J699">
            <v>400574.71862110309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</sheetNames>
    <sheetDataSet>
      <sheetData sheetId="0" refreshError="1"/>
      <sheetData sheetId="1" refreshError="1"/>
      <sheetData sheetId="2">
        <row r="52">
          <cell r="E52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"/>
      <sheetName val="summary.."/>
      <sheetName val="شيكات "/>
      <sheetName val="التحويلات "/>
      <sheetName val="Payments"/>
      <sheetName val="ا. تامر البهي"/>
      <sheetName val="Sheet1"/>
      <sheetName val="Sheet1 (2)"/>
      <sheetName val="Sheet2"/>
      <sheetName val="Sheet3"/>
      <sheetName val="الاصناف "/>
      <sheetName val="رسبي المشروبات "/>
      <sheetName val="طلب تحويل"/>
    </sheetNames>
    <definedNames>
      <definedName name="Loan_Start" refersTo="#REF!" sheetId="4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"/>
      <sheetName val="summary.."/>
      <sheetName val="شيكات "/>
      <sheetName val="التحويلات "/>
      <sheetName val="Payments"/>
      <sheetName val="ا. تامر البهي"/>
      <sheetName val="Sheet1"/>
      <sheetName val="Sheet1 (2)"/>
      <sheetName val="Sheet2"/>
      <sheetName val="Sheet3"/>
      <sheetName val="الاصناف "/>
      <sheetName val="رسبي المشروبات "/>
      <sheetName val="طلب تحويل"/>
    </sheetNames>
    <definedNames>
      <definedName name="Loan_Start" refersTo="#REF!" sheetId="4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عمولات"/>
    </sheetNames>
    <definedNames>
      <definedName name="Number_of_Payments" refersTo="#REF!"/>
      <definedName name="Values_Entered" refersTo="#REF!"/>
    </defined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_B_Final"/>
      <sheetName val="MUC Format"/>
      <sheetName val="Sum P&amp;L, BS"/>
      <sheetName val="Det P&amp;L CCC"/>
      <sheetName val="Det P&amp;L DCC"/>
      <sheetName val="Deferred Income Adjustment"/>
      <sheetName val="Accruals CPT"/>
      <sheetName val="Accruals DUR"/>
      <sheetName val="Journal CPT"/>
      <sheetName val="Journal DUR"/>
      <sheetName val="SoftM Journal"/>
      <sheetName val="Hotel Accom Accrual"/>
      <sheetName val="IC Adjustments"/>
      <sheetName val="Cons"/>
      <sheetName val="Print Modules"/>
      <sheetName val="Sheet1"/>
      <sheetName val="Sheet2"/>
      <sheetName val="Sheet3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>
        <row r="1">
          <cell r="A1" t="str">
            <v>CAPE COMMINICATION CENTRE PTY LIMITED</v>
          </cell>
          <cell r="E1" t="str">
            <v>EUR -&gt; ZAR</v>
          </cell>
          <cell r="F1">
            <v>11.85</v>
          </cell>
        </row>
        <row r="2">
          <cell r="A2" t="str">
            <v>Accruals As At:</v>
          </cell>
          <cell r="B2">
            <v>39903</v>
          </cell>
          <cell r="E2" t="str">
            <v>USD -&gt; ZAR</v>
          </cell>
          <cell r="F2">
            <v>7.71484375</v>
          </cell>
        </row>
        <row r="3">
          <cell r="A3" t="str">
            <v>Month No:</v>
          </cell>
          <cell r="B3">
            <v>6</v>
          </cell>
        </row>
        <row r="4">
          <cell r="A4" t="str">
            <v>Currency:</v>
          </cell>
          <cell r="B4" t="str">
            <v>ZAR</v>
          </cell>
        </row>
        <row r="6">
          <cell r="A6" t="str">
            <v>ACCOUNT NAME</v>
          </cell>
          <cell r="B6" t="str">
            <v>DETAILS</v>
          </cell>
          <cell r="E6" t="str">
            <v/>
          </cell>
          <cell r="F6" t="str">
            <v>AMOUNT</v>
          </cell>
          <cell r="G6" t="str">
            <v>ACC/(PRE)</v>
          </cell>
        </row>
        <row r="7">
          <cell r="A7" t="str">
            <v>Commissions Payable</v>
          </cell>
          <cell r="D7" t="str">
            <v>Sales</v>
          </cell>
          <cell r="E7" t="str">
            <v>Comm Acct Bal</v>
          </cell>
        </row>
        <row r="8">
          <cell r="B8" t="str">
            <v>FTI</v>
          </cell>
          <cell r="C8" t="str">
            <v>ZA0101</v>
          </cell>
          <cell r="D8">
            <v>1282495.5399999998</v>
          </cell>
          <cell r="E8">
            <v>316219</v>
          </cell>
        </row>
        <row r="9">
          <cell r="B9" t="str">
            <v>3rd Party</v>
          </cell>
          <cell r="C9" t="str">
            <v>ZA0100</v>
          </cell>
          <cell r="D9">
            <v>6378479.1899999995</v>
          </cell>
          <cell r="E9">
            <v>1368973</v>
          </cell>
        </row>
        <row r="11">
          <cell r="F11">
            <v>0</v>
          </cell>
        </row>
        <row r="12">
          <cell r="G12">
            <v>0</v>
          </cell>
        </row>
        <row r="14">
          <cell r="A14" t="str">
            <v>Other Income - Telephone Booth</v>
          </cell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G17">
            <v>0</v>
          </cell>
        </row>
        <row r="19">
          <cell r="A19" t="str">
            <v>Bookshop Sales</v>
          </cell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G22">
            <v>0</v>
          </cell>
        </row>
        <row r="24">
          <cell r="A24" t="str">
            <v>Bookshop Cost of Sales</v>
          </cell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G27">
            <v>0</v>
          </cell>
        </row>
        <row r="29">
          <cell r="A29" t="str">
            <v>Residence Costs</v>
          </cell>
          <cell r="D29" t="str">
            <v>Paid from</v>
          </cell>
          <cell r="E29" t="str">
            <v>Paid till</v>
          </cell>
          <cell r="F29" t="str">
            <v>Amount paid</v>
          </cell>
          <cell r="G29" t="str">
            <v>Accr/(Prep)</v>
          </cell>
        </row>
        <row r="30">
          <cell r="C30" t="str">
            <v>Lamese Borges</v>
          </cell>
          <cell r="D30">
            <v>39845</v>
          </cell>
          <cell r="E30">
            <v>39872</v>
          </cell>
          <cell r="F30">
            <v>21201</v>
          </cell>
          <cell r="G30">
            <v>23473</v>
          </cell>
        </row>
        <row r="31">
          <cell r="C31" t="str">
            <v>Lamese Borges - B'Fasts</v>
          </cell>
          <cell r="D31">
            <v>39845</v>
          </cell>
          <cell r="E31">
            <v>39872</v>
          </cell>
          <cell r="F31">
            <v>18711</v>
          </cell>
          <cell r="G31">
            <v>20716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G35">
            <v>44189</v>
          </cell>
        </row>
        <row r="37">
          <cell r="A37" t="str">
            <v>Water &amp; Electricity</v>
          </cell>
          <cell r="D37" t="str">
            <v>Paid from</v>
          </cell>
          <cell r="E37" t="str">
            <v>Paid till</v>
          </cell>
          <cell r="F37" t="str">
            <v>Amount paid</v>
          </cell>
          <cell r="G37" t="str">
            <v>Accr/(Prep)</v>
          </cell>
        </row>
        <row r="38">
          <cell r="B38">
            <v>206886726</v>
          </cell>
          <cell r="C38" t="str">
            <v>Electricity - City of Cape Town</v>
          </cell>
          <cell r="D38">
            <v>39793</v>
          </cell>
          <cell r="E38">
            <v>39828</v>
          </cell>
          <cell r="F38">
            <v>32.6</v>
          </cell>
          <cell r="G38">
            <v>70</v>
          </cell>
        </row>
        <row r="39">
          <cell r="B39">
            <v>206896453</v>
          </cell>
          <cell r="C39" t="str">
            <v>Electricity - City of Cape Town</v>
          </cell>
          <cell r="D39">
            <v>39793</v>
          </cell>
          <cell r="E39">
            <v>39828</v>
          </cell>
          <cell r="F39">
            <v>14169.29</v>
          </cell>
          <cell r="G39">
            <v>30363</v>
          </cell>
        </row>
        <row r="40">
          <cell r="B40">
            <v>206896341</v>
          </cell>
          <cell r="C40" t="str">
            <v>Electricity - City of Cape Town</v>
          </cell>
          <cell r="D40">
            <v>39793</v>
          </cell>
          <cell r="E40">
            <v>39828</v>
          </cell>
          <cell r="F40">
            <v>65.69</v>
          </cell>
          <cell r="G40">
            <v>141</v>
          </cell>
        </row>
        <row r="41">
          <cell r="B41">
            <v>206896483</v>
          </cell>
          <cell r="C41" t="str">
            <v>Electricity - City of Cape Town</v>
          </cell>
          <cell r="D41">
            <v>39793</v>
          </cell>
          <cell r="E41">
            <v>39828</v>
          </cell>
          <cell r="F41">
            <v>120.59</v>
          </cell>
          <cell r="G41">
            <v>258</v>
          </cell>
        </row>
        <row r="42">
          <cell r="B42">
            <v>206896512</v>
          </cell>
          <cell r="C42" t="str">
            <v>Electricity - City of Cape Town</v>
          </cell>
          <cell r="D42">
            <v>39793</v>
          </cell>
          <cell r="E42">
            <v>39828</v>
          </cell>
          <cell r="F42">
            <v>49.87</v>
          </cell>
          <cell r="G42">
            <v>107</v>
          </cell>
        </row>
        <row r="43">
          <cell r="B43">
            <v>206896490</v>
          </cell>
          <cell r="C43" t="str">
            <v>Electricity - City of Cape Town</v>
          </cell>
          <cell r="D43">
            <v>39793</v>
          </cell>
          <cell r="E43">
            <v>39828</v>
          </cell>
          <cell r="F43">
            <v>33.049999999999997</v>
          </cell>
          <cell r="G43">
            <v>71</v>
          </cell>
        </row>
        <row r="44">
          <cell r="B44">
            <v>206896505</v>
          </cell>
          <cell r="C44" t="str">
            <v>Electricity - City of Cape Town</v>
          </cell>
          <cell r="D44">
            <v>39793</v>
          </cell>
          <cell r="E44">
            <v>39828</v>
          </cell>
          <cell r="F44">
            <v>84.98</v>
          </cell>
          <cell r="G44">
            <v>182</v>
          </cell>
        </row>
        <row r="45">
          <cell r="B45">
            <v>206896460</v>
          </cell>
          <cell r="C45" t="str">
            <v>Electricity - City of Cape Town</v>
          </cell>
          <cell r="D45">
            <v>39793</v>
          </cell>
          <cell r="E45">
            <v>39828</v>
          </cell>
          <cell r="F45">
            <v>47.39</v>
          </cell>
          <cell r="G45">
            <v>102</v>
          </cell>
        </row>
        <row r="46">
          <cell r="B46">
            <v>206896430</v>
          </cell>
          <cell r="C46" t="str">
            <v>Electricity - City of Cape Town</v>
          </cell>
          <cell r="D46">
            <v>39793</v>
          </cell>
          <cell r="E46">
            <v>39828</v>
          </cell>
          <cell r="F46">
            <v>27.61</v>
          </cell>
          <cell r="G46">
            <v>59</v>
          </cell>
        </row>
        <row r="47">
          <cell r="B47">
            <v>206896542</v>
          </cell>
          <cell r="C47" t="str">
            <v>Electricity - City of Cape Town</v>
          </cell>
          <cell r="D47">
            <v>39793</v>
          </cell>
          <cell r="E47">
            <v>39828</v>
          </cell>
          <cell r="F47">
            <v>257.10000000000002</v>
          </cell>
          <cell r="G47">
            <v>551</v>
          </cell>
        </row>
        <row r="48">
          <cell r="B48">
            <v>208654040</v>
          </cell>
          <cell r="C48" t="str">
            <v>Electricity - City of Cape Town</v>
          </cell>
          <cell r="D48">
            <v>39793</v>
          </cell>
          <cell r="E48">
            <v>39828</v>
          </cell>
          <cell r="F48">
            <v>111.2</v>
          </cell>
          <cell r="G48">
            <v>238</v>
          </cell>
        </row>
        <row r="49">
          <cell r="B49">
            <v>206896371</v>
          </cell>
          <cell r="C49" t="str">
            <v>Electricity - City of Cape Town</v>
          </cell>
          <cell r="D49">
            <v>39793</v>
          </cell>
          <cell r="E49">
            <v>39828</v>
          </cell>
          <cell r="F49">
            <v>42.94</v>
          </cell>
          <cell r="G49">
            <v>92</v>
          </cell>
        </row>
        <row r="50">
          <cell r="B50">
            <v>206896601</v>
          </cell>
          <cell r="C50" t="str">
            <v>Electricity - City of Cape Town</v>
          </cell>
          <cell r="D50">
            <v>39793</v>
          </cell>
          <cell r="E50">
            <v>39828</v>
          </cell>
          <cell r="F50">
            <v>58.77</v>
          </cell>
          <cell r="G50">
            <v>126</v>
          </cell>
        </row>
        <row r="51">
          <cell r="B51">
            <v>206896387</v>
          </cell>
          <cell r="C51" t="str">
            <v>Electricity - City of Cape Town</v>
          </cell>
          <cell r="D51">
            <v>39765</v>
          </cell>
          <cell r="E51">
            <v>39792</v>
          </cell>
          <cell r="F51">
            <v>0.48</v>
          </cell>
          <cell r="G51">
            <v>2</v>
          </cell>
        </row>
        <row r="52">
          <cell r="B52">
            <v>208653692</v>
          </cell>
          <cell r="C52" t="str">
            <v>Electricity - City of Cape Town</v>
          </cell>
          <cell r="D52">
            <v>39793</v>
          </cell>
          <cell r="E52">
            <v>39828</v>
          </cell>
          <cell r="F52">
            <v>1535.09</v>
          </cell>
          <cell r="G52">
            <v>3289</v>
          </cell>
        </row>
        <row r="53">
          <cell r="B53">
            <v>208497385</v>
          </cell>
          <cell r="C53" t="str">
            <v>Electricity - City of Cape Town</v>
          </cell>
          <cell r="D53">
            <v>39793</v>
          </cell>
          <cell r="E53">
            <v>39828</v>
          </cell>
          <cell r="F53">
            <v>326.77</v>
          </cell>
          <cell r="G53">
            <v>700</v>
          </cell>
        </row>
        <row r="54">
          <cell r="B54">
            <v>206896423</v>
          </cell>
          <cell r="C54" t="str">
            <v>Electricity - City of Cape Town</v>
          </cell>
          <cell r="D54">
            <v>39765</v>
          </cell>
          <cell r="E54">
            <v>39792</v>
          </cell>
          <cell r="F54">
            <v>6.91</v>
          </cell>
          <cell r="G54">
            <v>28</v>
          </cell>
        </row>
        <row r="55">
          <cell r="B55">
            <v>206896400</v>
          </cell>
          <cell r="C55" t="str">
            <v>Electricity - City of Cape Town</v>
          </cell>
          <cell r="D55">
            <v>39793</v>
          </cell>
          <cell r="E55">
            <v>39828</v>
          </cell>
          <cell r="F55">
            <v>38.99</v>
          </cell>
          <cell r="G55">
            <v>84</v>
          </cell>
        </row>
        <row r="56">
          <cell r="B56">
            <v>206896565</v>
          </cell>
          <cell r="C56" t="str">
            <v>Electricity - City of Cape Town</v>
          </cell>
          <cell r="D56">
            <v>39793</v>
          </cell>
          <cell r="E56">
            <v>39828</v>
          </cell>
          <cell r="F56">
            <v>8.32</v>
          </cell>
          <cell r="G56">
            <v>18</v>
          </cell>
        </row>
        <row r="57">
          <cell r="B57">
            <v>206896588</v>
          </cell>
          <cell r="C57" t="str">
            <v>Electricity - City of Cape Town</v>
          </cell>
          <cell r="D57">
            <v>39793</v>
          </cell>
          <cell r="E57">
            <v>39828</v>
          </cell>
          <cell r="F57">
            <v>81.52</v>
          </cell>
          <cell r="G57">
            <v>175</v>
          </cell>
        </row>
        <row r="58">
          <cell r="B58">
            <v>113525038</v>
          </cell>
          <cell r="C58" t="str">
            <v>Electricity - City of Cape Town</v>
          </cell>
          <cell r="D58">
            <v>39820</v>
          </cell>
          <cell r="E58">
            <v>39846</v>
          </cell>
          <cell r="F58">
            <v>3349.67</v>
          </cell>
          <cell r="G58">
            <v>7344</v>
          </cell>
        </row>
        <row r="59">
          <cell r="B59">
            <v>209990973</v>
          </cell>
          <cell r="C59" t="str">
            <v>Electricity - City of Cape Town</v>
          </cell>
          <cell r="D59">
            <v>39829</v>
          </cell>
          <cell r="E59">
            <v>39857</v>
          </cell>
          <cell r="F59">
            <v>72.37</v>
          </cell>
          <cell r="G59">
            <v>119</v>
          </cell>
        </row>
        <row r="60">
          <cell r="A60" t="str">
            <v>Water</v>
          </cell>
          <cell r="B60">
            <v>112312511</v>
          </cell>
          <cell r="C60" t="str">
            <v>Electricity - City of Cape Town</v>
          </cell>
          <cell r="D60">
            <v>39820</v>
          </cell>
          <cell r="E60">
            <v>39846</v>
          </cell>
          <cell r="F60">
            <v>711.1</v>
          </cell>
          <cell r="G60">
            <v>1559</v>
          </cell>
        </row>
        <row r="61">
          <cell r="B61" t="str">
            <v>prepayments</v>
          </cell>
          <cell r="C61" t="str">
            <v>City of Cape Town - Debit in Creditors List</v>
          </cell>
          <cell r="F61">
            <v>18497.329999999998</v>
          </cell>
        </row>
        <row r="62">
          <cell r="G62">
            <v>64175</v>
          </cell>
        </row>
        <row r="64">
          <cell r="A64" t="str">
            <v>Waste Disposal</v>
          </cell>
          <cell r="D64" t="str">
            <v>Paid from</v>
          </cell>
          <cell r="E64" t="str">
            <v>Paid till</v>
          </cell>
          <cell r="F64" t="str">
            <v>Amount paid</v>
          </cell>
          <cell r="G64" t="str">
            <v>Accr/(Prep)</v>
          </cell>
        </row>
        <row r="65">
          <cell r="C65" t="str">
            <v>Sewerage - 319 MR (payable to LHL)</v>
          </cell>
          <cell r="D65">
            <v>39847</v>
          </cell>
          <cell r="E65">
            <v>39870</v>
          </cell>
          <cell r="F65">
            <v>1301.76</v>
          </cell>
          <cell r="G65">
            <v>1790</v>
          </cell>
        </row>
        <row r="66">
          <cell r="C66" t="str">
            <v>Waste Removal - 319 MR (payable to LHL) - Carisbrook</v>
          </cell>
          <cell r="D66">
            <v>39849</v>
          </cell>
          <cell r="E66">
            <v>39876</v>
          </cell>
          <cell r="F66">
            <v>49.97</v>
          </cell>
          <cell r="G66">
            <v>48</v>
          </cell>
        </row>
        <row r="67">
          <cell r="B67">
            <v>112312511</v>
          </cell>
          <cell r="C67" t="str">
            <v>Refuse - Shirlyn</v>
          </cell>
          <cell r="D67">
            <v>39821</v>
          </cell>
          <cell r="E67">
            <v>39848</v>
          </cell>
          <cell r="F67">
            <v>499.75</v>
          </cell>
          <cell r="G67">
            <v>982</v>
          </cell>
        </row>
        <row r="68">
          <cell r="B68">
            <v>112312511</v>
          </cell>
          <cell r="C68" t="str">
            <v>Sewerage - Shirlyn</v>
          </cell>
          <cell r="D68">
            <v>39820</v>
          </cell>
          <cell r="E68">
            <v>39846</v>
          </cell>
          <cell r="F68">
            <v>1026.56</v>
          </cell>
          <cell r="G68">
            <v>2167</v>
          </cell>
        </row>
        <row r="69">
          <cell r="F69">
            <v>0</v>
          </cell>
        </row>
        <row r="70">
          <cell r="G70">
            <v>4987</v>
          </cell>
        </row>
        <row r="72">
          <cell r="A72" t="str">
            <v>Sundry Expenses - Residence</v>
          </cell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G75">
            <v>0</v>
          </cell>
        </row>
        <row r="77">
          <cell r="A77" t="str">
            <v>Accommodation: Hotels</v>
          </cell>
          <cell r="C77" t="str">
            <v>Ritz Hotel</v>
          </cell>
          <cell r="F77">
            <v>7105.32</v>
          </cell>
        </row>
        <row r="78">
          <cell r="C78" t="str">
            <v>Check Inn Hotel</v>
          </cell>
          <cell r="F78">
            <v>0</v>
          </cell>
        </row>
        <row r="79">
          <cell r="C79" t="str">
            <v>Lions Head Lodge</v>
          </cell>
          <cell r="F79">
            <v>0</v>
          </cell>
        </row>
        <row r="80">
          <cell r="F80">
            <v>0</v>
          </cell>
        </row>
        <row r="81">
          <cell r="G81">
            <v>7105</v>
          </cell>
        </row>
        <row r="83">
          <cell r="A83" t="str">
            <v>Accommodation: Host Families</v>
          </cell>
          <cell r="B83" t="str">
            <v>H/Fams paid till 28/02/2009 - accrual from 28/02/09 - 31/03/09</v>
          </cell>
          <cell r="F83">
            <v>240</v>
          </cell>
        </row>
        <row r="84">
          <cell r="F84">
            <v>0</v>
          </cell>
        </row>
        <row r="85">
          <cell r="F85">
            <v>0</v>
          </cell>
        </row>
        <row r="86">
          <cell r="G86">
            <v>240</v>
          </cell>
        </row>
        <row r="88">
          <cell r="A88" t="str">
            <v>Accommodation: Host Families Advertising</v>
          </cell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G91">
            <v>0</v>
          </cell>
        </row>
        <row r="93">
          <cell r="A93" t="str">
            <v>Transfer Costs</v>
          </cell>
          <cell r="D93" t="str">
            <v>Paid from</v>
          </cell>
          <cell r="E93" t="str">
            <v>Paid till</v>
          </cell>
          <cell r="F93" t="str">
            <v>Amount paid</v>
          </cell>
          <cell r="G93" t="str">
            <v>Accr/(Prep)</v>
          </cell>
        </row>
        <row r="94">
          <cell r="C94" t="str">
            <v>Travel Outcomes</v>
          </cell>
          <cell r="F94">
            <v>0</v>
          </cell>
          <cell r="G94">
            <v>0</v>
          </cell>
        </row>
        <row r="95">
          <cell r="B95" t="str">
            <v>As per transfers report   01/03/09 - 31/03/09</v>
          </cell>
          <cell r="F95">
            <v>4900</v>
          </cell>
          <cell r="G95">
            <v>4900</v>
          </cell>
        </row>
        <row r="96">
          <cell r="F96">
            <v>0</v>
          </cell>
        </row>
        <row r="97">
          <cell r="G97">
            <v>4900</v>
          </cell>
        </row>
        <row r="99">
          <cell r="A99" t="str">
            <v>Exam Fees - Costs</v>
          </cell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G102">
            <v>0</v>
          </cell>
        </row>
        <row r="104">
          <cell r="A104" t="str">
            <v>Excursions Costs</v>
          </cell>
          <cell r="F104" t="str">
            <v>Amount paid</v>
          </cell>
          <cell r="G104" t="str">
            <v>Accr/(Prep)</v>
          </cell>
        </row>
        <row r="105">
          <cell r="B105" t="str">
            <v>prepayments</v>
          </cell>
          <cell r="C105" t="str">
            <v>The Bundu Tours - Debit in Creditors List</v>
          </cell>
          <cell r="F105">
            <v>2560</v>
          </cell>
        </row>
        <row r="106">
          <cell r="B106" t="str">
            <v>prepayments</v>
          </cell>
          <cell r="C106" t="str">
            <v>White Shark Ecoventures - Debit in Creditors List</v>
          </cell>
          <cell r="F106">
            <v>2700</v>
          </cell>
        </row>
        <row r="107">
          <cell r="G107">
            <v>5260</v>
          </cell>
        </row>
        <row r="109">
          <cell r="A109" t="str">
            <v>Activities Costs</v>
          </cell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G112">
            <v>0</v>
          </cell>
        </row>
        <row r="114">
          <cell r="A114" t="str">
            <v>Salaries - Residence</v>
          </cell>
          <cell r="C114" t="str">
            <v>Posted till 31/03/09</v>
          </cell>
          <cell r="F114">
            <v>0</v>
          </cell>
        </row>
        <row r="115">
          <cell r="F115">
            <v>0</v>
          </cell>
        </row>
        <row r="116">
          <cell r="F116">
            <v>0</v>
          </cell>
        </row>
        <row r="117">
          <cell r="G117">
            <v>0</v>
          </cell>
        </row>
        <row r="119">
          <cell r="A119" t="str">
            <v>Salaries UIF - Residence</v>
          </cell>
          <cell r="C119" t="str">
            <v>Posted till 31/03/09</v>
          </cell>
          <cell r="F119">
            <v>0</v>
          </cell>
        </row>
        <row r="120">
          <cell r="F120">
            <v>0</v>
          </cell>
        </row>
        <row r="121">
          <cell r="F121">
            <v>0</v>
          </cell>
        </row>
        <row r="122">
          <cell r="G122">
            <v>0</v>
          </cell>
        </row>
        <row r="124">
          <cell r="A124" t="str">
            <v>Salaries - Tuition FT</v>
          </cell>
          <cell r="C124" t="str">
            <v>Posted till 31/03/09</v>
          </cell>
          <cell r="F124">
            <v>0</v>
          </cell>
        </row>
        <row r="126">
          <cell r="D126" t="str">
            <v>Paid from</v>
          </cell>
          <cell r="E126" t="str">
            <v>Paid till</v>
          </cell>
          <cell r="F126" t="str">
            <v>Amount paid</v>
          </cell>
          <cell r="G126" t="str">
            <v>Accr/(Prep)</v>
          </cell>
        </row>
        <row r="127">
          <cell r="C127" t="str">
            <v>Bonus - Wiebke Fiallo</v>
          </cell>
          <cell r="D127">
            <v>39083</v>
          </cell>
          <cell r="E127">
            <v>39447</v>
          </cell>
          <cell r="F127">
            <v>0</v>
          </cell>
          <cell r="G127">
            <v>0</v>
          </cell>
        </row>
        <row r="128">
          <cell r="F128">
            <v>0</v>
          </cell>
        </row>
        <row r="129">
          <cell r="F129">
            <v>0</v>
          </cell>
        </row>
        <row r="130">
          <cell r="G130">
            <v>0</v>
          </cell>
        </row>
        <row r="132">
          <cell r="A132" t="str">
            <v>Salaries - Tuition FT</v>
          </cell>
          <cell r="C132" t="str">
            <v>Posted till 31/03/09</v>
          </cell>
          <cell r="F132">
            <v>0</v>
          </cell>
        </row>
        <row r="134">
          <cell r="D134" t="str">
            <v>Paid from</v>
          </cell>
          <cell r="E134" t="str">
            <v>Paid till</v>
          </cell>
          <cell r="F134" t="str">
            <v>Amount paid</v>
          </cell>
          <cell r="G134" t="str">
            <v>Accr/(Prep)</v>
          </cell>
        </row>
        <row r="135">
          <cell r="C135" t="str">
            <v>Bonus - John Meyring</v>
          </cell>
          <cell r="D135">
            <v>39083</v>
          </cell>
          <cell r="E135">
            <v>39447</v>
          </cell>
          <cell r="F135">
            <v>0</v>
          </cell>
          <cell r="G135">
            <v>0</v>
          </cell>
        </row>
        <row r="136">
          <cell r="F136">
            <v>0</v>
          </cell>
        </row>
        <row r="137">
          <cell r="F137">
            <v>0</v>
          </cell>
        </row>
        <row r="138">
          <cell r="G138">
            <v>0</v>
          </cell>
        </row>
        <row r="140">
          <cell r="A140" t="str">
            <v>Salaries UIF - Tuition</v>
          </cell>
          <cell r="C140" t="str">
            <v>Posted till 31/03/09</v>
          </cell>
          <cell r="F140">
            <v>0</v>
          </cell>
        </row>
        <row r="142">
          <cell r="D142" t="str">
            <v>Paid from</v>
          </cell>
          <cell r="E142" t="str">
            <v>Paid till</v>
          </cell>
          <cell r="F142" t="str">
            <v>Amount paid</v>
          </cell>
          <cell r="G142" t="str">
            <v>Accr/(Prep)</v>
          </cell>
        </row>
        <row r="143">
          <cell r="B143" t="str">
            <v>UIF/SDL/PAYE not payable on Bonuses - see KR e-mail 13/05/2008 ---&gt; Karl changed his mind and wants to pay them now.  See e mail</v>
          </cell>
          <cell r="C143" t="str">
            <v>Bonus - Wiebke Fiallo</v>
          </cell>
          <cell r="D143">
            <v>39083</v>
          </cell>
          <cell r="E143">
            <v>39447</v>
          </cell>
          <cell r="F143">
            <v>0</v>
          </cell>
          <cell r="G143">
            <v>0</v>
          </cell>
        </row>
        <row r="144">
          <cell r="B144" t="str">
            <v>UIF/SDL/PAYE not payable on Bonuses - see KR e-mail 13/05/2008 ---&gt; Karl changed his mind and wants to pay them now.  See e mail</v>
          </cell>
          <cell r="C144" t="str">
            <v>Bonus - John Meyring</v>
          </cell>
          <cell r="D144">
            <v>39083</v>
          </cell>
          <cell r="E144">
            <v>39447</v>
          </cell>
          <cell r="F144">
            <v>0</v>
          </cell>
          <cell r="G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G147">
            <v>0</v>
          </cell>
        </row>
        <row r="149">
          <cell r="A149" t="str">
            <v>Salaries - Excursions</v>
          </cell>
          <cell r="C149" t="str">
            <v>Posted till 31/03/09</v>
          </cell>
          <cell r="F149">
            <v>0</v>
          </cell>
        </row>
        <row r="151">
          <cell r="D151" t="str">
            <v>Paid from</v>
          </cell>
          <cell r="E151" t="str">
            <v>Paid till</v>
          </cell>
          <cell r="F151" t="str">
            <v>Amount paid</v>
          </cell>
          <cell r="G151" t="str">
            <v>Accr/(Prep)</v>
          </cell>
        </row>
        <row r="152">
          <cell r="C152" t="str">
            <v>Bonus - Julius Wulf</v>
          </cell>
          <cell r="D152">
            <v>39083</v>
          </cell>
          <cell r="E152">
            <v>39447</v>
          </cell>
          <cell r="F152">
            <v>0</v>
          </cell>
          <cell r="G152">
            <v>0</v>
          </cell>
        </row>
        <row r="153">
          <cell r="F153">
            <v>0</v>
          </cell>
        </row>
        <row r="154">
          <cell r="G154">
            <v>0</v>
          </cell>
        </row>
        <row r="156">
          <cell r="A156" t="str">
            <v>Salaries UIF - Excursions</v>
          </cell>
          <cell r="C156" t="str">
            <v>Posted till 31/03/09</v>
          </cell>
          <cell r="F156">
            <v>0</v>
          </cell>
        </row>
        <row r="158">
          <cell r="D158" t="str">
            <v>Paid from</v>
          </cell>
          <cell r="E158" t="str">
            <v>Paid till</v>
          </cell>
          <cell r="F158" t="str">
            <v>Amount paid</v>
          </cell>
          <cell r="G158" t="str">
            <v>Accr/(Prep)</v>
          </cell>
        </row>
        <row r="159">
          <cell r="B159" t="str">
            <v>UIF/SDL/PAYE not payable on Bonuses - see KR e-mail 13/05/2008 ---&gt; Karl changed his mind and wants to pay them now.  See e mail</v>
          </cell>
          <cell r="C159" t="str">
            <v>Bonus - Julius Wulf</v>
          </cell>
          <cell r="D159">
            <v>39083</v>
          </cell>
          <cell r="E159">
            <v>39447</v>
          </cell>
          <cell r="F159">
            <v>0</v>
          </cell>
          <cell r="G159">
            <v>0</v>
          </cell>
        </row>
        <row r="160">
          <cell r="F160">
            <v>0</v>
          </cell>
        </row>
        <row r="161">
          <cell r="G161">
            <v>0</v>
          </cell>
        </row>
        <row r="163">
          <cell r="A163" t="str">
            <v>Salaries - Administration</v>
          </cell>
          <cell r="C163" t="str">
            <v>Posted till 31/03/09</v>
          </cell>
          <cell r="F163">
            <v>0</v>
          </cell>
        </row>
        <row r="165">
          <cell r="D165" t="str">
            <v>Paid from</v>
          </cell>
          <cell r="E165" t="str">
            <v>Paid till</v>
          </cell>
          <cell r="F165" t="str">
            <v>Amount paid</v>
          </cell>
          <cell r="G165" t="str">
            <v>Accr/(Prep)</v>
          </cell>
        </row>
        <row r="166">
          <cell r="C166" t="str">
            <v>Bonus - Candice Hanmer</v>
          </cell>
          <cell r="D166">
            <v>39083</v>
          </cell>
          <cell r="E166">
            <v>39447</v>
          </cell>
          <cell r="F166">
            <v>0</v>
          </cell>
          <cell r="G166">
            <v>0</v>
          </cell>
        </row>
        <row r="167">
          <cell r="C167" t="str">
            <v>Bonus - Gavin Eyre</v>
          </cell>
          <cell r="D167">
            <v>39083</v>
          </cell>
          <cell r="E167">
            <v>39447</v>
          </cell>
          <cell r="F167">
            <v>0</v>
          </cell>
          <cell r="G167">
            <v>0</v>
          </cell>
        </row>
        <row r="168">
          <cell r="C168" t="str">
            <v>Bonus - Tatiana Cavarsam</v>
          </cell>
          <cell r="D168">
            <v>39083</v>
          </cell>
          <cell r="E168">
            <v>39447</v>
          </cell>
          <cell r="F168">
            <v>0</v>
          </cell>
          <cell r="G168">
            <v>0</v>
          </cell>
        </row>
        <row r="169">
          <cell r="C169" t="str">
            <v>Bonus - Gerzell</v>
          </cell>
          <cell r="D169">
            <v>39083</v>
          </cell>
          <cell r="E169">
            <v>39447</v>
          </cell>
          <cell r="F169">
            <v>0</v>
          </cell>
          <cell r="G169">
            <v>0</v>
          </cell>
        </row>
        <row r="170">
          <cell r="C170" t="str">
            <v>Bonus - Rehana Ruetti</v>
          </cell>
          <cell r="D170">
            <v>39083</v>
          </cell>
          <cell r="E170">
            <v>39447</v>
          </cell>
          <cell r="F170">
            <v>0</v>
          </cell>
          <cell r="G170">
            <v>0</v>
          </cell>
        </row>
        <row r="171">
          <cell r="F171">
            <v>0</v>
          </cell>
        </row>
        <row r="172">
          <cell r="G172">
            <v>0</v>
          </cell>
        </row>
        <row r="174">
          <cell r="A174" t="str">
            <v>Salaries UIF - Administration</v>
          </cell>
          <cell r="C174" t="str">
            <v>Posted till 31/03/09</v>
          </cell>
          <cell r="F174">
            <v>0</v>
          </cell>
        </row>
        <row r="176">
          <cell r="D176" t="str">
            <v>Paid from</v>
          </cell>
          <cell r="E176" t="str">
            <v>Paid till</v>
          </cell>
          <cell r="F176" t="str">
            <v>Amount paid</v>
          </cell>
          <cell r="G176" t="str">
            <v>Accr/(Prep)</v>
          </cell>
        </row>
        <row r="177">
          <cell r="B177" t="str">
            <v>UIF/SDL/PAYE not payable on Bonuses - see KR e-mail 13/05/2008 ---&gt; Karl changed his mind and wants to pay them now.  See e mail</v>
          </cell>
          <cell r="C177" t="str">
            <v>Bonus - Candice Hanmer</v>
          </cell>
          <cell r="D177">
            <v>39083</v>
          </cell>
          <cell r="E177">
            <v>39447</v>
          </cell>
          <cell r="F177">
            <v>0</v>
          </cell>
          <cell r="G177">
            <v>0</v>
          </cell>
        </row>
        <row r="178">
          <cell r="B178" t="str">
            <v>UIF/SDL/PAYE not payable on Bonuses - see KR e-mail 13/05/2008 ---&gt; Karl changed his mind and wants to pay them now.  See e mail</v>
          </cell>
          <cell r="C178" t="str">
            <v>Bonus - Gavin Eyre</v>
          </cell>
          <cell r="D178">
            <v>39083</v>
          </cell>
          <cell r="E178">
            <v>39447</v>
          </cell>
          <cell r="F178">
            <v>0</v>
          </cell>
          <cell r="G178">
            <v>0</v>
          </cell>
        </row>
        <row r="179">
          <cell r="B179" t="str">
            <v>UIF/SDL/PAYE not payable on Bonuses - see KR e-mail 13/05/2008 ---&gt; Karl changed his mind and wants to pay them now.  See e mail</v>
          </cell>
          <cell r="C179" t="str">
            <v>Bonus - Tatiana Cavarsam</v>
          </cell>
          <cell r="D179">
            <v>39083</v>
          </cell>
          <cell r="E179">
            <v>39447</v>
          </cell>
          <cell r="F179">
            <v>0</v>
          </cell>
          <cell r="G179">
            <v>0</v>
          </cell>
        </row>
        <row r="180">
          <cell r="B180" t="str">
            <v>UIF/SDL/PAYE not payable on Bonuses - see KR e-mail 13/05/2008 ---&gt; Karl changed his mind and wants to pay them now.  See e mail</v>
          </cell>
          <cell r="C180" t="str">
            <v>Bonus - Gerzell</v>
          </cell>
          <cell r="D180">
            <v>39083</v>
          </cell>
          <cell r="E180">
            <v>39447</v>
          </cell>
          <cell r="F180">
            <v>0</v>
          </cell>
          <cell r="G180">
            <v>0</v>
          </cell>
        </row>
        <row r="181">
          <cell r="B181" t="str">
            <v>UIF/SDL/PAYE not payable on Bonuses - see KR e-mail 13/05/2008 ---&gt; Karl changed his mind and wants to pay them now.  See e mail</v>
          </cell>
          <cell r="C181" t="str">
            <v>Bonus - Rehana Ruetti</v>
          </cell>
          <cell r="D181">
            <v>39083</v>
          </cell>
          <cell r="E181">
            <v>39447</v>
          </cell>
          <cell r="F181">
            <v>0</v>
          </cell>
          <cell r="G181">
            <v>0</v>
          </cell>
        </row>
        <row r="182">
          <cell r="F182">
            <v>0</v>
          </cell>
        </row>
        <row r="183">
          <cell r="G183">
            <v>0</v>
          </cell>
        </row>
        <row r="185">
          <cell r="A185" t="str">
            <v>Salaries SDL Contribution</v>
          </cell>
          <cell r="C185" t="str">
            <v>Posted till 31/03/09</v>
          </cell>
          <cell r="F185">
            <v>0</v>
          </cell>
        </row>
        <row r="187">
          <cell r="D187" t="str">
            <v>Paid from</v>
          </cell>
          <cell r="E187" t="str">
            <v>Paid till</v>
          </cell>
          <cell r="F187" t="str">
            <v>Amount paid</v>
          </cell>
          <cell r="G187" t="str">
            <v>Accr/(Prep)</v>
          </cell>
        </row>
        <row r="188">
          <cell r="B188" t="str">
            <v>UIF/SDL/PAYE not payable on Bonuses - see KR e-mail 13/05/2008 ---&gt; Karl changed his mind and wants to pay them now.  See e mail</v>
          </cell>
          <cell r="C188" t="str">
            <v>SDL Payable on Bonuses</v>
          </cell>
          <cell r="D188">
            <v>39083</v>
          </cell>
          <cell r="E188">
            <v>39447</v>
          </cell>
          <cell r="F188">
            <v>0</v>
          </cell>
          <cell r="G188">
            <v>0</v>
          </cell>
        </row>
        <row r="189">
          <cell r="F189">
            <v>0</v>
          </cell>
        </row>
        <row r="190">
          <cell r="F190">
            <v>0</v>
          </cell>
        </row>
        <row r="191">
          <cell r="G191">
            <v>0</v>
          </cell>
        </row>
        <row r="193">
          <cell r="A193" t="str">
            <v>Staff Expenses</v>
          </cell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G196">
            <v>0</v>
          </cell>
        </row>
        <row r="198">
          <cell r="A198" t="str">
            <v>Repairs &amp; Maintentenance - F &amp; F - Residence</v>
          </cell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G201">
            <v>0</v>
          </cell>
        </row>
        <row r="203">
          <cell r="A203" t="str">
            <v>Repairs &amp; Maintentenance - Other Assets</v>
          </cell>
          <cell r="D203" t="str">
            <v>Paid from</v>
          </cell>
          <cell r="E203" t="str">
            <v>Paid till</v>
          </cell>
          <cell r="F203" t="str">
            <v>Amount paid</v>
          </cell>
          <cell r="G203" t="str">
            <v>Accr/(Prep)</v>
          </cell>
        </row>
        <row r="204">
          <cell r="C204" t="str">
            <v>Kavnat</v>
          </cell>
          <cell r="D204">
            <v>39845</v>
          </cell>
          <cell r="E204">
            <v>39872</v>
          </cell>
          <cell r="F204">
            <v>3053.88</v>
          </cell>
          <cell r="G204">
            <v>3381</v>
          </cell>
        </row>
        <row r="205">
          <cell r="C205" t="str">
            <v>Peninsula Pest Control</v>
          </cell>
          <cell r="D205">
            <v>39862</v>
          </cell>
          <cell r="E205">
            <v>39921</v>
          </cell>
          <cell r="F205">
            <v>3250</v>
          </cell>
          <cell r="G205">
            <v>-975</v>
          </cell>
        </row>
        <row r="206">
          <cell r="C206" t="str">
            <v>Schindler - Lift Maintenance Agreement</v>
          </cell>
          <cell r="D206">
            <v>39845</v>
          </cell>
          <cell r="E206">
            <v>39872</v>
          </cell>
          <cell r="F206">
            <v>1654.43</v>
          </cell>
          <cell r="G206">
            <v>1832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G209">
            <v>4238</v>
          </cell>
        </row>
        <row r="211">
          <cell r="A211" t="str">
            <v>Repairs &amp; Maintentenance - Motor Vehicles (Van)</v>
          </cell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G214">
            <v>0</v>
          </cell>
        </row>
        <row r="216">
          <cell r="A216" t="str">
            <v>Repairs &amp; Maintentenance - Gardening</v>
          </cell>
          <cell r="D216" t="str">
            <v>Paid from</v>
          </cell>
          <cell r="E216" t="str">
            <v>Paid till</v>
          </cell>
          <cell r="F216" t="str">
            <v>Amount paid</v>
          </cell>
          <cell r="G216" t="str">
            <v>Accr/(Prep)</v>
          </cell>
        </row>
        <row r="217">
          <cell r="C217" t="str">
            <v>The Office Plant</v>
          </cell>
          <cell r="D217">
            <v>39845</v>
          </cell>
          <cell r="E217">
            <v>39872</v>
          </cell>
          <cell r="F217">
            <v>425.25</v>
          </cell>
          <cell r="G217">
            <v>471</v>
          </cell>
        </row>
        <row r="218">
          <cell r="B218" t="str">
            <v>prepayments</v>
          </cell>
          <cell r="C218" t="str">
            <v xml:space="preserve"> The Office Plant - Debit in Creditors List</v>
          </cell>
          <cell r="F218">
            <v>484.79</v>
          </cell>
        </row>
        <row r="219">
          <cell r="F219">
            <v>0</v>
          </cell>
        </row>
        <row r="220">
          <cell r="G220">
            <v>956</v>
          </cell>
        </row>
        <row r="222">
          <cell r="A222" t="str">
            <v xml:space="preserve">Rent </v>
          </cell>
          <cell r="D222" t="str">
            <v>Paid from</v>
          </cell>
          <cell r="E222" t="str">
            <v>Paid till</v>
          </cell>
          <cell r="F222" t="str">
            <v>Amount paid</v>
          </cell>
          <cell r="G222" t="str">
            <v>Accr/(Prep)</v>
          </cell>
        </row>
        <row r="223">
          <cell r="C223" t="str">
            <v>Lions Head Lodge</v>
          </cell>
          <cell r="D223">
            <v>39904</v>
          </cell>
          <cell r="E223">
            <v>39933</v>
          </cell>
          <cell r="F223">
            <v>170460.17</v>
          </cell>
          <cell r="G223">
            <v>-170460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F226">
            <v>0</v>
          </cell>
        </row>
        <row r="227">
          <cell r="G227">
            <v>-170460</v>
          </cell>
        </row>
        <row r="229">
          <cell r="A229" t="str">
            <v>Printing Costs - Tuition</v>
          </cell>
          <cell r="D229" t="str">
            <v>Paid from</v>
          </cell>
          <cell r="E229" t="str">
            <v>Paid till</v>
          </cell>
          <cell r="F229" t="str">
            <v>Amount paid</v>
          </cell>
          <cell r="G229" t="str">
            <v>Accr/(Prep)</v>
          </cell>
        </row>
        <row r="230">
          <cell r="B230" t="str">
            <v>prepayments</v>
          </cell>
          <cell r="C230" t="str">
            <v>ZAMORI 73 - Debit in Creditors List</v>
          </cell>
          <cell r="D230">
            <v>39661</v>
          </cell>
          <cell r="E230">
            <v>39691</v>
          </cell>
          <cell r="F230">
            <v>0</v>
          </cell>
          <cell r="G230">
            <v>0</v>
          </cell>
        </row>
        <row r="231">
          <cell r="C231" t="str">
            <v>ITEC - Copies K7145</v>
          </cell>
          <cell r="D231">
            <v>39834</v>
          </cell>
          <cell r="E231">
            <v>39855</v>
          </cell>
          <cell r="F231">
            <v>2309.08</v>
          </cell>
          <cell r="G231">
            <v>5038</v>
          </cell>
        </row>
        <row r="232">
          <cell r="C232" t="str">
            <v>ITEC - Debit in Creditors</v>
          </cell>
          <cell r="F232">
            <v>14623.38</v>
          </cell>
        </row>
        <row r="233">
          <cell r="F233">
            <v>0</v>
          </cell>
        </row>
        <row r="234">
          <cell r="F234">
            <v>0</v>
          </cell>
        </row>
        <row r="235">
          <cell r="G235">
            <v>19661</v>
          </cell>
        </row>
        <row r="237">
          <cell r="A237" t="str">
            <v>Printing Costs - Administration</v>
          </cell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G240">
            <v>0</v>
          </cell>
        </row>
        <row r="242">
          <cell r="A242" t="str">
            <v>Rent - Plant and Machinery</v>
          </cell>
          <cell r="D242" t="str">
            <v>Paid from</v>
          </cell>
          <cell r="E242" t="str">
            <v>Paid till</v>
          </cell>
          <cell r="F242" t="str">
            <v>Amount paid</v>
          </cell>
          <cell r="G242" t="str">
            <v>Accr/(Prep)</v>
          </cell>
        </row>
        <row r="243">
          <cell r="C243" t="str">
            <v>U Store it</v>
          </cell>
          <cell r="D243">
            <v>39904</v>
          </cell>
          <cell r="E243">
            <v>39933</v>
          </cell>
          <cell r="F243">
            <v>930</v>
          </cell>
          <cell r="G243">
            <v>-930</v>
          </cell>
        </row>
        <row r="244">
          <cell r="C244" t="str">
            <v>Container World</v>
          </cell>
          <cell r="D244">
            <v>39873</v>
          </cell>
          <cell r="E244">
            <v>39933</v>
          </cell>
          <cell r="F244">
            <v>2196</v>
          </cell>
          <cell r="G244">
            <v>-1080</v>
          </cell>
        </row>
        <row r="246">
          <cell r="G246">
            <v>-2010</v>
          </cell>
        </row>
        <row r="248">
          <cell r="A248" t="str">
            <v>Express Mail</v>
          </cell>
          <cell r="D248" t="str">
            <v>Paid from</v>
          </cell>
          <cell r="E248" t="str">
            <v>Paid till</v>
          </cell>
          <cell r="F248" t="str">
            <v>Amount paid</v>
          </cell>
          <cell r="G248" t="str">
            <v>Accr/(Prep)</v>
          </cell>
        </row>
        <row r="249">
          <cell r="F249">
            <v>0</v>
          </cell>
        </row>
        <row r="250">
          <cell r="F250">
            <v>0</v>
          </cell>
        </row>
        <row r="251">
          <cell r="F251">
            <v>0</v>
          </cell>
        </row>
        <row r="252">
          <cell r="G252">
            <v>0</v>
          </cell>
        </row>
        <row r="254">
          <cell r="A254" t="str">
            <v>Stationery</v>
          </cell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G257">
            <v>0</v>
          </cell>
        </row>
        <row r="259">
          <cell r="A259" t="str">
            <v>Insurance &amp; Licenses</v>
          </cell>
          <cell r="D259" t="str">
            <v>Paid from</v>
          </cell>
          <cell r="E259" t="str">
            <v>Paid till</v>
          </cell>
          <cell r="F259" t="str">
            <v>Amount paid</v>
          </cell>
          <cell r="G259" t="str">
            <v>Accr/(Prep)</v>
          </cell>
        </row>
        <row r="260">
          <cell r="B260" t="str">
            <v>AON</v>
          </cell>
          <cell r="C260" t="str">
            <v>Office Contents</v>
          </cell>
          <cell r="D260">
            <v>39387</v>
          </cell>
          <cell r="E260">
            <v>39752</v>
          </cell>
          <cell r="F260">
            <v>1855.64</v>
          </cell>
          <cell r="G260">
            <v>768</v>
          </cell>
        </row>
        <row r="261">
          <cell r="B261" t="str">
            <v>AON</v>
          </cell>
          <cell r="C261" t="str">
            <v>Building</v>
          </cell>
          <cell r="D261">
            <v>39753</v>
          </cell>
          <cell r="E261">
            <v>40117</v>
          </cell>
          <cell r="F261">
            <v>41797.15</v>
          </cell>
          <cell r="G261">
            <v>-24573</v>
          </cell>
        </row>
        <row r="262">
          <cell r="B262" t="str">
            <v>AON</v>
          </cell>
          <cell r="C262" t="str">
            <v>Business Interruption</v>
          </cell>
          <cell r="D262">
            <v>39387</v>
          </cell>
          <cell r="E262">
            <v>39752</v>
          </cell>
          <cell r="F262">
            <v>7894.74</v>
          </cell>
          <cell r="G262">
            <v>3266</v>
          </cell>
        </row>
        <row r="263">
          <cell r="B263" t="str">
            <v>AON</v>
          </cell>
          <cell r="C263" t="str">
            <v>Public Liability</v>
          </cell>
          <cell r="D263">
            <v>39387</v>
          </cell>
          <cell r="E263">
            <v>39752</v>
          </cell>
          <cell r="F263">
            <v>1315.79</v>
          </cell>
          <cell r="G263">
            <v>544</v>
          </cell>
        </row>
        <row r="264">
          <cell r="B264" t="str">
            <v>AON</v>
          </cell>
          <cell r="C264" t="str">
            <v>Employers Liability</v>
          </cell>
          <cell r="D264">
            <v>39387</v>
          </cell>
          <cell r="E264">
            <v>39752</v>
          </cell>
          <cell r="F264">
            <v>219.3</v>
          </cell>
          <cell r="G264">
            <v>91</v>
          </cell>
        </row>
        <row r="265">
          <cell r="B265" t="str">
            <v>AON</v>
          </cell>
          <cell r="C265" t="str">
            <v>Electronic Equipment</v>
          </cell>
          <cell r="D265">
            <v>39387</v>
          </cell>
          <cell r="E265">
            <v>39752</v>
          </cell>
          <cell r="F265">
            <v>7255.26</v>
          </cell>
          <cell r="G265">
            <v>3001</v>
          </cell>
        </row>
        <row r="266">
          <cell r="B266" t="str">
            <v>AON</v>
          </cell>
          <cell r="C266" t="str">
            <v>Umbrella Liability</v>
          </cell>
          <cell r="D266">
            <v>39753</v>
          </cell>
          <cell r="E266">
            <v>40117</v>
          </cell>
          <cell r="F266">
            <v>900</v>
          </cell>
          <cell r="G266">
            <v>-529</v>
          </cell>
        </row>
        <row r="267">
          <cell r="B267" t="str">
            <v>AON</v>
          </cell>
          <cell r="C267" t="str">
            <v>SASRIA</v>
          </cell>
          <cell r="D267">
            <v>39387</v>
          </cell>
          <cell r="E267">
            <v>39752</v>
          </cell>
          <cell r="F267">
            <v>74.11</v>
          </cell>
          <cell r="G267">
            <v>31</v>
          </cell>
        </row>
        <row r="268">
          <cell r="F268">
            <v>0</v>
          </cell>
        </row>
        <row r="269">
          <cell r="G269">
            <v>-17401</v>
          </cell>
        </row>
        <row r="271">
          <cell r="A271" t="str">
            <v>Contract Cleaning - Residence</v>
          </cell>
          <cell r="D271" t="str">
            <v>Paid from</v>
          </cell>
          <cell r="E271" t="str">
            <v>Paid till</v>
          </cell>
          <cell r="F271" t="str">
            <v>Amount paid</v>
          </cell>
          <cell r="G271" t="str">
            <v>Accr/(Prep)</v>
          </cell>
        </row>
        <row r="272">
          <cell r="C272" t="str">
            <v>Tiko Laundry</v>
          </cell>
          <cell r="D272">
            <v>39845</v>
          </cell>
          <cell r="E272">
            <v>39872</v>
          </cell>
          <cell r="F272">
            <v>9309.6200000000008</v>
          </cell>
          <cell r="G272">
            <v>10307</v>
          </cell>
        </row>
        <row r="273">
          <cell r="F273">
            <v>0</v>
          </cell>
        </row>
        <row r="274">
          <cell r="F274">
            <v>0</v>
          </cell>
        </row>
        <row r="275">
          <cell r="G275">
            <v>10307</v>
          </cell>
        </row>
        <row r="277">
          <cell r="A277" t="str">
            <v>Motor Vehicle Expenses - Others</v>
          </cell>
          <cell r="D277" t="str">
            <v>Paid from</v>
          </cell>
          <cell r="E277" t="str">
            <v>Paid till</v>
          </cell>
          <cell r="F277" t="str">
            <v>Amount paid</v>
          </cell>
          <cell r="G277" t="str">
            <v>Accr/(Prep)</v>
          </cell>
        </row>
        <row r="278">
          <cell r="B278" t="str">
            <v>AA of SA</v>
          </cell>
          <cell r="C278" t="str">
            <v>Breakdown fees</v>
          </cell>
          <cell r="D278">
            <v>39814</v>
          </cell>
          <cell r="E278">
            <v>40178</v>
          </cell>
          <cell r="F278">
            <v>610</v>
          </cell>
          <cell r="G278">
            <v>-460</v>
          </cell>
        </row>
        <row r="279">
          <cell r="F279">
            <v>0</v>
          </cell>
          <cell r="G279">
            <v>0</v>
          </cell>
        </row>
        <row r="280">
          <cell r="F280">
            <v>0</v>
          </cell>
        </row>
        <row r="281">
          <cell r="G281">
            <v>-460</v>
          </cell>
        </row>
        <row r="283">
          <cell r="A283" t="str">
            <v>Motor Vehicle Insurance</v>
          </cell>
          <cell r="D283" t="str">
            <v>Paid from</v>
          </cell>
          <cell r="E283" t="str">
            <v>Paid till</v>
          </cell>
          <cell r="F283" t="str">
            <v>Amount paid</v>
          </cell>
          <cell r="G283" t="str">
            <v>Accr/(Prep)</v>
          </cell>
        </row>
        <row r="284">
          <cell r="B284" t="str">
            <v>AON</v>
          </cell>
          <cell r="C284" t="str">
            <v>KIA Pregio</v>
          </cell>
          <cell r="D284">
            <v>39387</v>
          </cell>
          <cell r="E284">
            <v>39752</v>
          </cell>
          <cell r="F284">
            <v>15710.7</v>
          </cell>
          <cell r="G284">
            <v>6482</v>
          </cell>
        </row>
        <row r="285">
          <cell r="B285" t="str">
            <v>AON</v>
          </cell>
          <cell r="C285" t="str">
            <v>KIA Sorrento</v>
          </cell>
          <cell r="D285">
            <v>39814</v>
          </cell>
          <cell r="E285">
            <v>40178</v>
          </cell>
          <cell r="F285">
            <v>5558.32</v>
          </cell>
          <cell r="G285">
            <v>-4188</v>
          </cell>
        </row>
        <row r="286">
          <cell r="B286" t="str">
            <v>Republic of SA</v>
          </cell>
          <cell r="C286" t="str">
            <v>License - KIA Sorento</v>
          </cell>
          <cell r="D286">
            <v>39387</v>
          </cell>
          <cell r="E286">
            <v>39752</v>
          </cell>
          <cell r="F286">
            <v>579</v>
          </cell>
          <cell r="G286">
            <v>239</v>
          </cell>
        </row>
        <row r="287">
          <cell r="B287" t="str">
            <v>Republic of SA</v>
          </cell>
          <cell r="C287" t="str">
            <v>License - Jeep Cherokee</v>
          </cell>
          <cell r="D287">
            <v>39387</v>
          </cell>
          <cell r="E287">
            <v>39752</v>
          </cell>
          <cell r="F287">
            <v>299.25</v>
          </cell>
          <cell r="G287">
            <v>123</v>
          </cell>
        </row>
        <row r="288">
          <cell r="F288">
            <v>0</v>
          </cell>
        </row>
        <row r="289">
          <cell r="G289">
            <v>2656</v>
          </cell>
        </row>
        <row r="291">
          <cell r="A291" t="str">
            <v>Telephone - Administration</v>
          </cell>
          <cell r="D291" t="str">
            <v>Paid from</v>
          </cell>
          <cell r="E291" t="str">
            <v>Paid till</v>
          </cell>
          <cell r="F291" t="str">
            <v>Amount paid</v>
          </cell>
          <cell r="G291" t="str">
            <v>Accr/(Prep)</v>
          </cell>
        </row>
        <row r="292">
          <cell r="C292" t="str">
            <v>Telkom - 2218 - Rent</v>
          </cell>
          <cell r="D292">
            <v>39687</v>
          </cell>
          <cell r="E292">
            <v>39717</v>
          </cell>
          <cell r="F292">
            <v>152.66</v>
          </cell>
          <cell r="G292">
            <v>946</v>
          </cell>
        </row>
        <row r="293">
          <cell r="C293" t="str">
            <v>Telkom - 2218 - Calls</v>
          </cell>
          <cell r="D293">
            <v>39656</v>
          </cell>
          <cell r="E293">
            <v>39686</v>
          </cell>
          <cell r="F293">
            <v>0</v>
          </cell>
          <cell r="G293">
            <v>0</v>
          </cell>
        </row>
        <row r="294">
          <cell r="C294" t="str">
            <v>Telkom - 6747 - Rent</v>
          </cell>
          <cell r="D294">
            <v>39871</v>
          </cell>
          <cell r="E294">
            <v>39898</v>
          </cell>
          <cell r="F294">
            <v>131.29</v>
          </cell>
          <cell r="G294">
            <v>24</v>
          </cell>
        </row>
        <row r="295">
          <cell r="C295" t="str">
            <v>Telkom - 6747 - Calls</v>
          </cell>
          <cell r="D295">
            <v>39840</v>
          </cell>
          <cell r="E295">
            <v>39870</v>
          </cell>
          <cell r="F295">
            <v>21.06</v>
          </cell>
          <cell r="G295">
            <v>23</v>
          </cell>
        </row>
        <row r="296">
          <cell r="C296" t="str">
            <v>Telkom - 7410 - Rent</v>
          </cell>
          <cell r="D296">
            <v>39856</v>
          </cell>
          <cell r="E296">
            <v>39883</v>
          </cell>
          <cell r="F296">
            <v>133.05000000000001</v>
          </cell>
          <cell r="G296">
            <v>99</v>
          </cell>
        </row>
        <row r="297">
          <cell r="C297" t="str">
            <v>Telkom - 7410 - Calls</v>
          </cell>
          <cell r="D297">
            <v>39825</v>
          </cell>
          <cell r="E297">
            <v>39855</v>
          </cell>
          <cell r="F297">
            <v>0</v>
          </cell>
          <cell r="G297">
            <v>0</v>
          </cell>
        </row>
        <row r="298">
          <cell r="C298" t="str">
            <v>Telkom - 7412 - Rent</v>
          </cell>
          <cell r="D298">
            <v>39856</v>
          </cell>
          <cell r="E298">
            <v>39883</v>
          </cell>
          <cell r="F298">
            <v>144.26</v>
          </cell>
          <cell r="G298">
            <v>107</v>
          </cell>
        </row>
        <row r="299">
          <cell r="C299" t="str">
            <v>Telkom - 7412 - Calls</v>
          </cell>
          <cell r="D299">
            <v>39825</v>
          </cell>
          <cell r="E299">
            <v>39855</v>
          </cell>
          <cell r="F299">
            <v>0</v>
          </cell>
          <cell r="G299">
            <v>0</v>
          </cell>
        </row>
        <row r="300">
          <cell r="C300" t="str">
            <v>Telkom - 4164 - Rent</v>
          </cell>
          <cell r="D300">
            <v>39871</v>
          </cell>
          <cell r="E300">
            <v>39898</v>
          </cell>
          <cell r="F300">
            <v>133.05000000000001</v>
          </cell>
          <cell r="G300">
            <v>25</v>
          </cell>
        </row>
        <row r="301">
          <cell r="C301" t="str">
            <v>Telkom - 4164 - Calls</v>
          </cell>
          <cell r="D301">
            <v>39840</v>
          </cell>
          <cell r="E301">
            <v>39870</v>
          </cell>
          <cell r="F301">
            <v>49.5</v>
          </cell>
          <cell r="G301">
            <v>54</v>
          </cell>
        </row>
        <row r="302">
          <cell r="C302" t="str">
            <v>Telkom - 4167 - Rent</v>
          </cell>
          <cell r="D302">
            <v>39871</v>
          </cell>
          <cell r="E302">
            <v>39898</v>
          </cell>
          <cell r="F302">
            <v>133.05000000000001</v>
          </cell>
          <cell r="G302">
            <v>25</v>
          </cell>
        </row>
        <row r="303">
          <cell r="C303" t="str">
            <v>Telkom - 4167 - Calls</v>
          </cell>
          <cell r="D303">
            <v>39840</v>
          </cell>
          <cell r="E303">
            <v>39870</v>
          </cell>
          <cell r="F303">
            <v>461.02000000000004</v>
          </cell>
          <cell r="G303">
            <v>507</v>
          </cell>
        </row>
        <row r="304">
          <cell r="C304" t="str">
            <v>Telkom - 1222 - Rent</v>
          </cell>
          <cell r="D304">
            <v>39871</v>
          </cell>
          <cell r="E304">
            <v>39898</v>
          </cell>
          <cell r="F304">
            <v>450.95000000000005</v>
          </cell>
          <cell r="G304">
            <v>84</v>
          </cell>
        </row>
        <row r="305">
          <cell r="C305" t="str">
            <v>Telkom - 1222 - Calls</v>
          </cell>
          <cell r="D305">
            <v>39840</v>
          </cell>
          <cell r="E305">
            <v>39870</v>
          </cell>
          <cell r="F305">
            <v>95.13000000000001</v>
          </cell>
          <cell r="G305">
            <v>105</v>
          </cell>
        </row>
        <row r="306">
          <cell r="C306" t="str">
            <v>Telkom - 9296 - Rent</v>
          </cell>
          <cell r="D306">
            <v>39871</v>
          </cell>
          <cell r="E306">
            <v>39898</v>
          </cell>
          <cell r="F306">
            <v>133.05000000000001</v>
          </cell>
          <cell r="G306">
            <v>25</v>
          </cell>
        </row>
        <row r="307">
          <cell r="C307" t="str">
            <v>Telkom - 9296 - Calls</v>
          </cell>
          <cell r="D307">
            <v>39840</v>
          </cell>
          <cell r="E307">
            <v>39870</v>
          </cell>
          <cell r="F307">
            <v>4.83</v>
          </cell>
          <cell r="G307">
            <v>5</v>
          </cell>
        </row>
        <row r="308">
          <cell r="B308" t="str">
            <v>prepayments</v>
          </cell>
          <cell r="C308" t="str">
            <v>Telkom - Debit in Creditors List</v>
          </cell>
          <cell r="F308">
            <v>341.02</v>
          </cell>
        </row>
        <row r="309">
          <cell r="F309">
            <v>0</v>
          </cell>
        </row>
        <row r="310">
          <cell r="F310">
            <v>0</v>
          </cell>
        </row>
        <row r="311">
          <cell r="G311">
            <v>2370</v>
          </cell>
        </row>
        <row r="313">
          <cell r="A313" t="str">
            <v>Internet Charges</v>
          </cell>
          <cell r="D313" t="str">
            <v>Paid from</v>
          </cell>
          <cell r="E313" t="str">
            <v>Paid till</v>
          </cell>
          <cell r="F313" t="str">
            <v>Amount paid</v>
          </cell>
          <cell r="G313" t="str">
            <v>Accr/(Prep)</v>
          </cell>
        </row>
        <row r="314">
          <cell r="C314" t="str">
            <v>Internet Solutions (adsl)</v>
          </cell>
          <cell r="D314">
            <v>39873</v>
          </cell>
          <cell r="E314">
            <v>39903</v>
          </cell>
          <cell r="F314">
            <v>2958.4</v>
          </cell>
          <cell r="G314">
            <v>0</v>
          </cell>
        </row>
        <row r="315">
          <cell r="C315" t="str">
            <v>MWEB (isdn)</v>
          </cell>
          <cell r="D315">
            <v>39904</v>
          </cell>
          <cell r="E315">
            <v>39933</v>
          </cell>
          <cell r="F315">
            <v>150</v>
          </cell>
          <cell r="G315">
            <v>-150</v>
          </cell>
        </row>
        <row r="316">
          <cell r="B316" t="str">
            <v>prepayments</v>
          </cell>
          <cell r="C316" t="str">
            <v>Mweb - Debit in Creditors List</v>
          </cell>
          <cell r="F316">
            <v>359</v>
          </cell>
        </row>
        <row r="317">
          <cell r="F317">
            <v>0</v>
          </cell>
        </row>
        <row r="318">
          <cell r="G318">
            <v>209</v>
          </cell>
        </row>
        <row r="320">
          <cell r="A320" t="str">
            <v>Mobile Telephones</v>
          </cell>
          <cell r="D320" t="str">
            <v>Paid from</v>
          </cell>
          <cell r="E320" t="str">
            <v>Paid till</v>
          </cell>
          <cell r="F320" t="str">
            <v>Amount paid</v>
          </cell>
          <cell r="G320" t="str">
            <v>Accr/(Prep)</v>
          </cell>
        </row>
        <row r="321">
          <cell r="C321" t="str">
            <v>Cell C</v>
          </cell>
          <cell r="D321">
            <v>39845</v>
          </cell>
          <cell r="E321">
            <v>39872</v>
          </cell>
          <cell r="F321">
            <v>3344.5</v>
          </cell>
          <cell r="G321">
            <v>3703</v>
          </cell>
        </row>
        <row r="322">
          <cell r="B322" t="str">
            <v>prepayments</v>
          </cell>
          <cell r="C322" t="str">
            <v>Cell C - Debit in Creditors List</v>
          </cell>
          <cell r="F322">
            <v>8307.5300000000007</v>
          </cell>
        </row>
        <row r="323">
          <cell r="F323">
            <v>0</v>
          </cell>
        </row>
        <row r="324">
          <cell r="G324">
            <v>12011</v>
          </cell>
        </row>
        <row r="326">
          <cell r="A326" t="str">
            <v>FTI Management Fees</v>
          </cell>
          <cell r="D326" t="str">
            <v>Income</v>
          </cell>
          <cell r="E326" t="str">
            <v>Already Cred</v>
          </cell>
          <cell r="F326" t="str">
            <v>Accrual</v>
          </cell>
        </row>
        <row r="327">
          <cell r="B327" t="str">
            <v>CCC</v>
          </cell>
          <cell r="C327" t="str">
            <v>1% Management Fees Jan-09</v>
          </cell>
          <cell r="D327">
            <v>7772969</v>
          </cell>
          <cell r="E327">
            <v>77730</v>
          </cell>
          <cell r="F327">
            <v>0</v>
          </cell>
        </row>
        <row r="328">
          <cell r="F328">
            <v>0</v>
          </cell>
        </row>
        <row r="329">
          <cell r="F329">
            <v>0</v>
          </cell>
        </row>
        <row r="330">
          <cell r="G330">
            <v>0</v>
          </cell>
        </row>
        <row r="332">
          <cell r="A332" t="str">
            <v>Audit Fees</v>
          </cell>
          <cell r="D332" t="str">
            <v>Paid from</v>
          </cell>
          <cell r="E332" t="str">
            <v>Paid till</v>
          </cell>
          <cell r="F332" t="str">
            <v>Amount paid</v>
          </cell>
          <cell r="G332" t="str">
            <v>Accr/(Prep)</v>
          </cell>
        </row>
        <row r="334">
          <cell r="B334" t="str">
            <v>Deloitte</v>
          </cell>
          <cell r="C334" t="str">
            <v>Charge for the Financial Year 09/2008</v>
          </cell>
          <cell r="F334">
            <v>41949</v>
          </cell>
          <cell r="G334">
            <v>41949</v>
          </cell>
        </row>
        <row r="335">
          <cell r="B335" t="str">
            <v>Henri Grove</v>
          </cell>
          <cell r="C335" t="str">
            <v>Charge for the Financial Year 09/2008</v>
          </cell>
          <cell r="F335">
            <v>31350</v>
          </cell>
          <cell r="G335">
            <v>0</v>
          </cell>
        </row>
        <row r="336">
          <cell r="A336" t="str">
            <v>Based on year ending 09/2008</v>
          </cell>
          <cell r="B336" t="str">
            <v>Deloitte</v>
          </cell>
          <cell r="C336" t="str">
            <v>Charge for the Financial Year 09/2009</v>
          </cell>
          <cell r="F336">
            <v>41949</v>
          </cell>
          <cell r="G336">
            <v>20975</v>
          </cell>
        </row>
        <row r="337">
          <cell r="B337" t="str">
            <v>Henri Grove</v>
          </cell>
          <cell r="C337" t="str">
            <v>Charge for the Financial Year 09/2009</v>
          </cell>
          <cell r="F337">
            <v>31350</v>
          </cell>
          <cell r="G337">
            <v>15675</v>
          </cell>
        </row>
        <row r="338">
          <cell r="B338" t="str">
            <v>Henri Grove</v>
          </cell>
          <cell r="C338" t="str">
            <v>Tax Return Services</v>
          </cell>
          <cell r="D338">
            <v>38991</v>
          </cell>
          <cell r="E338">
            <v>39355</v>
          </cell>
          <cell r="F338">
            <v>338</v>
          </cell>
          <cell r="G338">
            <v>509</v>
          </cell>
        </row>
        <row r="339">
          <cell r="F339">
            <v>0</v>
          </cell>
        </row>
        <row r="340">
          <cell r="G340">
            <v>79108</v>
          </cell>
        </row>
        <row r="342">
          <cell r="A342" t="str">
            <v>Accounting Fees</v>
          </cell>
          <cell r="D342" t="str">
            <v>Paid from</v>
          </cell>
          <cell r="E342" t="str">
            <v>Paid till</v>
          </cell>
          <cell r="F342" t="str">
            <v>Amount paid</v>
          </cell>
          <cell r="G342" t="str">
            <v>Accr/(Prep)</v>
          </cell>
        </row>
        <row r="343">
          <cell r="C343" t="str">
            <v>FTI Holdings Malta Limited</v>
          </cell>
          <cell r="D343">
            <v>39873</v>
          </cell>
          <cell r="E343">
            <v>39903</v>
          </cell>
          <cell r="F343">
            <v>30363.373499999998</v>
          </cell>
          <cell r="G343">
            <v>0</v>
          </cell>
        </row>
        <row r="344">
          <cell r="F344">
            <v>0</v>
          </cell>
        </row>
        <row r="345">
          <cell r="F345">
            <v>0</v>
          </cell>
        </row>
        <row r="346">
          <cell r="G346">
            <v>0</v>
          </cell>
        </row>
        <row r="348">
          <cell r="A348" t="str">
            <v>Legal &amp; Professional Fees</v>
          </cell>
          <cell r="F348">
            <v>0</v>
          </cell>
        </row>
        <row r="349">
          <cell r="F349">
            <v>0</v>
          </cell>
        </row>
        <row r="350">
          <cell r="F350">
            <v>0</v>
          </cell>
        </row>
        <row r="351">
          <cell r="G351">
            <v>0</v>
          </cell>
        </row>
        <row r="353">
          <cell r="A353" t="str">
            <v>Travelling Expenses</v>
          </cell>
          <cell r="D353" t="str">
            <v>Paid from</v>
          </cell>
          <cell r="E353" t="str">
            <v>Paid till</v>
          </cell>
          <cell r="F353" t="str">
            <v>Amount paid</v>
          </cell>
          <cell r="G353" t="str">
            <v>Accr/(Prep)</v>
          </cell>
        </row>
        <row r="354">
          <cell r="F354">
            <v>0</v>
          </cell>
          <cell r="G354">
            <v>0</v>
          </cell>
        </row>
        <row r="355">
          <cell r="F355">
            <v>0</v>
          </cell>
        </row>
        <row r="356">
          <cell r="F356">
            <v>0</v>
          </cell>
        </row>
        <row r="357">
          <cell r="G357">
            <v>0</v>
          </cell>
        </row>
        <row r="359">
          <cell r="A359" t="str">
            <v>Consultancy Fees</v>
          </cell>
          <cell r="D359" t="str">
            <v>Paid from</v>
          </cell>
          <cell r="E359" t="str">
            <v>Paid till</v>
          </cell>
          <cell r="F359" t="str">
            <v>Amount paid</v>
          </cell>
          <cell r="G359" t="str">
            <v>Accr/(Prep)</v>
          </cell>
        </row>
        <row r="360">
          <cell r="B360">
            <v>1887.66</v>
          </cell>
          <cell r="C360" t="str">
            <v>Rosa Salary Recharge</v>
          </cell>
          <cell r="D360">
            <v>39661</v>
          </cell>
          <cell r="E360">
            <v>39844</v>
          </cell>
          <cell r="F360">
            <v>29825.028000000002</v>
          </cell>
          <cell r="G360">
            <v>9615.7194098360651</v>
          </cell>
        </row>
        <row r="361">
          <cell r="B361" t="str">
            <v>prepayments</v>
          </cell>
          <cell r="C361" t="str">
            <v>SEESA - Debit in Creditors List</v>
          </cell>
          <cell r="F361">
            <v>3958.99</v>
          </cell>
        </row>
        <row r="362">
          <cell r="F362">
            <v>0</v>
          </cell>
        </row>
        <row r="363">
          <cell r="G363">
            <v>13575</v>
          </cell>
        </row>
        <row r="365">
          <cell r="A365" t="str">
            <v>Bank Charges</v>
          </cell>
          <cell r="D365" t="str">
            <v>posted till 31/03/09</v>
          </cell>
          <cell r="F365">
            <v>0</v>
          </cell>
        </row>
        <row r="366">
          <cell r="F366">
            <v>0</v>
          </cell>
        </row>
        <row r="367">
          <cell r="F367">
            <v>0</v>
          </cell>
        </row>
        <row r="368">
          <cell r="G368">
            <v>0</v>
          </cell>
        </row>
        <row r="370">
          <cell r="A370" t="str">
            <v>Credit Card Commission</v>
          </cell>
          <cell r="D370" t="str">
            <v>posted till 31/03/09</v>
          </cell>
          <cell r="F370">
            <v>0</v>
          </cell>
        </row>
        <row r="371">
          <cell r="F371">
            <v>0</v>
          </cell>
        </row>
        <row r="372">
          <cell r="F372">
            <v>0</v>
          </cell>
        </row>
        <row r="373">
          <cell r="G373">
            <v>0</v>
          </cell>
        </row>
        <row r="375">
          <cell r="A375" t="str">
            <v>Other Interest Payable</v>
          </cell>
          <cell r="D375" t="str">
            <v>posted till 31/03/09</v>
          </cell>
          <cell r="F375">
            <v>0</v>
          </cell>
        </row>
        <row r="376">
          <cell r="F376">
            <v>0</v>
          </cell>
        </row>
        <row r="377">
          <cell r="F377">
            <v>0</v>
          </cell>
        </row>
        <row r="378">
          <cell r="G378">
            <v>0</v>
          </cell>
        </row>
        <row r="380">
          <cell r="A380" t="str">
            <v>Bank Interest Payable</v>
          </cell>
          <cell r="C380" t="str">
            <v>Current Account</v>
          </cell>
          <cell r="D380" t="str">
            <v>posted till 31/03/09</v>
          </cell>
          <cell r="F380">
            <v>0</v>
          </cell>
        </row>
        <row r="381">
          <cell r="C381" t="str">
            <v>Call Account</v>
          </cell>
          <cell r="D381" t="str">
            <v>posted till 31/03/09</v>
          </cell>
          <cell r="F381">
            <v>0</v>
          </cell>
        </row>
        <row r="382">
          <cell r="F382">
            <v>0</v>
          </cell>
        </row>
        <row r="383">
          <cell r="G383">
            <v>0</v>
          </cell>
        </row>
        <row r="385">
          <cell r="A385" t="str">
            <v>Bank Interest Receivable</v>
          </cell>
          <cell r="C385" t="str">
            <v>Current account</v>
          </cell>
          <cell r="D385" t="str">
            <v>posted till 31/03/09</v>
          </cell>
          <cell r="F385">
            <v>0</v>
          </cell>
        </row>
        <row r="386">
          <cell r="C386" t="str">
            <v>Call Account</v>
          </cell>
          <cell r="D386" t="str">
            <v>posted till 31/03/09</v>
          </cell>
          <cell r="F386">
            <v>0</v>
          </cell>
        </row>
        <row r="387">
          <cell r="F387">
            <v>0</v>
          </cell>
        </row>
        <row r="388">
          <cell r="G388">
            <v>0</v>
          </cell>
        </row>
        <row r="390">
          <cell r="A390" t="str">
            <v>AC: HP Lease Interest - KIA Sorento</v>
          </cell>
          <cell r="C390" t="str">
            <v>Lease interest</v>
          </cell>
          <cell r="D390" t="str">
            <v>posted till 31/03/09</v>
          </cell>
          <cell r="F390">
            <v>0</v>
          </cell>
        </row>
        <row r="391">
          <cell r="F391">
            <v>0</v>
          </cell>
        </row>
        <row r="392">
          <cell r="F392">
            <v>0</v>
          </cell>
        </row>
        <row r="393">
          <cell r="G393">
            <v>0</v>
          </cell>
        </row>
        <row r="395">
          <cell r="A395" t="str">
            <v>AC: HP Lease Interest - MCC Smart</v>
          </cell>
          <cell r="C395" t="str">
            <v>Lease interest</v>
          </cell>
          <cell r="D395" t="str">
            <v>posted till 31/03/09</v>
          </cell>
          <cell r="F395">
            <v>0</v>
          </cell>
        </row>
        <row r="396">
          <cell r="F396">
            <v>0</v>
          </cell>
        </row>
        <row r="397">
          <cell r="F397">
            <v>0</v>
          </cell>
        </row>
        <row r="398">
          <cell r="G398">
            <v>0</v>
          </cell>
        </row>
        <row r="400">
          <cell r="A400" t="str">
            <v>AC: HP Lease Interest - KIA Pregio</v>
          </cell>
          <cell r="C400" t="str">
            <v>Lease interest</v>
          </cell>
          <cell r="D400" t="str">
            <v>posted till 31/03/09</v>
          </cell>
          <cell r="F400">
            <v>0</v>
          </cell>
        </row>
        <row r="401">
          <cell r="F401">
            <v>0</v>
          </cell>
        </row>
        <row r="402">
          <cell r="F402">
            <v>0</v>
          </cell>
        </row>
        <row r="403">
          <cell r="G403">
            <v>0</v>
          </cell>
        </row>
        <row r="405">
          <cell r="A405" t="str">
            <v>Lease of Equipment</v>
          </cell>
          <cell r="D405" t="str">
            <v>Paid from</v>
          </cell>
          <cell r="E405" t="str">
            <v>Paid till</v>
          </cell>
          <cell r="F405" t="str">
            <v>Amount paid</v>
          </cell>
          <cell r="G405" t="str">
            <v>Accr/(Prep)</v>
          </cell>
        </row>
        <row r="406">
          <cell r="C406" t="str">
            <v>Sasfin CCTV</v>
          </cell>
          <cell r="D406">
            <v>39873</v>
          </cell>
          <cell r="E406">
            <v>39903</v>
          </cell>
          <cell r="F406">
            <v>557.02</v>
          </cell>
          <cell r="G406">
            <v>0</v>
          </cell>
        </row>
        <row r="407">
          <cell r="B407" t="str">
            <v>prepayments</v>
          </cell>
          <cell r="C407" t="str">
            <v>Sasfin - Debit in Creditors List</v>
          </cell>
          <cell r="F407">
            <v>635</v>
          </cell>
        </row>
        <row r="408">
          <cell r="F408">
            <v>0</v>
          </cell>
        </row>
        <row r="409">
          <cell r="G409">
            <v>635</v>
          </cell>
        </row>
        <row r="411">
          <cell r="A411" t="str">
            <v>S&amp;M - Advertising</v>
          </cell>
          <cell r="D411" t="str">
            <v>Paid from</v>
          </cell>
          <cell r="E411" t="str">
            <v>Paid till</v>
          </cell>
          <cell r="F411" t="str">
            <v>Amount paid</v>
          </cell>
          <cell r="G411" t="str">
            <v>Accr/(Prep)</v>
          </cell>
        </row>
        <row r="412">
          <cell r="C412" t="str">
            <v>Telkom SA - Phone Book Ads</v>
          </cell>
          <cell r="D412">
            <v>39326</v>
          </cell>
          <cell r="E412">
            <v>39355</v>
          </cell>
          <cell r="F412">
            <v>67</v>
          </cell>
          <cell r="G412">
            <v>1266</v>
          </cell>
        </row>
        <row r="413">
          <cell r="B413" t="str">
            <v>prepayments</v>
          </cell>
          <cell r="C413" t="str">
            <v>Tatiana Cavarsam - Debit in Creditors List</v>
          </cell>
          <cell r="F413">
            <v>10000</v>
          </cell>
        </row>
        <row r="414">
          <cell r="F414">
            <v>0</v>
          </cell>
        </row>
        <row r="415">
          <cell r="G415">
            <v>11266</v>
          </cell>
        </row>
        <row r="417">
          <cell r="A417" t="str">
            <v>S&amp;M - IMS</v>
          </cell>
          <cell r="D417" t="str">
            <v>Paid from</v>
          </cell>
          <cell r="E417" t="str">
            <v>Paid till</v>
          </cell>
          <cell r="F417" t="str">
            <v>Amount paid</v>
          </cell>
          <cell r="G417" t="str">
            <v>Accr/(Prep)</v>
          </cell>
        </row>
        <row r="418">
          <cell r="B418">
            <v>55000</v>
          </cell>
          <cell r="C418" t="str">
            <v>International Marketing Services</v>
          </cell>
          <cell r="D418">
            <v>39722</v>
          </cell>
          <cell r="E418">
            <v>40086</v>
          </cell>
          <cell r="F418">
            <v>651750</v>
          </cell>
          <cell r="G418">
            <v>-326768</v>
          </cell>
        </row>
        <row r="420">
          <cell r="F420">
            <v>0</v>
          </cell>
        </row>
        <row r="421">
          <cell r="G421">
            <v>-326768</v>
          </cell>
        </row>
        <row r="423">
          <cell r="A423" t="str">
            <v>Memberships &amp; Subscriptions</v>
          </cell>
          <cell r="D423" t="str">
            <v>Paid from</v>
          </cell>
          <cell r="E423" t="str">
            <v>Paid till</v>
          </cell>
          <cell r="F423" t="str">
            <v>Amount paid</v>
          </cell>
          <cell r="G423" t="str">
            <v>Accr/(Prep)</v>
          </cell>
        </row>
        <row r="424">
          <cell r="C424" t="str">
            <v>Cape Regional Chamber</v>
          </cell>
          <cell r="D424">
            <v>38899</v>
          </cell>
          <cell r="E424">
            <v>39263</v>
          </cell>
          <cell r="F424">
            <v>1103</v>
          </cell>
          <cell r="G424">
            <v>1939.3406593406594</v>
          </cell>
        </row>
        <row r="425">
          <cell r="C425" t="str">
            <v>SATSA</v>
          </cell>
          <cell r="D425">
            <v>39814</v>
          </cell>
          <cell r="E425">
            <v>40178</v>
          </cell>
          <cell r="F425">
            <v>4995.96</v>
          </cell>
          <cell r="G425">
            <v>-3774.4203296703295</v>
          </cell>
        </row>
        <row r="426">
          <cell r="C426" t="str">
            <v>BSA Membership</v>
          </cell>
          <cell r="D426">
            <v>39630</v>
          </cell>
          <cell r="E426">
            <v>39994</v>
          </cell>
          <cell r="F426">
            <v>3500</v>
          </cell>
          <cell r="G426">
            <v>-875</v>
          </cell>
        </row>
        <row r="427">
          <cell r="C427" t="str">
            <v>ELTASA</v>
          </cell>
          <cell r="D427">
            <v>39661</v>
          </cell>
          <cell r="E427">
            <v>40025</v>
          </cell>
          <cell r="F427">
            <v>3700</v>
          </cell>
          <cell r="G427">
            <v>-1240.1098901098901</v>
          </cell>
        </row>
        <row r="428">
          <cell r="C428" t="str">
            <v>TV Licenses (SABC)</v>
          </cell>
          <cell r="D428">
            <v>39814</v>
          </cell>
          <cell r="E428">
            <v>40178</v>
          </cell>
          <cell r="F428">
            <v>1125</v>
          </cell>
          <cell r="G428">
            <v>-849.93131868131877</v>
          </cell>
        </row>
        <row r="429">
          <cell r="C429" t="str">
            <v>Liquor License</v>
          </cell>
          <cell r="D429">
            <v>39448</v>
          </cell>
          <cell r="E429">
            <v>39813</v>
          </cell>
          <cell r="F429">
            <v>250</v>
          </cell>
          <cell r="G429">
            <v>61.643835616438352</v>
          </cell>
        </row>
        <row r="430">
          <cell r="C430" t="str">
            <v>PO Box</v>
          </cell>
          <cell r="D430">
            <v>39814</v>
          </cell>
          <cell r="E430">
            <v>40178</v>
          </cell>
          <cell r="F430">
            <v>290</v>
          </cell>
          <cell r="G430">
            <v>-219.09340659340657</v>
          </cell>
        </row>
        <row r="431">
          <cell r="C431" t="str">
            <v>Backpacking South Africa</v>
          </cell>
          <cell r="D431">
            <v>39630</v>
          </cell>
          <cell r="E431">
            <v>39994</v>
          </cell>
          <cell r="F431">
            <v>1200</v>
          </cell>
          <cell r="G431">
            <v>-300</v>
          </cell>
        </row>
        <row r="432">
          <cell r="F432">
            <v>0</v>
          </cell>
        </row>
        <row r="433">
          <cell r="G433">
            <v>-5258</v>
          </cell>
        </row>
        <row r="435">
          <cell r="A435" t="str">
            <v>Sundry Expenses - Tuition</v>
          </cell>
          <cell r="F435">
            <v>0</v>
          </cell>
        </row>
        <row r="436">
          <cell r="F436">
            <v>0</v>
          </cell>
        </row>
        <row r="437">
          <cell r="F437">
            <v>0</v>
          </cell>
        </row>
        <row r="438">
          <cell r="G438">
            <v>0</v>
          </cell>
        </row>
        <row r="440">
          <cell r="A440" t="str">
            <v>Sundry Expenses - Excursions</v>
          </cell>
          <cell r="F440">
            <v>0</v>
          </cell>
        </row>
        <row r="441">
          <cell r="F441">
            <v>0</v>
          </cell>
        </row>
        <row r="442">
          <cell r="F442">
            <v>0</v>
          </cell>
        </row>
        <row r="443">
          <cell r="G443">
            <v>0</v>
          </cell>
        </row>
        <row r="445">
          <cell r="A445" t="str">
            <v>Sundry Expenses - Administration</v>
          </cell>
          <cell r="D445" t="str">
            <v>Paid from</v>
          </cell>
          <cell r="E445" t="str">
            <v>Paid till</v>
          </cell>
          <cell r="F445" t="str">
            <v>Amount paid</v>
          </cell>
          <cell r="G445" t="str">
            <v>Accr/(Prep)</v>
          </cell>
        </row>
        <row r="446">
          <cell r="C446" t="str">
            <v>Protea Medical Aid</v>
          </cell>
          <cell r="D446">
            <v>39904</v>
          </cell>
          <cell r="E446">
            <v>40086</v>
          </cell>
          <cell r="F446">
            <v>1770</v>
          </cell>
          <cell r="G446">
            <v>-1779.7252747252746</v>
          </cell>
        </row>
        <row r="447">
          <cell r="F447">
            <v>0</v>
          </cell>
        </row>
        <row r="448">
          <cell r="F448">
            <v>0</v>
          </cell>
        </row>
        <row r="449">
          <cell r="G449">
            <v>1770</v>
          </cell>
        </row>
        <row r="451">
          <cell r="A451" t="str">
            <v>Bad Debts Provision</v>
          </cell>
          <cell r="F451" t="str">
            <v>Amount paid</v>
          </cell>
          <cell r="G451" t="str">
            <v>Accr/(Prep)</v>
          </cell>
        </row>
        <row r="452">
          <cell r="C452" t="str">
            <v>Sem Destino</v>
          </cell>
          <cell r="E452">
            <v>2144.5</v>
          </cell>
          <cell r="F452">
            <v>16544.482421875</v>
          </cell>
        </row>
        <row r="453">
          <cell r="E453">
            <v>0</v>
          </cell>
          <cell r="F453">
            <v>0</v>
          </cell>
        </row>
        <row r="454">
          <cell r="F454">
            <v>0</v>
          </cell>
        </row>
        <row r="455">
          <cell r="G455">
            <v>16544</v>
          </cell>
        </row>
        <row r="457">
          <cell r="A457" t="str">
            <v>Bad Debts Written Off</v>
          </cell>
          <cell r="F457">
            <v>0</v>
          </cell>
        </row>
        <row r="458">
          <cell r="F458">
            <v>0</v>
          </cell>
        </row>
        <row r="459">
          <cell r="F459">
            <v>0</v>
          </cell>
        </row>
        <row r="460">
          <cell r="G460">
            <v>0</v>
          </cell>
        </row>
        <row r="462">
          <cell r="A462" t="str">
            <v>Security</v>
          </cell>
          <cell r="D462" t="str">
            <v>Paid from</v>
          </cell>
          <cell r="E462" t="str">
            <v>Paid till</v>
          </cell>
          <cell r="F462" t="str">
            <v>Amount paid</v>
          </cell>
          <cell r="G462" t="str">
            <v>Accr/(Prep)</v>
          </cell>
        </row>
        <row r="463">
          <cell r="C463" t="str">
            <v>World Focus</v>
          </cell>
          <cell r="D463">
            <v>39904</v>
          </cell>
          <cell r="E463">
            <v>39933</v>
          </cell>
          <cell r="F463">
            <v>12782.45</v>
          </cell>
          <cell r="G463">
            <v>-12782.45</v>
          </cell>
        </row>
        <row r="464">
          <cell r="C464" t="str">
            <v>Avenue Response</v>
          </cell>
          <cell r="D464">
            <v>39904</v>
          </cell>
          <cell r="E464">
            <v>39933</v>
          </cell>
          <cell r="F464">
            <v>315.79000000000002</v>
          </cell>
          <cell r="G464">
            <v>-315.79000000000002</v>
          </cell>
        </row>
        <row r="465">
          <cell r="F465">
            <v>0</v>
          </cell>
        </row>
        <row r="466">
          <cell r="F466">
            <v>0</v>
          </cell>
        </row>
        <row r="467">
          <cell r="G467">
            <v>-13098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يونيو 2025"/>
    </sheetNames>
    <sheetDataSet>
      <sheetData sheetId="0">
        <row r="2">
          <cell r="A2">
            <v>238</v>
          </cell>
          <cell r="B2" t="str">
            <v xml:space="preserve">اشرف محمد محروس محمود </v>
          </cell>
          <cell r="C2" t="str">
            <v>القاهرة</v>
          </cell>
          <cell r="D2" t="str">
            <v>التحصيل</v>
          </cell>
          <cell r="E2" t="str">
            <v>مشرف</v>
          </cell>
          <cell r="F2">
            <v>84803676</v>
          </cell>
          <cell r="G2">
            <v>45755</v>
          </cell>
          <cell r="H2">
            <v>4550</v>
          </cell>
          <cell r="I2">
            <v>3500</v>
          </cell>
        </row>
        <row r="3">
          <cell r="A3">
            <v>2</v>
          </cell>
          <cell r="B3" t="str">
            <v>علاء محمد عوض جاد الله</v>
          </cell>
          <cell r="C3" t="str">
            <v>المنصورة</v>
          </cell>
          <cell r="D3" t="str">
            <v>الادارى</v>
          </cell>
          <cell r="E3" t="str">
            <v>محامى</v>
          </cell>
          <cell r="F3">
            <v>63429579</v>
          </cell>
          <cell r="G3">
            <v>45206</v>
          </cell>
          <cell r="H3">
            <v>2991.15</v>
          </cell>
          <cell r="I3">
            <v>2300.8846153846152</v>
          </cell>
        </row>
        <row r="4">
          <cell r="A4">
            <v>558</v>
          </cell>
          <cell r="B4" t="str">
            <v xml:space="preserve">ايه محمد الفلاح عبدالقادر </v>
          </cell>
          <cell r="C4" t="str">
            <v>القاهرة</v>
          </cell>
          <cell r="D4" t="str">
            <v>التحصيل</v>
          </cell>
          <cell r="E4" t="str">
            <v>مشرف</v>
          </cell>
          <cell r="F4">
            <v>77825566</v>
          </cell>
          <cell r="G4">
            <v>45755</v>
          </cell>
          <cell r="H4">
            <v>5850</v>
          </cell>
          <cell r="I4">
            <v>4500</v>
          </cell>
        </row>
        <row r="5">
          <cell r="A5">
            <v>395</v>
          </cell>
          <cell r="B5" t="str">
            <v>مصطفى احمد عبد الهادى محمود</v>
          </cell>
          <cell r="C5" t="str">
            <v>القاهرة</v>
          </cell>
          <cell r="D5" t="str">
            <v>التحصيل</v>
          </cell>
          <cell r="E5" t="str">
            <v>محصل</v>
          </cell>
          <cell r="F5">
            <v>77141521</v>
          </cell>
          <cell r="G5">
            <v>45769</v>
          </cell>
          <cell r="H5">
            <v>4030</v>
          </cell>
          <cell r="I5">
            <v>3100</v>
          </cell>
        </row>
        <row r="6">
          <cell r="A6">
            <v>525</v>
          </cell>
          <cell r="B6" t="str">
            <v xml:space="preserve">عبير سليمان خلف سليمان </v>
          </cell>
          <cell r="C6" t="str">
            <v>القاهرة</v>
          </cell>
          <cell r="D6" t="str">
            <v>التحصيل</v>
          </cell>
          <cell r="E6" t="str">
            <v>محصل</v>
          </cell>
          <cell r="F6">
            <v>86924379</v>
          </cell>
          <cell r="G6">
            <v>45770</v>
          </cell>
          <cell r="H6">
            <v>3250</v>
          </cell>
          <cell r="I6">
            <v>2500</v>
          </cell>
        </row>
        <row r="7">
          <cell r="A7">
            <v>527</v>
          </cell>
          <cell r="B7" t="str">
            <v>محمد محمود حسين محمود</v>
          </cell>
          <cell r="C7" t="str">
            <v>القاهرة</v>
          </cell>
          <cell r="D7" t="str">
            <v>التحصيل</v>
          </cell>
          <cell r="E7" t="str">
            <v>مشرف</v>
          </cell>
          <cell r="F7">
            <v>79061470</v>
          </cell>
          <cell r="G7">
            <v>45769</v>
          </cell>
          <cell r="H7" t="str">
            <v xml:space="preserve">       7,475.00 </v>
          </cell>
          <cell r="I7">
            <v>5750</v>
          </cell>
        </row>
        <row r="8">
          <cell r="A8">
            <v>197</v>
          </cell>
          <cell r="B8" t="str">
            <v xml:space="preserve">احمد مجدى بكر على </v>
          </cell>
          <cell r="C8" t="str">
            <v>القاهرة</v>
          </cell>
          <cell r="D8" t="str">
            <v>التحصيل</v>
          </cell>
          <cell r="E8" t="str">
            <v>محصل</v>
          </cell>
          <cell r="F8">
            <v>60841821</v>
          </cell>
          <cell r="G8">
            <v>45782</v>
          </cell>
          <cell r="H8">
            <v>4550</v>
          </cell>
          <cell r="I8">
            <v>3500</v>
          </cell>
        </row>
        <row r="9">
          <cell r="A9">
            <v>262</v>
          </cell>
          <cell r="B9" t="str">
            <v xml:space="preserve">يارا رمضان يوسف عبده </v>
          </cell>
          <cell r="C9" t="str">
            <v>القاهرة</v>
          </cell>
          <cell r="D9" t="str">
            <v>التحصيل</v>
          </cell>
          <cell r="E9" t="str">
            <v>محصل</v>
          </cell>
          <cell r="F9">
            <v>85112137</v>
          </cell>
          <cell r="G9">
            <v>45784</v>
          </cell>
          <cell r="H9">
            <v>3510</v>
          </cell>
          <cell r="I9">
            <v>2700</v>
          </cell>
        </row>
        <row r="10">
          <cell r="A10">
            <v>473</v>
          </cell>
          <cell r="B10" t="str">
            <v>رحمه عاطف احمد علي</v>
          </cell>
          <cell r="C10" t="str">
            <v>القاهرة</v>
          </cell>
          <cell r="D10" t="str">
            <v>التحصيل</v>
          </cell>
          <cell r="E10" t="str">
            <v>محصل</v>
          </cell>
          <cell r="F10">
            <v>86707379</v>
          </cell>
          <cell r="G10">
            <v>45783</v>
          </cell>
          <cell r="H10">
            <v>3250</v>
          </cell>
          <cell r="I10">
            <v>2500</v>
          </cell>
        </row>
        <row r="11">
          <cell r="A11">
            <v>531</v>
          </cell>
          <cell r="B11" t="str">
            <v>ياسمين سيد عبدالله إبراهيم حسن نصار</v>
          </cell>
          <cell r="C11" t="str">
            <v>القاهرة</v>
          </cell>
          <cell r="D11" t="str">
            <v>التحصيل</v>
          </cell>
          <cell r="E11" t="str">
            <v>محصل</v>
          </cell>
          <cell r="F11">
            <v>86786752</v>
          </cell>
          <cell r="G11">
            <v>45782</v>
          </cell>
          <cell r="H11">
            <v>3250</v>
          </cell>
          <cell r="I11">
            <v>2500</v>
          </cell>
        </row>
        <row r="12">
          <cell r="A12">
            <v>136</v>
          </cell>
          <cell r="B12" t="str">
            <v>بهاء محمد السيد صالح أبو حسين</v>
          </cell>
          <cell r="C12" t="str">
            <v>المنصورة</v>
          </cell>
          <cell r="D12" t="str">
            <v>التحصيل</v>
          </cell>
          <cell r="E12" t="str">
            <v>رئيس فريق عمل</v>
          </cell>
          <cell r="F12">
            <v>62611072</v>
          </cell>
          <cell r="G12">
            <v>45483</v>
          </cell>
          <cell r="H12">
            <v>6800</v>
          </cell>
          <cell r="I12">
            <v>5230.7692307692305</v>
          </cell>
        </row>
        <row r="13">
          <cell r="A13">
            <v>131</v>
          </cell>
          <cell r="B13" t="str">
            <v>امانى طارق إبراهيم عبد الحميد</v>
          </cell>
          <cell r="C13" t="str">
            <v>المنصورة</v>
          </cell>
          <cell r="D13" t="str">
            <v>الادارى</v>
          </cell>
          <cell r="E13" t="str">
            <v>مدخل بيانات</v>
          </cell>
          <cell r="F13">
            <v>82010514</v>
          </cell>
          <cell r="G13">
            <v>45487</v>
          </cell>
          <cell r="H13">
            <v>4700.5</v>
          </cell>
          <cell r="I13">
            <v>3615.7692307692305</v>
          </cell>
        </row>
        <row r="14">
          <cell r="A14">
            <v>162</v>
          </cell>
          <cell r="B14" t="str">
            <v>عمرو على سليم محمد السيد</v>
          </cell>
          <cell r="C14" t="str">
            <v>المنصورة</v>
          </cell>
          <cell r="D14" t="str">
            <v>التحصيل</v>
          </cell>
          <cell r="E14" t="str">
            <v xml:space="preserve">مشرف </v>
          </cell>
          <cell r="F14">
            <v>17031712</v>
          </cell>
          <cell r="G14">
            <v>45487</v>
          </cell>
          <cell r="H14">
            <v>2991.15</v>
          </cell>
          <cell r="I14">
            <v>2300.8846153846152</v>
          </cell>
        </row>
        <row r="15">
          <cell r="A15">
            <v>571</v>
          </cell>
          <cell r="B15" t="str">
            <v>سلمى عادل محمد احمد</v>
          </cell>
          <cell r="C15" t="str">
            <v>القاهرة</v>
          </cell>
          <cell r="D15" t="str">
            <v>الادارى</v>
          </cell>
          <cell r="E15" t="str">
            <v>مدخل بيانات</v>
          </cell>
          <cell r="F15">
            <v>86932413</v>
          </cell>
          <cell r="G15">
            <v>45788</v>
          </cell>
          <cell r="H15">
            <v>3500.0030000000002</v>
          </cell>
          <cell r="I15">
            <v>2692.31</v>
          </cell>
        </row>
        <row r="16">
          <cell r="A16">
            <v>294</v>
          </cell>
          <cell r="B16" t="str">
            <v>باسم ناجى سعد ابرهيم خلف</v>
          </cell>
          <cell r="C16" t="str">
            <v>المنصورة</v>
          </cell>
          <cell r="D16" t="str">
            <v>الادارى</v>
          </cell>
          <cell r="E16" t="str">
            <v>مسئول ادارى</v>
          </cell>
          <cell r="F16">
            <v>69096370</v>
          </cell>
          <cell r="G16">
            <v>45577</v>
          </cell>
          <cell r="H16">
            <v>4850.0999999999995</v>
          </cell>
          <cell r="I16">
            <v>3730.8461538461534</v>
          </cell>
        </row>
        <row r="17">
          <cell r="A17">
            <v>177</v>
          </cell>
          <cell r="B17" t="str">
            <v>أسماء إبراهيم السيد عبد الله</v>
          </cell>
          <cell r="C17" t="str">
            <v>المنصورة</v>
          </cell>
          <cell r="D17" t="str">
            <v>التحصيل</v>
          </cell>
          <cell r="E17" t="str">
            <v>محصل</v>
          </cell>
          <cell r="F17">
            <v>84275315</v>
          </cell>
          <cell r="G17">
            <v>45588</v>
          </cell>
          <cell r="H17">
            <v>5780</v>
          </cell>
          <cell r="I17">
            <v>4446.1538461538457</v>
          </cell>
        </row>
        <row r="18">
          <cell r="A18">
            <v>289</v>
          </cell>
          <cell r="B18" t="str">
            <v>صبرى عبد الهادى عبد الهادى</v>
          </cell>
          <cell r="C18" t="str">
            <v>المنصورة</v>
          </cell>
          <cell r="D18" t="str">
            <v>الادارى</v>
          </cell>
          <cell r="E18" t="str">
            <v>عامل</v>
          </cell>
          <cell r="F18">
            <v>64279725</v>
          </cell>
          <cell r="G18">
            <v>45589</v>
          </cell>
          <cell r="H18">
            <v>4850.0999999999995</v>
          </cell>
          <cell r="I18">
            <v>3730.8461538461534</v>
          </cell>
        </row>
        <row r="19">
          <cell r="A19">
            <v>544</v>
          </cell>
          <cell r="B19" t="str">
            <v>احمد منصور سليم منصور سليم</v>
          </cell>
          <cell r="C19" t="str">
            <v>20أ القاهرة</v>
          </cell>
          <cell r="D19" t="str">
            <v>الادارى</v>
          </cell>
          <cell r="E19" t="str">
            <v>محامى</v>
          </cell>
          <cell r="F19">
            <v>75260450</v>
          </cell>
          <cell r="G19">
            <v>45826</v>
          </cell>
          <cell r="H19">
            <v>5850</v>
          </cell>
          <cell r="I19">
            <v>4500</v>
          </cell>
        </row>
        <row r="20">
          <cell r="A20">
            <v>129</v>
          </cell>
          <cell r="B20" t="str">
            <v>نانسى يوسف عزيز يوسف</v>
          </cell>
          <cell r="C20" t="str">
            <v>المنصورة</v>
          </cell>
          <cell r="D20" t="str">
            <v>التحصيل</v>
          </cell>
          <cell r="E20" t="str">
            <v>محامى</v>
          </cell>
          <cell r="F20">
            <v>70899072</v>
          </cell>
          <cell r="G20">
            <v>45591</v>
          </cell>
          <cell r="H20">
            <v>6800</v>
          </cell>
          <cell r="I20">
            <v>5230.7692307692305</v>
          </cell>
        </row>
        <row r="21">
          <cell r="A21">
            <v>577</v>
          </cell>
          <cell r="B21" t="str">
            <v>عزيزه عبدالكريم حسين غنيم</v>
          </cell>
          <cell r="C21" t="str">
            <v>20أ القاهرة</v>
          </cell>
          <cell r="D21" t="str">
            <v>الادارى</v>
          </cell>
          <cell r="E21" t="str">
            <v>محامى</v>
          </cell>
          <cell r="F21">
            <v>16068352</v>
          </cell>
          <cell r="G21">
            <v>45826</v>
          </cell>
          <cell r="H21">
            <v>4550</v>
          </cell>
          <cell r="I21">
            <v>3500</v>
          </cell>
        </row>
        <row r="22">
          <cell r="A22">
            <v>10</v>
          </cell>
          <cell r="B22" t="str">
            <v>عبد المنعم مجدى عبدربه محمد هلهل</v>
          </cell>
          <cell r="C22" t="str">
            <v>القاهرة</v>
          </cell>
          <cell r="D22" t="str">
            <v>الادارى</v>
          </cell>
          <cell r="E22" t="str">
            <v>مدير</v>
          </cell>
          <cell r="F22">
            <v>4870467</v>
          </cell>
          <cell r="G22">
            <v>45769</v>
          </cell>
          <cell r="H22">
            <v>2991.15</v>
          </cell>
          <cell r="I22">
            <v>2300.88</v>
          </cell>
        </row>
        <row r="23">
          <cell r="A23">
            <v>64</v>
          </cell>
          <cell r="B23" t="str">
            <v>تريز سامى رزق شحاته</v>
          </cell>
          <cell r="C23" t="str">
            <v>القاهرة</v>
          </cell>
          <cell r="D23" t="str">
            <v>الادارى</v>
          </cell>
          <cell r="E23" t="str">
            <v>مدير موارد بشرية</v>
          </cell>
          <cell r="F23">
            <v>44987709</v>
          </cell>
          <cell r="G23">
            <v>45769</v>
          </cell>
          <cell r="H23">
            <v>6800</v>
          </cell>
          <cell r="I23">
            <v>5230</v>
          </cell>
        </row>
        <row r="24">
          <cell r="A24">
            <v>355</v>
          </cell>
          <cell r="B24" t="str">
            <v>كرستينا مجدى محروس فؤاد</v>
          </cell>
          <cell r="C24" t="str">
            <v>القاهرة</v>
          </cell>
          <cell r="D24" t="str">
            <v>التحصيل</v>
          </cell>
          <cell r="E24" t="str">
            <v>محامى</v>
          </cell>
          <cell r="F24">
            <v>80952183</v>
          </cell>
          <cell r="G24">
            <v>45769</v>
          </cell>
          <cell r="H24">
            <v>3510</v>
          </cell>
          <cell r="I24">
            <v>2700</v>
          </cell>
        </row>
        <row r="25">
          <cell r="A25">
            <v>426</v>
          </cell>
          <cell r="B25" t="str">
            <v>هدير رمضان مصطفي عبد العال</v>
          </cell>
          <cell r="C25" t="str">
            <v>المنصورة</v>
          </cell>
          <cell r="D25" t="str">
            <v>التحصيل</v>
          </cell>
          <cell r="E25" t="str">
            <v>مشرف</v>
          </cell>
          <cell r="F25">
            <v>86577547</v>
          </cell>
          <cell r="G25">
            <v>45707</v>
          </cell>
          <cell r="H25">
            <v>3510</v>
          </cell>
          <cell r="I25">
            <v>2700</v>
          </cell>
        </row>
        <row r="26">
          <cell r="A26">
            <v>4</v>
          </cell>
          <cell r="B26" t="str">
            <v>وليد عبد الكريم عبد العليم</v>
          </cell>
          <cell r="C26" t="str">
            <v>القاهرة</v>
          </cell>
          <cell r="D26" t="str">
            <v>الادارى</v>
          </cell>
          <cell r="E26" t="str">
            <v>محامى</v>
          </cell>
          <cell r="F26">
            <v>20247501</v>
          </cell>
          <cell r="G26">
            <v>45153</v>
          </cell>
          <cell r="H26">
            <v>2991.15</v>
          </cell>
          <cell r="I26">
            <v>2300.8846153846152</v>
          </cell>
        </row>
        <row r="27">
          <cell r="A27">
            <v>5</v>
          </cell>
          <cell r="B27" t="str">
            <v>باسم صلاح عبد الله قوشتى</v>
          </cell>
          <cell r="C27" t="str">
            <v>القاهرة</v>
          </cell>
          <cell r="D27" t="str">
            <v>الادارى</v>
          </cell>
          <cell r="E27" t="str">
            <v>محامى</v>
          </cell>
          <cell r="F27">
            <v>17510267</v>
          </cell>
          <cell r="G27">
            <v>45206</v>
          </cell>
          <cell r="H27">
            <v>2991.15</v>
          </cell>
          <cell r="I27">
            <v>2300.8846153846152</v>
          </cell>
        </row>
        <row r="28">
          <cell r="A28">
            <v>9</v>
          </cell>
          <cell r="B28" t="str">
            <v>عمرو عصام بدر الدين</v>
          </cell>
          <cell r="C28" t="str">
            <v>القاهرة</v>
          </cell>
          <cell r="D28" t="str">
            <v>الادارى</v>
          </cell>
          <cell r="E28" t="str">
            <v>محامى</v>
          </cell>
          <cell r="F28">
            <v>74825582</v>
          </cell>
          <cell r="G28">
            <v>45339</v>
          </cell>
          <cell r="H28">
            <v>2991.15</v>
          </cell>
          <cell r="I28">
            <v>2300.8846153846152</v>
          </cell>
        </row>
        <row r="29">
          <cell r="A29">
            <v>19</v>
          </cell>
          <cell r="B29" t="str">
            <v>سحر اوسامة احمد محمد</v>
          </cell>
          <cell r="C29" t="str">
            <v>القاهرة</v>
          </cell>
          <cell r="D29" t="str">
            <v>الادارى</v>
          </cell>
          <cell r="E29" t="str">
            <v>مدير فرع</v>
          </cell>
          <cell r="F29">
            <v>84703275</v>
          </cell>
          <cell r="G29">
            <v>45261</v>
          </cell>
          <cell r="H29">
            <v>5737.5</v>
          </cell>
          <cell r="I29">
            <v>4413.4615384615381</v>
          </cell>
        </row>
        <row r="30">
          <cell r="A30">
            <v>20</v>
          </cell>
          <cell r="B30" t="str">
            <v>عبد العزيز صلاح عبد العزيز على حسن</v>
          </cell>
          <cell r="C30" t="str">
            <v>القاهرة</v>
          </cell>
          <cell r="D30" t="str">
            <v>الادارى</v>
          </cell>
          <cell r="E30" t="str">
            <v>محامى</v>
          </cell>
          <cell r="F30">
            <v>78798202</v>
          </cell>
          <cell r="G30">
            <v>45529</v>
          </cell>
          <cell r="H30">
            <v>4850.0999999999995</v>
          </cell>
          <cell r="I30">
            <v>3730.8461538461534</v>
          </cell>
        </row>
        <row r="31">
          <cell r="A31">
            <v>31</v>
          </cell>
          <cell r="B31" t="str">
            <v>محمود النادى أبو الحسن احمد</v>
          </cell>
          <cell r="C31" t="str">
            <v>القاهرة</v>
          </cell>
          <cell r="D31" t="str">
            <v>التحصيل</v>
          </cell>
          <cell r="E31" t="str">
            <v>كبير مشرفين</v>
          </cell>
          <cell r="F31">
            <v>70036920</v>
          </cell>
          <cell r="G31">
            <v>45620</v>
          </cell>
          <cell r="H31">
            <v>6800.0033999999996</v>
          </cell>
          <cell r="I31">
            <v>5230.7718461538452</v>
          </cell>
        </row>
        <row r="32">
          <cell r="A32">
            <v>35</v>
          </cell>
          <cell r="B32" t="str">
            <v>رحمة مصطفى خلف الله</v>
          </cell>
          <cell r="C32" t="str">
            <v>القاهرة</v>
          </cell>
          <cell r="D32" t="str">
            <v>الادارى</v>
          </cell>
          <cell r="E32" t="str">
            <v>مدخل بيانات</v>
          </cell>
          <cell r="F32">
            <v>83263266</v>
          </cell>
          <cell r="G32">
            <v>45556</v>
          </cell>
          <cell r="H32">
            <v>4850.0999999999995</v>
          </cell>
          <cell r="I32">
            <v>3730.8461538461534</v>
          </cell>
        </row>
        <row r="33">
          <cell r="A33">
            <v>45</v>
          </cell>
          <cell r="B33" t="str">
            <v>محمد مجدى ربيع عبد الغنى جاد</v>
          </cell>
          <cell r="C33" t="str">
            <v>القاهرة</v>
          </cell>
          <cell r="D33" t="str">
            <v>التحصيل</v>
          </cell>
          <cell r="E33" t="str">
            <v>مشرف تحصيل</v>
          </cell>
          <cell r="F33">
            <v>56127965</v>
          </cell>
          <cell r="G33">
            <v>45474</v>
          </cell>
          <cell r="H33">
            <v>6800</v>
          </cell>
          <cell r="I33">
            <v>5230.7692307692305</v>
          </cell>
        </row>
        <row r="34">
          <cell r="A34">
            <v>54</v>
          </cell>
          <cell r="B34" t="str">
            <v>رحاب عبد الهادى احمد بدوى</v>
          </cell>
          <cell r="C34" t="str">
            <v>القاهرة</v>
          </cell>
          <cell r="D34" t="str">
            <v>التحصيل</v>
          </cell>
          <cell r="E34" t="str">
            <v>مشرف تحصيل</v>
          </cell>
          <cell r="F34">
            <v>16218825</v>
          </cell>
          <cell r="G34">
            <v>45474</v>
          </cell>
          <cell r="H34">
            <v>6590.05</v>
          </cell>
          <cell r="I34">
            <v>5069.2692307692305</v>
          </cell>
        </row>
        <row r="35">
          <cell r="A35">
            <v>60</v>
          </cell>
          <cell r="B35" t="str">
            <v>مروة مصطفى على جاد</v>
          </cell>
          <cell r="C35" t="str">
            <v>القاهرة</v>
          </cell>
          <cell r="D35" t="str">
            <v>التحصيل</v>
          </cell>
          <cell r="E35" t="str">
            <v>مشرف تحصيل</v>
          </cell>
          <cell r="F35">
            <v>84252362</v>
          </cell>
          <cell r="G35">
            <v>45591</v>
          </cell>
          <cell r="H35">
            <v>5950</v>
          </cell>
          <cell r="I35">
            <v>4576.9230769230771</v>
          </cell>
        </row>
        <row r="36">
          <cell r="A36">
            <v>62</v>
          </cell>
          <cell r="B36" t="str">
            <v>محمد مجدى السيد عبد الدايم</v>
          </cell>
          <cell r="C36" t="str">
            <v>القاهرة</v>
          </cell>
          <cell r="D36" t="str">
            <v>الادارى</v>
          </cell>
          <cell r="E36" t="str">
            <v>محامى</v>
          </cell>
          <cell r="F36">
            <v>79726907</v>
          </cell>
          <cell r="G36">
            <v>45528</v>
          </cell>
          <cell r="H36">
            <v>4850.0999999999995</v>
          </cell>
          <cell r="I36">
            <v>3730.8461538461534</v>
          </cell>
        </row>
        <row r="37">
          <cell r="A37">
            <v>71</v>
          </cell>
          <cell r="B37" t="str">
            <v>ندى محمد سعد</v>
          </cell>
          <cell r="C37" t="str">
            <v>القاهرة</v>
          </cell>
          <cell r="D37" t="str">
            <v>التحصيل</v>
          </cell>
          <cell r="E37" t="str">
            <v>محصل</v>
          </cell>
          <cell r="F37">
            <v>85941058</v>
          </cell>
          <cell r="G37">
            <v>45543</v>
          </cell>
          <cell r="H37">
            <v>5525</v>
          </cell>
          <cell r="I37">
            <v>4250</v>
          </cell>
        </row>
        <row r="38">
          <cell r="A38">
            <v>83</v>
          </cell>
          <cell r="B38" t="str">
            <v>حبيبه احمد سلطان منصور عويس</v>
          </cell>
          <cell r="C38" t="str">
            <v>القاهرة</v>
          </cell>
          <cell r="D38" t="str">
            <v>التحصيل</v>
          </cell>
          <cell r="E38" t="str">
            <v>مشرف</v>
          </cell>
          <cell r="F38">
            <v>83816719</v>
          </cell>
          <cell r="G38">
            <v>45707</v>
          </cell>
          <cell r="H38">
            <v>5200</v>
          </cell>
          <cell r="I38">
            <v>4000</v>
          </cell>
        </row>
        <row r="39">
          <cell r="A39">
            <v>119</v>
          </cell>
          <cell r="B39" t="str">
            <v>مصطفى جميل عبد الفتاح محمد شاهين</v>
          </cell>
          <cell r="C39" t="str">
            <v>القاهرة</v>
          </cell>
          <cell r="D39" t="str">
            <v>التحصيل</v>
          </cell>
          <cell r="E39" t="str">
            <v>محصل</v>
          </cell>
          <cell r="F39">
            <v>84031561</v>
          </cell>
          <cell r="G39">
            <v>45476</v>
          </cell>
          <cell r="H39">
            <v>5950</v>
          </cell>
          <cell r="I39">
            <v>4576.9230769230771</v>
          </cell>
        </row>
        <row r="40">
          <cell r="A40">
            <v>466</v>
          </cell>
          <cell r="B40" t="str">
            <v>فاطمة محمود سلامة إبراهيم</v>
          </cell>
          <cell r="C40" t="str">
            <v>المنصورة</v>
          </cell>
          <cell r="D40" t="str">
            <v>التحصيل</v>
          </cell>
          <cell r="E40" t="str">
            <v>مشرف</v>
          </cell>
          <cell r="F40">
            <v>56838277</v>
          </cell>
          <cell r="G40">
            <v>45710</v>
          </cell>
          <cell r="H40">
            <v>3510</v>
          </cell>
          <cell r="I40">
            <v>2700</v>
          </cell>
        </row>
        <row r="41">
          <cell r="A41">
            <v>509</v>
          </cell>
          <cell r="B41" t="str">
            <v>كريم اشرف فاروق احمد</v>
          </cell>
          <cell r="C41" t="str">
            <v>المنصورة</v>
          </cell>
          <cell r="D41" t="str">
            <v>التحصيل</v>
          </cell>
          <cell r="E41" t="str">
            <v>محصل</v>
          </cell>
          <cell r="F41">
            <v>86578126</v>
          </cell>
          <cell r="G41">
            <v>45754</v>
          </cell>
          <cell r="H41">
            <v>4290</v>
          </cell>
          <cell r="I41">
            <v>3300</v>
          </cell>
        </row>
        <row r="42">
          <cell r="A42">
            <v>150</v>
          </cell>
          <cell r="B42" t="str">
            <v>هدى حسن السيد على الضوى</v>
          </cell>
          <cell r="C42" t="str">
            <v>القاهرة</v>
          </cell>
          <cell r="D42" t="str">
            <v>الادارى</v>
          </cell>
          <cell r="E42" t="str">
            <v>مدخل بيانات</v>
          </cell>
          <cell r="F42">
            <v>82666932</v>
          </cell>
          <cell r="G42">
            <v>45477</v>
          </cell>
          <cell r="H42">
            <v>4850.0999999999995</v>
          </cell>
          <cell r="I42">
            <v>3730.8461538461534</v>
          </cell>
        </row>
        <row r="43">
          <cell r="A43">
            <v>151</v>
          </cell>
          <cell r="B43" t="str">
            <v xml:space="preserve">احمد عبد الباسط عبد السلام محمد </v>
          </cell>
          <cell r="C43" t="str">
            <v>القاهرة</v>
          </cell>
          <cell r="D43" t="str">
            <v>الادارى</v>
          </cell>
          <cell r="E43" t="str">
            <v>محاسب</v>
          </cell>
          <cell r="F43">
            <v>82278993</v>
          </cell>
          <cell r="G43">
            <v>45621</v>
          </cell>
          <cell r="H43">
            <v>6800</v>
          </cell>
          <cell r="I43">
            <v>5230.7692307692305</v>
          </cell>
        </row>
        <row r="44">
          <cell r="A44">
            <v>563</v>
          </cell>
          <cell r="B44" t="str">
            <v>رقيه إبراهيم كمال محرم</v>
          </cell>
          <cell r="C44" t="str">
            <v>المنصورة</v>
          </cell>
          <cell r="D44" t="str">
            <v>التحصيل</v>
          </cell>
          <cell r="E44" t="str">
            <v>مدخل بيانات</v>
          </cell>
          <cell r="F44">
            <v>84086312</v>
          </cell>
          <cell r="G44">
            <v>45787</v>
          </cell>
          <cell r="H44">
            <v>4550</v>
          </cell>
          <cell r="I44">
            <v>3500</v>
          </cell>
        </row>
        <row r="45">
          <cell r="A45">
            <v>552</v>
          </cell>
          <cell r="B45" t="str">
            <v>صفيناز عبدالقادر علام عبدالقادر</v>
          </cell>
          <cell r="C45" t="str">
            <v>المنصورة</v>
          </cell>
          <cell r="D45" t="str">
            <v>التحصيل</v>
          </cell>
          <cell r="E45" t="str">
            <v>محصل</v>
          </cell>
          <cell r="F45">
            <v>86780606</v>
          </cell>
          <cell r="G45">
            <v>45788</v>
          </cell>
          <cell r="H45">
            <v>3250</v>
          </cell>
          <cell r="I45">
            <v>2500</v>
          </cell>
        </row>
        <row r="46">
          <cell r="A46">
            <v>215</v>
          </cell>
          <cell r="B46" t="str">
            <v>روان عادل محمد عبد الكريم</v>
          </cell>
          <cell r="C46" t="str">
            <v>القاهرة</v>
          </cell>
          <cell r="D46" t="str">
            <v>التحصيل</v>
          </cell>
          <cell r="E46" t="str">
            <v>محصل</v>
          </cell>
          <cell r="F46">
            <v>84638798</v>
          </cell>
          <cell r="G46">
            <v>45477</v>
          </cell>
          <cell r="H46">
            <v>5525</v>
          </cell>
          <cell r="I46">
            <v>4250</v>
          </cell>
        </row>
        <row r="47">
          <cell r="A47">
            <v>239</v>
          </cell>
          <cell r="B47" t="str">
            <v xml:space="preserve">يوسف كامل  عبد الله صبحى غنيم </v>
          </cell>
          <cell r="C47" t="str">
            <v>القاهرة</v>
          </cell>
          <cell r="D47" t="str">
            <v>التحصيل</v>
          </cell>
          <cell r="E47" t="str">
            <v>محصل</v>
          </cell>
          <cell r="F47">
            <v>84803569</v>
          </cell>
          <cell r="G47">
            <v>45556</v>
          </cell>
          <cell r="H47">
            <v>5950</v>
          </cell>
          <cell r="I47">
            <v>4576.9230769230771</v>
          </cell>
        </row>
        <row r="48">
          <cell r="A48">
            <v>258</v>
          </cell>
          <cell r="B48" t="str">
            <v xml:space="preserve">منار  سيد عثمان احمد </v>
          </cell>
          <cell r="C48" t="str">
            <v>القاهرة</v>
          </cell>
          <cell r="D48" t="str">
            <v>التحصيل</v>
          </cell>
          <cell r="E48" t="str">
            <v>محصل</v>
          </cell>
          <cell r="F48">
            <v>82619162</v>
          </cell>
          <cell r="G48">
            <v>45548</v>
          </cell>
          <cell r="H48">
            <v>6800</v>
          </cell>
          <cell r="I48">
            <v>5230.7692307692305</v>
          </cell>
        </row>
        <row r="49">
          <cell r="A49">
            <v>269</v>
          </cell>
          <cell r="B49" t="str">
            <v xml:space="preserve">هاجر شريف محمد عبد الرؤف </v>
          </cell>
          <cell r="C49" t="str">
            <v>القاهرة</v>
          </cell>
          <cell r="D49" t="str">
            <v>التحصيل</v>
          </cell>
          <cell r="E49" t="str">
            <v>محصل</v>
          </cell>
          <cell r="F49">
            <v>73067897</v>
          </cell>
          <cell r="G49">
            <v>45705</v>
          </cell>
          <cell r="H49">
            <v>3900</v>
          </cell>
          <cell r="I49">
            <v>3000</v>
          </cell>
        </row>
        <row r="50">
          <cell r="A50">
            <v>273</v>
          </cell>
          <cell r="B50" t="str">
            <v xml:space="preserve">ملك رمضان يوسف عبده </v>
          </cell>
          <cell r="C50" t="str">
            <v>القاهرة</v>
          </cell>
          <cell r="D50" t="str">
            <v>التحصيل</v>
          </cell>
          <cell r="E50" t="str">
            <v>محصل</v>
          </cell>
          <cell r="F50">
            <v>85046451</v>
          </cell>
          <cell r="G50">
            <v>45616</v>
          </cell>
          <cell r="H50">
            <v>5315.05</v>
          </cell>
          <cell r="I50">
            <v>4088.5</v>
          </cell>
        </row>
        <row r="51">
          <cell r="A51">
            <v>603</v>
          </cell>
          <cell r="B51" t="str">
            <v>السيد محمد السيد بدوى حلابه</v>
          </cell>
          <cell r="C51" t="str">
            <v>المنصورة</v>
          </cell>
          <cell r="D51" t="str">
            <v>التحصيل</v>
          </cell>
          <cell r="E51" t="str">
            <v>مشرف</v>
          </cell>
          <cell r="F51">
            <v>68171784</v>
          </cell>
          <cell r="G51">
            <v>45794</v>
          </cell>
          <cell r="H51">
            <v>6500</v>
          </cell>
          <cell r="I51">
            <v>5000</v>
          </cell>
        </row>
        <row r="52">
          <cell r="A52">
            <v>523</v>
          </cell>
          <cell r="B52" t="str">
            <v>عفاف إبراهيم محمد عبد المجيد</v>
          </cell>
          <cell r="C52" t="str">
            <v>المنصورة</v>
          </cell>
          <cell r="D52" t="str">
            <v>التحصيل</v>
          </cell>
          <cell r="E52" t="str">
            <v>محصل</v>
          </cell>
          <cell r="F52">
            <v>17092296</v>
          </cell>
          <cell r="G52">
            <v>45825</v>
          </cell>
          <cell r="H52">
            <v>3250</v>
          </cell>
          <cell r="I52">
            <v>2500</v>
          </cell>
        </row>
        <row r="53">
          <cell r="A53">
            <v>332</v>
          </cell>
          <cell r="B53" t="str">
            <v xml:space="preserve">إسماعيل سلامه إسماعيل بركات </v>
          </cell>
          <cell r="C53" t="str">
            <v>القاهرة</v>
          </cell>
          <cell r="D53" t="str">
            <v>التحصيل</v>
          </cell>
          <cell r="E53" t="str">
            <v>محصل</v>
          </cell>
          <cell r="F53">
            <v>85532319</v>
          </cell>
          <cell r="G53">
            <v>45619</v>
          </cell>
          <cell r="H53">
            <v>5525</v>
          </cell>
          <cell r="I53">
            <v>4250</v>
          </cell>
        </row>
        <row r="54">
          <cell r="A54">
            <v>378</v>
          </cell>
          <cell r="B54" t="str">
            <v>عبد الحميد نبوى فهيم محمد</v>
          </cell>
          <cell r="C54" t="str">
            <v>القاهرة</v>
          </cell>
          <cell r="D54" t="str">
            <v>التحصيل</v>
          </cell>
          <cell r="E54" t="str">
            <v>محصل</v>
          </cell>
          <cell r="F54">
            <v>30635494</v>
          </cell>
          <cell r="G54">
            <v>45566</v>
          </cell>
          <cell r="H54">
            <v>6800</v>
          </cell>
          <cell r="I54">
            <v>5230.7692307692305</v>
          </cell>
        </row>
        <row r="55">
          <cell r="A55">
            <v>389</v>
          </cell>
          <cell r="B55" t="str">
            <v>ادهم رؤوف كمال كامل سعيد</v>
          </cell>
          <cell r="C55" t="str">
            <v>القاهرة</v>
          </cell>
          <cell r="D55" t="str">
            <v>التحصيل</v>
          </cell>
          <cell r="E55" t="str">
            <v>محصل</v>
          </cell>
          <cell r="F55">
            <v>86637281</v>
          </cell>
          <cell r="G55">
            <v>45714</v>
          </cell>
          <cell r="H55">
            <v>3510</v>
          </cell>
          <cell r="I55">
            <v>2500</v>
          </cell>
        </row>
        <row r="56">
          <cell r="A56">
            <v>421</v>
          </cell>
          <cell r="B56" t="str">
            <v>محمد احمد ناجز سعيد</v>
          </cell>
          <cell r="C56" t="str">
            <v>القاهرة</v>
          </cell>
          <cell r="D56" t="str">
            <v>التحصيل</v>
          </cell>
          <cell r="E56" t="str">
            <v>محصل</v>
          </cell>
          <cell r="F56">
            <v>85908911</v>
          </cell>
          <cell r="G56">
            <v>45617</v>
          </cell>
          <cell r="H56">
            <v>5695</v>
          </cell>
          <cell r="I56">
            <v>4380.7692307692305</v>
          </cell>
        </row>
        <row r="57">
          <cell r="A57">
            <v>554</v>
          </cell>
          <cell r="B57" t="str">
            <v>نيره عادل محمد حسين حجازى</v>
          </cell>
          <cell r="C57" t="str">
            <v>المنصورة</v>
          </cell>
          <cell r="D57" t="str">
            <v>التحصيل</v>
          </cell>
          <cell r="E57" t="str">
            <v>محصل</v>
          </cell>
          <cell r="F57">
            <v>86764863</v>
          </cell>
          <cell r="G57">
            <v>45825</v>
          </cell>
          <cell r="H57">
            <v>3250</v>
          </cell>
          <cell r="I57">
            <v>2500</v>
          </cell>
        </row>
        <row r="58">
          <cell r="A58">
            <v>133</v>
          </cell>
          <cell r="B58" t="str">
            <v>نادين عماد منصور محمد</v>
          </cell>
          <cell r="C58" t="str">
            <v>المنصورة</v>
          </cell>
          <cell r="D58" t="str">
            <v>التحصيل</v>
          </cell>
          <cell r="E58" t="str">
            <v>محامى</v>
          </cell>
          <cell r="F58">
            <v>84214333</v>
          </cell>
          <cell r="G58">
            <v>45826</v>
          </cell>
          <cell r="H58">
            <v>5200</v>
          </cell>
          <cell r="I58">
            <v>4000</v>
          </cell>
        </row>
        <row r="59">
          <cell r="A59">
            <v>483</v>
          </cell>
          <cell r="B59" t="str">
            <v>حبيبه بدر  حنفي محمود</v>
          </cell>
          <cell r="C59" t="str">
            <v>القاهرة</v>
          </cell>
          <cell r="D59" t="str">
            <v>الادارى</v>
          </cell>
          <cell r="E59" t="str">
            <v>مسئول موارد بشرية</v>
          </cell>
          <cell r="F59">
            <v>82630562</v>
          </cell>
          <cell r="G59">
            <v>45710</v>
          </cell>
          <cell r="H59">
            <v>4550</v>
          </cell>
          <cell r="I59">
            <v>3500</v>
          </cell>
        </row>
        <row r="60">
          <cell r="A60">
            <v>504</v>
          </cell>
          <cell r="B60" t="str">
            <v>بلال فريد شوقي احمد</v>
          </cell>
          <cell r="C60" t="str">
            <v>القاهرة</v>
          </cell>
          <cell r="D60" t="str">
            <v>التحصيل</v>
          </cell>
          <cell r="E60" t="str">
            <v>محصل</v>
          </cell>
          <cell r="F60">
            <v>86321429</v>
          </cell>
          <cell r="G60">
            <v>45706</v>
          </cell>
          <cell r="H60">
            <v>3510</v>
          </cell>
          <cell r="I60">
            <v>2700</v>
          </cell>
        </row>
        <row r="61">
          <cell r="A61">
            <v>512</v>
          </cell>
          <cell r="B61" t="str">
            <v>شريهان كمال شفيق حسب الله</v>
          </cell>
          <cell r="C61" t="str">
            <v>القاهرة</v>
          </cell>
          <cell r="D61" t="str">
            <v>التحصيل</v>
          </cell>
          <cell r="E61" t="str">
            <v>محصل</v>
          </cell>
          <cell r="F61">
            <v>76674478</v>
          </cell>
          <cell r="G61">
            <v>45706</v>
          </cell>
          <cell r="H61">
            <v>3250</v>
          </cell>
          <cell r="I61">
            <v>2500</v>
          </cell>
        </row>
        <row r="62">
          <cell r="A62">
            <v>514</v>
          </cell>
          <cell r="B62" t="str">
            <v>حسين احمد حسين محمود مرسى</v>
          </cell>
          <cell r="C62" t="str">
            <v>القاهرة</v>
          </cell>
          <cell r="D62" t="str">
            <v>التحصيل</v>
          </cell>
          <cell r="E62" t="str">
            <v>محصل</v>
          </cell>
          <cell r="F62">
            <v>78894441</v>
          </cell>
          <cell r="G62">
            <v>45704</v>
          </cell>
          <cell r="H62">
            <v>3900</v>
          </cell>
          <cell r="I62">
            <v>3000</v>
          </cell>
        </row>
        <row r="63">
          <cell r="A63">
            <v>588</v>
          </cell>
          <cell r="B63" t="str">
            <v>ياسمين محمد جميل محمود</v>
          </cell>
          <cell r="C63" t="str">
            <v>25ج القاهرة</v>
          </cell>
          <cell r="D63" t="str">
            <v>الادارى</v>
          </cell>
          <cell r="E63" t="str">
            <v>مدخل بيانات</v>
          </cell>
          <cell r="F63">
            <v>81520308</v>
          </cell>
          <cell r="G63">
            <v>45824</v>
          </cell>
          <cell r="H63">
            <v>3500.0030000000002</v>
          </cell>
          <cell r="I63">
            <v>2692.31</v>
          </cell>
        </row>
        <row r="64">
          <cell r="A64">
            <v>621</v>
          </cell>
          <cell r="B64" t="str">
            <v>بسنت نصر سالم محمد سالم</v>
          </cell>
          <cell r="C64" t="str">
            <v>25ج القاهرة</v>
          </cell>
          <cell r="D64" t="str">
            <v>التحصيل</v>
          </cell>
          <cell r="E64" t="str">
            <v>محصل</v>
          </cell>
          <cell r="F64">
            <v>62624826</v>
          </cell>
          <cell r="G64">
            <v>45826</v>
          </cell>
          <cell r="H64">
            <v>3250</v>
          </cell>
          <cell r="I64">
            <v>2500</v>
          </cell>
        </row>
        <row r="65">
          <cell r="A65">
            <v>629</v>
          </cell>
          <cell r="B65" t="str">
            <v>فاتن عبده مصطفى احمد المنشاوى</v>
          </cell>
          <cell r="C65" t="str">
            <v>المنصورة</v>
          </cell>
          <cell r="D65" t="str">
            <v>التحصيل</v>
          </cell>
          <cell r="E65" t="str">
            <v>محصل</v>
          </cell>
          <cell r="F65">
            <v>15599245</v>
          </cell>
          <cell r="G65">
            <v>45826</v>
          </cell>
          <cell r="H65">
            <v>3250</v>
          </cell>
          <cell r="I65">
            <v>2500</v>
          </cell>
        </row>
        <row r="66">
          <cell r="A66"/>
          <cell r="B66" t="str">
            <v>احمد محمد مقيبل محمد</v>
          </cell>
          <cell r="C66" t="str">
            <v>القاهرة</v>
          </cell>
          <cell r="D66" t="str">
            <v>الادارى</v>
          </cell>
          <cell r="E66" t="str">
            <v xml:space="preserve">مدير </v>
          </cell>
          <cell r="F66">
            <v>50540575</v>
          </cell>
          <cell r="G66">
            <v>45228</v>
          </cell>
          <cell r="H66">
            <v>2991.15</v>
          </cell>
          <cell r="I66">
            <v>2300.8846153846152</v>
          </cell>
        </row>
        <row r="67">
          <cell r="A67"/>
          <cell r="B67" t="str">
            <v>عوض محمد عوض جاد الله</v>
          </cell>
          <cell r="C67" t="str">
            <v>القاهرة</v>
          </cell>
          <cell r="D67" t="str">
            <v>الادارى</v>
          </cell>
          <cell r="E67" t="str">
            <v>مسئول ادارى</v>
          </cell>
          <cell r="F67">
            <v>68528548</v>
          </cell>
          <cell r="G67">
            <v>45206</v>
          </cell>
          <cell r="H67">
            <v>2991.15</v>
          </cell>
          <cell r="I67">
            <v>2300.8846153846152</v>
          </cell>
        </row>
        <row r="68">
          <cell r="A68"/>
          <cell r="B68" t="str">
            <v>دينا ادوارد حبيب</v>
          </cell>
          <cell r="C68" t="str">
            <v>القاهرة</v>
          </cell>
          <cell r="D68" t="str">
            <v>الادارى</v>
          </cell>
          <cell r="E68" t="str">
            <v>مشرف</v>
          </cell>
          <cell r="F68">
            <v>53499904</v>
          </cell>
          <cell r="G68">
            <v>45861</v>
          </cell>
          <cell r="H68">
            <v>6500</v>
          </cell>
          <cell r="I68">
            <v>5000</v>
          </cell>
        </row>
        <row r="69">
          <cell r="A69">
            <v>594</v>
          </cell>
          <cell r="B69" t="str">
            <v>امنيه وليد احمد توفيق</v>
          </cell>
          <cell r="C69" t="str">
            <v>25ج القاهرة</v>
          </cell>
          <cell r="D69" t="str">
            <v>التحصيل</v>
          </cell>
          <cell r="E69" t="str">
            <v>محصل</v>
          </cell>
          <cell r="F69">
            <v>84277911</v>
          </cell>
          <cell r="G69">
            <v>45864</v>
          </cell>
          <cell r="H69">
            <v>3250</v>
          </cell>
          <cell r="I69">
            <v>2500</v>
          </cell>
        </row>
        <row r="70">
          <cell r="A70">
            <v>545</v>
          </cell>
          <cell r="B70" t="str">
            <v>محمد الظافر محمد رفعت احمد إبراهيم</v>
          </cell>
          <cell r="C70" t="str">
            <v>20أ القاهرة</v>
          </cell>
          <cell r="D70" t="str">
            <v>الادارى</v>
          </cell>
          <cell r="E70" t="str">
            <v>محامى</v>
          </cell>
          <cell r="F70">
            <v>74679100</v>
          </cell>
          <cell r="G70">
            <v>45860</v>
          </cell>
          <cell r="H70">
            <v>6500</v>
          </cell>
          <cell r="I70">
            <v>5000</v>
          </cell>
        </row>
        <row r="71">
          <cell r="A71">
            <v>644</v>
          </cell>
          <cell r="B71" t="str">
            <v>اسراء خالد عبدالرؤوف مشرف</v>
          </cell>
          <cell r="C71" t="str">
            <v>20أ القاهرة</v>
          </cell>
          <cell r="D71" t="str">
            <v>الادارى</v>
          </cell>
          <cell r="E71" t="str">
            <v>مدخل بيانات</v>
          </cell>
          <cell r="F71">
            <v>80677472</v>
          </cell>
          <cell r="G71">
            <v>45894</v>
          </cell>
          <cell r="H71">
            <v>4000</v>
          </cell>
          <cell r="I71">
            <v>3077</v>
          </cell>
        </row>
        <row r="72">
          <cell r="A72">
            <v>645</v>
          </cell>
          <cell r="B72" t="str">
            <v>سلمى خالد عبدالرؤوف مشرف</v>
          </cell>
          <cell r="C72" t="str">
            <v>20أ القاهرة</v>
          </cell>
          <cell r="D72" t="str">
            <v>الادارى</v>
          </cell>
          <cell r="E72" t="str">
            <v>مدخل بيانات</v>
          </cell>
          <cell r="F72">
            <v>80677495</v>
          </cell>
          <cell r="G72">
            <v>45894</v>
          </cell>
          <cell r="H72">
            <v>4000</v>
          </cell>
          <cell r="I72">
            <v>3077</v>
          </cell>
        </row>
        <row r="73">
          <cell r="A73">
            <v>334</v>
          </cell>
          <cell r="B73" t="str">
            <v>عبد الله كامل عبد الله صبحى غنيم</v>
          </cell>
          <cell r="C73" t="str">
            <v>20أ القاهرة</v>
          </cell>
          <cell r="D73" t="str">
            <v>التحصيل</v>
          </cell>
          <cell r="E73" t="str">
            <v>محصل</v>
          </cell>
          <cell r="F73">
            <v>77610653</v>
          </cell>
          <cell r="G73">
            <v>45894</v>
          </cell>
          <cell r="H73">
            <v>4160</v>
          </cell>
          <cell r="I73">
            <v>3200</v>
          </cell>
        </row>
        <row r="74">
          <cell r="A74">
            <v>648</v>
          </cell>
          <cell r="B74" t="str">
            <v>محمد راضى رمضان محمد</v>
          </cell>
          <cell r="C74" t="str">
            <v>20أ القاهرة</v>
          </cell>
          <cell r="D74" t="str">
            <v>الادارى</v>
          </cell>
          <cell r="E74" t="str">
            <v>مدخل بيانات</v>
          </cell>
          <cell r="F74">
            <v>84307636</v>
          </cell>
          <cell r="G74">
            <v>45894</v>
          </cell>
          <cell r="H74">
            <v>4000</v>
          </cell>
          <cell r="I74">
            <v>3077</v>
          </cell>
        </row>
        <row r="75">
          <cell r="A75">
            <v>657</v>
          </cell>
          <cell r="B75" t="str">
            <v xml:space="preserve">محمود فوزى بخيت على سليمان </v>
          </cell>
          <cell r="C75" t="str">
            <v>20أ القاهرة</v>
          </cell>
          <cell r="D75" t="str">
            <v>التحصيل</v>
          </cell>
          <cell r="E75" t="str">
            <v>مشرف</v>
          </cell>
          <cell r="F75">
            <v>26492109</v>
          </cell>
          <cell r="G75">
            <v>45896</v>
          </cell>
          <cell r="H75">
            <v>6500</v>
          </cell>
          <cell r="I75">
            <v>5000</v>
          </cell>
        </row>
        <row r="76">
          <cell r="A76">
            <v>515</v>
          </cell>
          <cell r="B76" t="str">
            <v>محمد عبدالمنعم عبدالحليم إبراهيم</v>
          </cell>
          <cell r="C76" t="str">
            <v>20أ القاهرة</v>
          </cell>
          <cell r="D76" t="str">
            <v>الادارى</v>
          </cell>
          <cell r="E76" t="str">
            <v>عامل</v>
          </cell>
          <cell r="F76">
            <v>64247444</v>
          </cell>
          <cell r="G76">
            <v>45889</v>
          </cell>
          <cell r="H76">
            <v>5200</v>
          </cell>
          <cell r="I76">
            <v>4000</v>
          </cell>
        </row>
        <row r="77">
          <cell r="A77">
            <v>493</v>
          </cell>
          <cell r="B77" t="str">
            <v>محمود محمد محمود محمد</v>
          </cell>
          <cell r="C77" t="str">
            <v>20أ القاهرة</v>
          </cell>
          <cell r="D77" t="str">
            <v>الادارى</v>
          </cell>
          <cell r="E77" t="str">
            <v>محامى</v>
          </cell>
          <cell r="F77">
            <v>82129635</v>
          </cell>
          <cell r="G77">
            <v>45860</v>
          </cell>
          <cell r="H77">
            <v>5200</v>
          </cell>
          <cell r="I77">
            <v>4000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قاعدة بيانات  "/>
      <sheetName val="تحليلات 2024"/>
      <sheetName val="Report "/>
      <sheetName val="الايرادات "/>
      <sheetName val="الخزينه "/>
      <sheetName val="خزينه السلف "/>
      <sheetName val="العهد "/>
      <sheetName val="فورى"/>
      <sheetName val="فوري "/>
      <sheetName val="امان"/>
      <sheetName val="فودافون كاش"/>
      <sheetName val="انستا باى"/>
      <sheetName val="اتصالات كاش"/>
      <sheetName val="بنك مصر  "/>
      <sheetName val="بنك كريدي "/>
      <sheetName val="اجمالى راس المال"/>
      <sheetName val="بنك مصر  المنصورة"/>
      <sheetName val="راس المال "/>
      <sheetName val="توزيعات الارباح"/>
      <sheetName val="شيكات  "/>
      <sheetName val="2025مصروفات قيمة .."/>
    </sheetNames>
    <sheetDataSet>
      <sheetData sheetId="0" refreshError="1">
        <row r="2">
          <cell r="K2" t="str">
            <v>الكود</v>
          </cell>
          <cell r="L2" t="str">
            <v>اسم الموظف</v>
          </cell>
          <cell r="M2" t="str">
            <v xml:space="preserve">رقم البطاقه </v>
          </cell>
          <cell r="N2" t="str">
            <v xml:space="preserve">الوظيفه </v>
          </cell>
          <cell r="O2" t="str">
            <v xml:space="preserve">الاداره </v>
          </cell>
          <cell r="P2" t="str">
            <v xml:space="preserve">القسم </v>
          </cell>
          <cell r="Q2" t="str">
            <v xml:space="preserve">الفرع </v>
          </cell>
        </row>
        <row r="3">
          <cell r="K3">
            <v>88888888</v>
          </cell>
          <cell r="L3" t="str">
            <v>زينب عبد الكريم عبد العليم الحفناوى</v>
          </cell>
          <cell r="M3">
            <v>2908180100628</v>
          </cell>
          <cell r="N3" t="str">
            <v>وكيل تحصيل هاتفى</v>
          </cell>
          <cell r="O3" t="str">
            <v>مانى فيللوز</v>
          </cell>
          <cell r="P3" t="str">
            <v>التحصيل</v>
          </cell>
          <cell r="Q3" t="str">
            <v>القاهرة</v>
          </cell>
        </row>
        <row r="4">
          <cell r="K4">
            <v>8</v>
          </cell>
          <cell r="L4" t="str">
            <v>امل صبرى</v>
          </cell>
          <cell r="M4">
            <v>2908180100628</v>
          </cell>
          <cell r="N4" t="str">
            <v>وكيل تحصيل هاتفى</v>
          </cell>
          <cell r="O4" t="str">
            <v>ميد تقسيط - ماني فيللوز</v>
          </cell>
          <cell r="P4" t="str">
            <v>التحصيل</v>
          </cell>
          <cell r="Q4" t="str">
            <v>المنصورة</v>
          </cell>
        </row>
        <row r="5">
          <cell r="K5">
            <v>1</v>
          </cell>
          <cell r="L5" t="str">
            <v>احمد شريف سليمان امين سليمان</v>
          </cell>
          <cell r="M5">
            <v>29903040101135</v>
          </cell>
          <cell r="N5" t="str">
            <v>نائب كبير مشرفى تحصيل</v>
          </cell>
          <cell r="O5" t="str">
            <v>متعدد</v>
          </cell>
          <cell r="P5" t="str">
            <v>التحصيل</v>
          </cell>
          <cell r="Q5" t="str">
            <v>القاهرة</v>
          </cell>
        </row>
        <row r="6">
          <cell r="K6">
            <v>2</v>
          </cell>
          <cell r="L6" t="str">
            <v>علاء محمد عوض جاد الله</v>
          </cell>
          <cell r="M6">
            <v>28602012105474</v>
          </cell>
          <cell r="N6" t="str">
            <v>مدير  تحصيل</v>
          </cell>
          <cell r="O6" t="str">
            <v>التحصيل</v>
          </cell>
          <cell r="P6" t="str">
            <v>التحصيل</v>
          </cell>
          <cell r="Q6" t="str">
            <v>المنصورة</v>
          </cell>
        </row>
        <row r="7">
          <cell r="K7">
            <v>4</v>
          </cell>
          <cell r="L7" t="str">
            <v>وليد عبد الكريم عبد العليم</v>
          </cell>
          <cell r="M7">
            <v>28808250100593</v>
          </cell>
          <cell r="N7" t="str">
            <v>مدير  تحصيل</v>
          </cell>
          <cell r="O7" t="str">
            <v>التحصيل</v>
          </cell>
          <cell r="P7" t="str">
            <v>التحصيل</v>
          </cell>
          <cell r="Q7" t="str">
            <v>القاهرة</v>
          </cell>
        </row>
        <row r="8">
          <cell r="K8">
            <v>5</v>
          </cell>
          <cell r="L8" t="str">
            <v>باسم صلاح عبد الله قوشتى</v>
          </cell>
          <cell r="M8">
            <v>28303120101712</v>
          </cell>
          <cell r="N8" t="str">
            <v>المستشار القانوني</v>
          </cell>
          <cell r="O8" t="str">
            <v>الشئون القانونية</v>
          </cell>
          <cell r="P8" t="str">
            <v>الادارى</v>
          </cell>
          <cell r="Q8" t="str">
            <v>القاهرة</v>
          </cell>
        </row>
        <row r="9">
          <cell r="K9">
            <v>9</v>
          </cell>
          <cell r="L9" t="str">
            <v>عمرو عصام بدر الدين زكي</v>
          </cell>
          <cell r="M9">
            <v>29808080106196</v>
          </cell>
          <cell r="N9" t="str">
            <v>نائب مدير الإدارة القانونية</v>
          </cell>
          <cell r="O9" t="str">
            <v>الشئون القانونية</v>
          </cell>
          <cell r="P9" t="str">
            <v>الادارى</v>
          </cell>
          <cell r="Q9" t="str">
            <v>القاهرة</v>
          </cell>
        </row>
        <row r="10">
          <cell r="K10">
            <v>10</v>
          </cell>
          <cell r="L10" t="str">
            <v>عبد المنعم مجدى عبدربه محمد هلهل</v>
          </cell>
          <cell r="M10">
            <v>28609291403433</v>
          </cell>
          <cell r="N10" t="str">
            <v>المدير العام</v>
          </cell>
          <cell r="O10" t="str">
            <v>التحصيل</v>
          </cell>
          <cell r="P10" t="str">
            <v>التحصيل</v>
          </cell>
          <cell r="Q10" t="str">
            <v>القاهرة</v>
          </cell>
        </row>
        <row r="11">
          <cell r="K11">
            <v>19</v>
          </cell>
          <cell r="L11" t="str">
            <v>سحر اوسامة احمد محمد</v>
          </cell>
          <cell r="M11">
            <v>29611110104501</v>
          </cell>
          <cell r="N11" t="str">
            <v>مشرف تحصيل</v>
          </cell>
          <cell r="O11" t="str">
            <v>شركة فاليو</v>
          </cell>
          <cell r="P11" t="str">
            <v>التحصيل</v>
          </cell>
          <cell r="Q11" t="str">
            <v>القاهرة</v>
          </cell>
        </row>
        <row r="12">
          <cell r="K12">
            <v>20</v>
          </cell>
          <cell r="L12" t="str">
            <v>عبد العزيز صلاح عبد العزيز على حسن</v>
          </cell>
          <cell r="M12">
            <v>29703150100399</v>
          </cell>
          <cell r="N12" t="str">
            <v>مشرف قضائى</v>
          </cell>
          <cell r="O12" t="str">
            <v>الشئون القانونية</v>
          </cell>
          <cell r="P12" t="str">
            <v>الادارى</v>
          </cell>
          <cell r="Q12" t="str">
            <v>القاهرة</v>
          </cell>
        </row>
        <row r="13">
          <cell r="K13">
            <v>25</v>
          </cell>
          <cell r="L13" t="str">
            <v>منى احمد طه احمد سعد</v>
          </cell>
          <cell r="M13">
            <v>27312250101345</v>
          </cell>
          <cell r="N13" t="str">
            <v>خدمات معاونة</v>
          </cell>
          <cell r="O13" t="str">
            <v>الخدمات المعاونة</v>
          </cell>
          <cell r="P13" t="str">
            <v>الادارى</v>
          </cell>
          <cell r="Q13" t="str">
            <v>القاهرة</v>
          </cell>
        </row>
        <row r="14">
          <cell r="K14">
            <v>31</v>
          </cell>
          <cell r="L14" t="str">
            <v>محمود النادى أبو الحسن احمد</v>
          </cell>
          <cell r="M14">
            <v>28504108800236</v>
          </cell>
          <cell r="N14" t="str">
            <v>كبير مشرفى تحصيل</v>
          </cell>
          <cell r="O14" t="str">
            <v>بنك الإسكندرية / شركة سهولة</v>
          </cell>
          <cell r="P14" t="str">
            <v>التحصيل</v>
          </cell>
          <cell r="Q14" t="str">
            <v>القاهرة</v>
          </cell>
        </row>
        <row r="15">
          <cell r="K15">
            <v>35</v>
          </cell>
          <cell r="L15" t="str">
            <v>رحمة مصطفى خلف الله حسانين</v>
          </cell>
          <cell r="M15">
            <v>30111210101161</v>
          </cell>
          <cell r="N15" t="str">
            <v>منسق بيانات</v>
          </cell>
          <cell r="O15" t="str">
            <v>منسقى البيانات</v>
          </cell>
          <cell r="P15" t="str">
            <v>الادارى</v>
          </cell>
          <cell r="Q15" t="str">
            <v>القاهرة</v>
          </cell>
        </row>
        <row r="16">
          <cell r="K16">
            <v>45</v>
          </cell>
          <cell r="L16" t="str">
            <v>محمد مجدى ربيع عبد الغنى جاد</v>
          </cell>
          <cell r="M16">
            <v>28409261402239</v>
          </cell>
          <cell r="N16" t="str">
            <v>مشرف تحصيل</v>
          </cell>
          <cell r="O16" t="str">
            <v>شركة فاليو</v>
          </cell>
          <cell r="P16" t="str">
            <v>التحصيل</v>
          </cell>
          <cell r="Q16" t="str">
            <v>القاهرة</v>
          </cell>
        </row>
        <row r="17">
          <cell r="K17">
            <v>54</v>
          </cell>
          <cell r="L17" t="str">
            <v>رحاب عبد الهادى احمد بدوى</v>
          </cell>
          <cell r="M17">
            <v>28706021401264</v>
          </cell>
          <cell r="N17" t="str">
            <v>مشرف تحصيل</v>
          </cell>
          <cell r="O17" t="str">
            <v>بنك الإسكندرية / شركة سهولة</v>
          </cell>
          <cell r="P17" t="str">
            <v>التحصيل</v>
          </cell>
          <cell r="Q17" t="str">
            <v>القاهرة</v>
          </cell>
        </row>
        <row r="18">
          <cell r="K18">
            <v>60</v>
          </cell>
          <cell r="L18" t="str">
            <v>مروة مصطفى على جاد</v>
          </cell>
          <cell r="M18">
            <v>29912120104665</v>
          </cell>
          <cell r="N18" t="str">
            <v>مشرف تحصيل</v>
          </cell>
          <cell r="O18" t="str">
            <v>شركة راية</v>
          </cell>
          <cell r="P18" t="str">
            <v>التحصيل</v>
          </cell>
          <cell r="Q18" t="str">
            <v>القاهرة</v>
          </cell>
        </row>
        <row r="19">
          <cell r="K19">
            <v>62</v>
          </cell>
          <cell r="L19" t="str">
            <v>محمد مجدى السيد عبد الدايم</v>
          </cell>
          <cell r="M19">
            <v>29710280100451</v>
          </cell>
          <cell r="N19" t="str">
            <v>مشرف قضائى</v>
          </cell>
          <cell r="O19" t="str">
            <v>الشئون القانونية</v>
          </cell>
          <cell r="P19" t="str">
            <v>الادارى</v>
          </cell>
          <cell r="Q19" t="str">
            <v>القاهرة</v>
          </cell>
        </row>
        <row r="20">
          <cell r="K20">
            <v>64</v>
          </cell>
          <cell r="L20" t="str">
            <v>تريز سامى رزق شحاته</v>
          </cell>
          <cell r="M20">
            <v>28712200101702</v>
          </cell>
          <cell r="N20" t="str">
            <v>مدير موارد بشرية</v>
          </cell>
          <cell r="O20" t="str">
            <v>الموارد البشرية</v>
          </cell>
          <cell r="P20" t="str">
            <v>الادارى</v>
          </cell>
          <cell r="Q20" t="str">
            <v>القاهرة</v>
          </cell>
        </row>
        <row r="21">
          <cell r="K21">
            <v>71</v>
          </cell>
          <cell r="L21" t="str">
            <v>ندى محمد سعد محمد</v>
          </cell>
          <cell r="M21">
            <v>30110042101308</v>
          </cell>
          <cell r="N21" t="str">
            <v>وكيل تحصيل هاتفى</v>
          </cell>
          <cell r="O21" t="str">
            <v>بنك كريدى اجريكول</v>
          </cell>
          <cell r="P21" t="str">
            <v>التحصيل</v>
          </cell>
          <cell r="Q21" t="str">
            <v>القاهرة</v>
          </cell>
        </row>
        <row r="22">
          <cell r="K22">
            <v>83</v>
          </cell>
          <cell r="L22" t="str">
            <v>حبيبه احمد سلطان منصور عويس</v>
          </cell>
          <cell r="M22">
            <v>30312060105762</v>
          </cell>
          <cell r="N22" t="str">
            <v>مشرف تحصيل</v>
          </cell>
          <cell r="O22" t="str">
            <v xml:space="preserve"> شركة ماني فيللوز </v>
          </cell>
          <cell r="P22" t="str">
            <v>التحصيل</v>
          </cell>
          <cell r="Q22" t="str">
            <v>القاهرة</v>
          </cell>
        </row>
        <row r="23">
          <cell r="K23">
            <v>97</v>
          </cell>
          <cell r="L23" t="str">
            <v>ندى محمد محمود عبد المقصود</v>
          </cell>
          <cell r="M23">
            <v>30106051400523</v>
          </cell>
          <cell r="N23" t="str">
            <v>وكيل تحصيل هاتفى</v>
          </cell>
          <cell r="O23" t="str">
            <v xml:space="preserve"> شركة ميد تقسيط</v>
          </cell>
          <cell r="P23" t="str">
            <v>التحصيل</v>
          </cell>
          <cell r="Q23" t="str">
            <v>القاهرة</v>
          </cell>
        </row>
        <row r="24">
          <cell r="K24">
            <v>119</v>
          </cell>
          <cell r="L24" t="str">
            <v>مصطفى جميل عبد الفتاح محمد شاهين</v>
          </cell>
          <cell r="M24">
            <v>30302090103319</v>
          </cell>
          <cell r="N24" t="str">
            <v>وكيل تحصيل</v>
          </cell>
          <cell r="O24" t="str">
            <v>بنك كريدى اجريكول</v>
          </cell>
          <cell r="P24" t="str">
            <v>التحصيل</v>
          </cell>
          <cell r="Q24" t="str">
            <v>القاهرة</v>
          </cell>
        </row>
        <row r="25">
          <cell r="K25">
            <v>125</v>
          </cell>
          <cell r="L25" t="str">
            <v>زينب محمود محمد محمود صالح</v>
          </cell>
          <cell r="M25">
            <v>30108160102829</v>
          </cell>
          <cell r="N25" t="str">
            <v>وكيل تحصيل هاتفى</v>
          </cell>
          <cell r="O25" t="str">
            <v xml:space="preserve"> شركة ماني فيللوز </v>
          </cell>
          <cell r="P25" t="str">
            <v>التحصيل</v>
          </cell>
          <cell r="Q25" t="str">
            <v>القاهرة</v>
          </cell>
        </row>
        <row r="26">
          <cell r="K26">
            <v>126</v>
          </cell>
          <cell r="L26" t="str">
            <v>حبيبة عادل بدرالدين احمد</v>
          </cell>
          <cell r="M26">
            <v>30107110104522</v>
          </cell>
          <cell r="N26" t="str">
            <v>وكيل تحصيل هاتفى</v>
          </cell>
          <cell r="O26" t="str">
            <v xml:space="preserve"> شركة ماني فيللوز </v>
          </cell>
          <cell r="P26" t="str">
            <v>التحصيل</v>
          </cell>
          <cell r="Q26" t="str">
            <v>القاهرة</v>
          </cell>
        </row>
        <row r="27">
          <cell r="K27">
            <v>127</v>
          </cell>
          <cell r="L27" t="str">
            <v>احمد عوض عباس عوض كشك</v>
          </cell>
          <cell r="M27">
            <v>29103071200577</v>
          </cell>
          <cell r="N27" t="str">
            <v>نائب كبير مشرفى تحصيل</v>
          </cell>
          <cell r="P27" t="str">
            <v>التحصيل</v>
          </cell>
          <cell r="Q27" t="str">
            <v>المنصورة</v>
          </cell>
        </row>
        <row r="28">
          <cell r="K28">
            <v>129</v>
          </cell>
          <cell r="L28" t="str">
            <v>نانسى يوسف عزيز يوسف</v>
          </cell>
          <cell r="M28">
            <v>28908081201843</v>
          </cell>
          <cell r="N28" t="str">
            <v>نائب مدير الإدارة القانونية</v>
          </cell>
          <cell r="O28" t="str">
            <v>الشئون القانونية</v>
          </cell>
          <cell r="P28" t="str">
            <v>الادارى</v>
          </cell>
          <cell r="Q28" t="str">
            <v>المنصورة</v>
          </cell>
        </row>
        <row r="29">
          <cell r="K29">
            <v>130</v>
          </cell>
          <cell r="L29" t="str">
            <v>عبد الرحمن عوض عباس عوض كشك</v>
          </cell>
          <cell r="M29">
            <v>29909131202315</v>
          </cell>
          <cell r="N29" t="str">
            <v>مشرف تحصيل</v>
          </cell>
          <cell r="P29" t="str">
            <v>التحصيل</v>
          </cell>
          <cell r="Q29" t="str">
            <v>المنصورة</v>
          </cell>
        </row>
        <row r="30">
          <cell r="K30">
            <v>131</v>
          </cell>
          <cell r="L30" t="str">
            <v>امانى طارق إبراهيم عبد الحميد</v>
          </cell>
          <cell r="M30">
            <v>29501011262064</v>
          </cell>
          <cell r="N30" t="str">
            <v>منسق بيانات</v>
          </cell>
          <cell r="O30" t="str">
            <v>منسقى البيانات</v>
          </cell>
          <cell r="P30" t="str">
            <v>الادارى</v>
          </cell>
          <cell r="Q30" t="str">
            <v>المنصورة</v>
          </cell>
        </row>
        <row r="31">
          <cell r="K31">
            <v>133</v>
          </cell>
          <cell r="L31" t="str">
            <v>نادين عماد منصور محمد</v>
          </cell>
          <cell r="M31">
            <v>30106141202127</v>
          </cell>
          <cell r="N31" t="str">
            <v>رئيس فريق عمل</v>
          </cell>
          <cell r="P31" t="str">
            <v>التحصيل</v>
          </cell>
          <cell r="Q31" t="str">
            <v>المنصورة</v>
          </cell>
        </row>
        <row r="32">
          <cell r="K32">
            <v>136</v>
          </cell>
          <cell r="L32" t="str">
            <v>بهاء محمد السيد صالح أبو حسين</v>
          </cell>
          <cell r="M32">
            <v>28403211200572</v>
          </cell>
          <cell r="N32" t="str">
            <v>رئيس فريق عمل</v>
          </cell>
          <cell r="P32" t="str">
            <v>التحصيل</v>
          </cell>
          <cell r="Q32" t="str">
            <v>المنصورة</v>
          </cell>
        </row>
        <row r="33">
          <cell r="K33">
            <v>137</v>
          </cell>
          <cell r="L33" t="str">
            <v>محمد وفيق إبراهيم عبد المعطى</v>
          </cell>
          <cell r="M33">
            <v>28605211200574</v>
          </cell>
          <cell r="N33" t="str">
            <v>مشرف تحصيل</v>
          </cell>
          <cell r="P33" t="str">
            <v>التحصيل</v>
          </cell>
          <cell r="Q33" t="str">
            <v>المنصورة</v>
          </cell>
        </row>
        <row r="34">
          <cell r="K34">
            <v>148</v>
          </cell>
          <cell r="L34" t="str">
            <v>امال كمال عبد الله عبد الحليم</v>
          </cell>
          <cell r="M34">
            <v>29805050105684</v>
          </cell>
          <cell r="N34" t="str">
            <v>منسق بيانات</v>
          </cell>
          <cell r="O34" t="str">
            <v>منسقى البيانات</v>
          </cell>
          <cell r="P34" t="str">
            <v>الادارى</v>
          </cell>
          <cell r="Q34" t="str">
            <v>القاهرة</v>
          </cell>
        </row>
        <row r="35">
          <cell r="K35">
            <v>150</v>
          </cell>
          <cell r="L35" t="str">
            <v>هدى حسن السيد على الضوى</v>
          </cell>
          <cell r="M35">
            <v>30006102101386</v>
          </cell>
          <cell r="N35" t="str">
            <v>منسق بيانات</v>
          </cell>
          <cell r="O35" t="str">
            <v>منسقى البيانات</v>
          </cell>
          <cell r="P35" t="str">
            <v>الادارى</v>
          </cell>
          <cell r="Q35" t="str">
            <v>القاهرة</v>
          </cell>
        </row>
        <row r="36">
          <cell r="K36">
            <v>151</v>
          </cell>
          <cell r="L36" t="str">
            <v xml:space="preserve">احمد عبد الباسط عبد السلام محمد </v>
          </cell>
          <cell r="M36">
            <v>29805101502713</v>
          </cell>
          <cell r="N36" t="str">
            <v>محاسب</v>
          </cell>
          <cell r="O36" t="str">
            <v>المالية</v>
          </cell>
          <cell r="P36" t="str">
            <v>الادارى</v>
          </cell>
          <cell r="Q36" t="str">
            <v>القاهرة</v>
          </cell>
        </row>
        <row r="37">
          <cell r="K37">
            <v>177</v>
          </cell>
          <cell r="L37" t="str">
            <v>أسماء إبراهيم السيد عبد الله</v>
          </cell>
          <cell r="M37">
            <v>30001011278168</v>
          </cell>
          <cell r="N37" t="str">
            <v>وكيل تحصيل هاتفى</v>
          </cell>
          <cell r="P37" t="str">
            <v>التحصيل</v>
          </cell>
          <cell r="Q37" t="str">
            <v>المنصورة</v>
          </cell>
        </row>
        <row r="38">
          <cell r="K38">
            <v>197</v>
          </cell>
          <cell r="L38" t="str">
            <v xml:space="preserve">احمد مجدى بكر على </v>
          </cell>
          <cell r="M38">
            <v>29503120100816</v>
          </cell>
          <cell r="N38" t="str">
            <v>وكيل تحصيل</v>
          </cell>
          <cell r="O38" t="str">
            <v>شركة فاليو</v>
          </cell>
          <cell r="P38" t="str">
            <v>التحصيل</v>
          </cell>
          <cell r="Q38" t="str">
            <v>القاهرة</v>
          </cell>
        </row>
        <row r="39">
          <cell r="K39">
            <v>209</v>
          </cell>
          <cell r="L39" t="str">
            <v>ريم رضا سيد احمد إبراهيم المطراوى</v>
          </cell>
          <cell r="M39">
            <v>29806231401346</v>
          </cell>
          <cell r="N39" t="str">
            <v>منسق بيانات</v>
          </cell>
          <cell r="O39" t="str">
            <v>الشئون القانونية</v>
          </cell>
          <cell r="P39" t="str">
            <v>الادارى</v>
          </cell>
          <cell r="Q39" t="str">
            <v>القاهرة</v>
          </cell>
        </row>
        <row r="40">
          <cell r="K40">
            <v>215</v>
          </cell>
          <cell r="L40" t="str">
            <v>روان عادل محمد عبد الكريم</v>
          </cell>
          <cell r="M40">
            <v>30503030106403</v>
          </cell>
          <cell r="N40" t="str">
            <v>وكيل تحصيل هاتفى</v>
          </cell>
          <cell r="O40" t="str">
            <v>شركة فاليو</v>
          </cell>
          <cell r="P40" t="str">
            <v>التحصيل</v>
          </cell>
          <cell r="Q40" t="str">
            <v>القاهرة</v>
          </cell>
        </row>
        <row r="41">
          <cell r="K41">
            <v>221</v>
          </cell>
          <cell r="L41" t="str">
            <v>عمرو صابر إبراهيم سيد محمد</v>
          </cell>
          <cell r="M41">
            <v>29707060104137</v>
          </cell>
          <cell r="N41" t="str">
            <v>وكيل تحصيل</v>
          </cell>
          <cell r="O41" t="str">
            <v>شركة فاليو</v>
          </cell>
          <cell r="P41" t="str">
            <v>التحصيل</v>
          </cell>
          <cell r="Q41" t="str">
            <v>القاهرة</v>
          </cell>
        </row>
        <row r="42">
          <cell r="K42">
            <v>222</v>
          </cell>
          <cell r="L42" t="str">
            <v>مريم محمد على سيد خطاب</v>
          </cell>
          <cell r="M42">
            <v>30403051401184</v>
          </cell>
          <cell r="N42" t="str">
            <v>مشرف تحصيل</v>
          </cell>
          <cell r="O42" t="str">
            <v>بنك الاسكندرية</v>
          </cell>
          <cell r="P42" t="str">
            <v>التحصيل</v>
          </cell>
          <cell r="Q42" t="str">
            <v>القاهرة</v>
          </cell>
        </row>
        <row r="43">
          <cell r="K43">
            <v>223</v>
          </cell>
          <cell r="L43" t="str">
            <v>هبة خلف محمد احمد</v>
          </cell>
          <cell r="M43">
            <v>28107120200563</v>
          </cell>
          <cell r="N43" t="str">
            <v>وكيل تحصيل هاتفى</v>
          </cell>
          <cell r="O43" t="str">
            <v>شركة راية</v>
          </cell>
          <cell r="P43" t="str">
            <v>التحصيل</v>
          </cell>
          <cell r="Q43" t="str">
            <v>القاهرة</v>
          </cell>
        </row>
        <row r="44">
          <cell r="K44">
            <v>238</v>
          </cell>
          <cell r="L44" t="str">
            <v xml:space="preserve">اشرف محمد محروس محمود </v>
          </cell>
          <cell r="M44">
            <v>30412130100296</v>
          </cell>
          <cell r="N44" t="str">
            <v xml:space="preserve">وكيل تحصيل </v>
          </cell>
          <cell r="O44" t="str">
            <v>بنك الإسكندرية</v>
          </cell>
          <cell r="P44" t="str">
            <v>التحصيل</v>
          </cell>
          <cell r="Q44" t="str">
            <v>القاهرة</v>
          </cell>
        </row>
        <row r="45">
          <cell r="K45">
            <v>239</v>
          </cell>
          <cell r="L45" t="str">
            <v xml:space="preserve">يوسف كامل  عبد الله صبحى غنيم </v>
          </cell>
          <cell r="M45">
            <v>30405030105677</v>
          </cell>
          <cell r="N45" t="str">
            <v xml:space="preserve">وكيل تحصيل </v>
          </cell>
          <cell r="O45" t="str">
            <v>شركة ميد تقسيط</v>
          </cell>
          <cell r="P45" t="str">
            <v>التحصيل</v>
          </cell>
          <cell r="Q45" t="str">
            <v>القاهرة</v>
          </cell>
        </row>
        <row r="46">
          <cell r="K46">
            <v>258</v>
          </cell>
          <cell r="L46" t="str">
            <v xml:space="preserve">منار  سيد عثمان احمد </v>
          </cell>
          <cell r="M46">
            <v>30005070100726</v>
          </cell>
          <cell r="N46" t="str">
            <v>مشرف تحصيل</v>
          </cell>
          <cell r="O46" t="str">
            <v>شركة سهولة</v>
          </cell>
          <cell r="P46" t="str">
            <v>التحصيل</v>
          </cell>
          <cell r="Q46" t="str">
            <v>القاهرة</v>
          </cell>
        </row>
        <row r="47">
          <cell r="K47">
            <v>262</v>
          </cell>
          <cell r="L47" t="str">
            <v xml:space="preserve">يارا رمضان يوسف عبده </v>
          </cell>
          <cell r="M47">
            <v>30401011401723</v>
          </cell>
          <cell r="N47" t="str">
            <v>وكيل تحصيل هاتفى</v>
          </cell>
          <cell r="O47" t="str">
            <v xml:space="preserve"> شركة ماني فيللوز </v>
          </cell>
          <cell r="P47" t="str">
            <v>التحصيل</v>
          </cell>
          <cell r="Q47" t="str">
            <v>القاهرة</v>
          </cell>
        </row>
        <row r="48">
          <cell r="K48">
            <v>269</v>
          </cell>
          <cell r="L48" t="str">
            <v xml:space="preserve">هاجر شريف محمد عبد الرؤف </v>
          </cell>
          <cell r="M48">
            <v>30103260102301</v>
          </cell>
          <cell r="N48" t="str">
            <v xml:space="preserve">وكيل تحصيل هاتفي </v>
          </cell>
          <cell r="O48" t="str">
            <v>شركة راية</v>
          </cell>
          <cell r="P48" t="str">
            <v>التحصيل</v>
          </cell>
          <cell r="Q48" t="str">
            <v>القاهرة</v>
          </cell>
        </row>
        <row r="49">
          <cell r="K49">
            <v>273</v>
          </cell>
          <cell r="L49" t="str">
            <v xml:space="preserve">ملك رمضان يوسف عبده </v>
          </cell>
          <cell r="M49">
            <v>30602171401202</v>
          </cell>
          <cell r="N49" t="str">
            <v>وكيل تحصيل هاتفى</v>
          </cell>
          <cell r="O49" t="str">
            <v>شركة فاليو</v>
          </cell>
          <cell r="P49" t="str">
            <v>التحصيل</v>
          </cell>
          <cell r="Q49" t="str">
            <v>القاهرة</v>
          </cell>
        </row>
        <row r="50">
          <cell r="K50">
            <v>278</v>
          </cell>
          <cell r="L50" t="str">
            <v>هشام فتح الله عبدربه فرج</v>
          </cell>
          <cell r="M50">
            <v>26303201400474</v>
          </cell>
          <cell r="N50" t="str">
            <v>وكيل تحصيل</v>
          </cell>
          <cell r="O50" t="str">
            <v xml:space="preserve">بنك الإسكندرية / شركة سهولة </v>
          </cell>
          <cell r="P50" t="str">
            <v>التحصيل</v>
          </cell>
          <cell r="Q50" t="str">
            <v>القاهرة</v>
          </cell>
        </row>
        <row r="51">
          <cell r="K51">
            <v>283</v>
          </cell>
          <cell r="L51" t="str">
            <v xml:space="preserve">طارق عصام فتوح حسن </v>
          </cell>
          <cell r="M51">
            <v>29601011735072</v>
          </cell>
          <cell r="N51" t="str">
            <v>وكيل تحصيل</v>
          </cell>
          <cell r="O51" t="str">
            <v xml:space="preserve">شركة سهولة </v>
          </cell>
          <cell r="P51" t="str">
            <v>التحصيل</v>
          </cell>
          <cell r="Q51" t="str">
            <v>القاهرة</v>
          </cell>
        </row>
        <row r="52">
          <cell r="K52">
            <v>284</v>
          </cell>
          <cell r="L52" t="str">
            <v>زياد كرم عبد الفضيل عبد المجيد</v>
          </cell>
          <cell r="M52">
            <v>30208171403094</v>
          </cell>
          <cell r="N52" t="str">
            <v>وكيل تحصيل</v>
          </cell>
          <cell r="O52" t="str">
            <v>شركة فاليو</v>
          </cell>
          <cell r="P52" t="str">
            <v>التحصيل</v>
          </cell>
          <cell r="Q52" t="str">
            <v>القاهرة</v>
          </cell>
        </row>
        <row r="53">
          <cell r="K53">
            <v>289</v>
          </cell>
          <cell r="L53" t="str">
            <v>صبرى عبد الهادى عبد الهادى</v>
          </cell>
          <cell r="M53">
            <v>28509251202635</v>
          </cell>
          <cell r="N53" t="str">
            <v>خدمات معاونة</v>
          </cell>
          <cell r="P53" t="str">
            <v>الادارى</v>
          </cell>
          <cell r="Q53" t="str">
            <v>المنصورة</v>
          </cell>
        </row>
        <row r="54">
          <cell r="K54">
            <v>294</v>
          </cell>
          <cell r="L54" t="str">
            <v>باسم ناجى سعد ابرهيم خلف</v>
          </cell>
          <cell r="M54">
            <v>29005011201254</v>
          </cell>
          <cell r="N54" t="str">
            <v>مسئول ادارى</v>
          </cell>
          <cell r="P54" t="str">
            <v>الادارى</v>
          </cell>
          <cell r="Q54" t="str">
            <v>المنصورة</v>
          </cell>
        </row>
        <row r="55">
          <cell r="K55">
            <v>302</v>
          </cell>
          <cell r="L55" t="str">
            <v xml:space="preserve">مى سيد إبراهيم حنفي عقل </v>
          </cell>
          <cell r="M55">
            <v>30207051201769</v>
          </cell>
          <cell r="N55" t="str">
            <v>وكيل تحصيل هاتفى</v>
          </cell>
          <cell r="P55" t="str">
            <v>التحصيل</v>
          </cell>
          <cell r="Q55" t="str">
            <v>المنصورة</v>
          </cell>
        </row>
        <row r="56">
          <cell r="K56">
            <v>307</v>
          </cell>
          <cell r="L56" t="str">
            <v>شيماء حمدى حسن ركابى حامد</v>
          </cell>
          <cell r="M56">
            <v>29506012100906</v>
          </cell>
          <cell r="N56" t="str">
            <v>منسق بيانات</v>
          </cell>
          <cell r="O56" t="str">
            <v>منسقى البيانات</v>
          </cell>
          <cell r="P56" t="str">
            <v>الادارى</v>
          </cell>
          <cell r="Q56" t="str">
            <v>القاهرة</v>
          </cell>
        </row>
        <row r="57">
          <cell r="K57">
            <v>312</v>
          </cell>
          <cell r="L57" t="str">
            <v>نيرة محمد يوسف عبد المجيد غزى</v>
          </cell>
          <cell r="M57">
            <v>30306261201301</v>
          </cell>
          <cell r="N57" t="str">
            <v>وكيل تحصيل هاتفى</v>
          </cell>
          <cell r="P57" t="str">
            <v>التحصيل</v>
          </cell>
          <cell r="Q57" t="str">
            <v>المنصورة</v>
          </cell>
        </row>
        <row r="58">
          <cell r="K58">
            <v>324</v>
          </cell>
          <cell r="L58" t="str">
            <v>شوقية محمد عثمان احمد</v>
          </cell>
          <cell r="M58">
            <v>29706171200384</v>
          </cell>
          <cell r="N58" t="str">
            <v>وكيل تحصيل هاتفى</v>
          </cell>
          <cell r="O58" t="str">
            <v>شركة سهولة</v>
          </cell>
          <cell r="P58" t="str">
            <v>التحصيل</v>
          </cell>
          <cell r="Q58" t="str">
            <v>المنصورة</v>
          </cell>
        </row>
        <row r="59">
          <cell r="K59">
            <v>332</v>
          </cell>
          <cell r="L59" t="str">
            <v xml:space="preserve">إسماعيل سلامه إسماعيل بركات </v>
          </cell>
          <cell r="M59">
            <v>30601161400333</v>
          </cell>
          <cell r="N59" t="str">
            <v>وكيل تحصيل</v>
          </cell>
          <cell r="O59" t="str">
            <v>شركة ميد تقسيط</v>
          </cell>
          <cell r="P59" t="str">
            <v>التحصيل</v>
          </cell>
          <cell r="Q59" t="str">
            <v>القاهرة</v>
          </cell>
        </row>
        <row r="60">
          <cell r="K60">
            <v>334</v>
          </cell>
          <cell r="L60" t="str">
            <v>عبد الله كامل عبد الله صبحى غنيم</v>
          </cell>
          <cell r="M60">
            <v>30304160102938</v>
          </cell>
          <cell r="N60" t="str">
            <v>وكيل تحصيل</v>
          </cell>
          <cell r="O60" t="str">
            <v>شركة فاليو</v>
          </cell>
          <cell r="P60" t="str">
            <v>التحصيل</v>
          </cell>
          <cell r="Q60" t="str">
            <v>القاهرة</v>
          </cell>
        </row>
        <row r="61">
          <cell r="K61">
            <v>336</v>
          </cell>
          <cell r="L61" t="str">
            <v>زياد احمد سيد محمد</v>
          </cell>
          <cell r="M61">
            <v>30507250100398</v>
          </cell>
          <cell r="N61" t="str">
            <v>وكيل تحصيل</v>
          </cell>
          <cell r="O61" t="str">
            <v xml:space="preserve"> شركة ماني فيللوز </v>
          </cell>
          <cell r="P61" t="str">
            <v>التحصيل</v>
          </cell>
          <cell r="Q61" t="str">
            <v>القاهرة</v>
          </cell>
        </row>
        <row r="62">
          <cell r="K62">
            <v>340</v>
          </cell>
          <cell r="L62" t="str">
            <v>اميرة شعراوى ابراهيم  حامد على</v>
          </cell>
          <cell r="M62">
            <v>29203050102561</v>
          </cell>
          <cell r="N62" t="str">
            <v>كبير مشرفى تحصيل</v>
          </cell>
          <cell r="O62" t="str">
            <v>شركة فاليو</v>
          </cell>
          <cell r="P62" t="str">
            <v>التحصيل</v>
          </cell>
          <cell r="Q62" t="str">
            <v>القاهرة</v>
          </cell>
        </row>
        <row r="63">
          <cell r="K63">
            <v>341</v>
          </cell>
          <cell r="L63" t="str">
            <v>نرمين شعراوى إبراهيم حامد على</v>
          </cell>
          <cell r="M63">
            <v>30203190102583</v>
          </cell>
          <cell r="N63" t="str">
            <v>رئيس فريق عمل</v>
          </cell>
          <cell r="O63" t="str">
            <v>شركة فاليو</v>
          </cell>
          <cell r="P63" t="str">
            <v>التحصيل</v>
          </cell>
          <cell r="Q63" t="str">
            <v>القاهرة</v>
          </cell>
        </row>
        <row r="64">
          <cell r="K64">
            <v>345</v>
          </cell>
          <cell r="L64" t="str">
            <v>دعاء محمد عثمان احمد</v>
          </cell>
          <cell r="M64">
            <v>29002011201905</v>
          </cell>
          <cell r="N64" t="str">
            <v>وكيل تحصيل هاتفى</v>
          </cell>
          <cell r="P64" t="str">
            <v>التحصيل</v>
          </cell>
          <cell r="Q64" t="str">
            <v>المنصورة</v>
          </cell>
        </row>
        <row r="65">
          <cell r="K65">
            <v>347</v>
          </cell>
          <cell r="L65" t="str">
            <v>يحي هاني نبيل  عبد التواب</v>
          </cell>
          <cell r="M65">
            <v>30508040103757</v>
          </cell>
          <cell r="N65" t="str">
            <v>وكيل تحصيل</v>
          </cell>
          <cell r="O65" t="str">
            <v xml:space="preserve"> شركة ميد تقسيط</v>
          </cell>
          <cell r="P65" t="str">
            <v>التحصيل</v>
          </cell>
          <cell r="Q65" t="str">
            <v>القاهرة</v>
          </cell>
        </row>
        <row r="66">
          <cell r="K66">
            <v>354</v>
          </cell>
          <cell r="L66" t="str">
            <v>منه رضا فتحى سيد</v>
          </cell>
          <cell r="M66">
            <v>30205300101122</v>
          </cell>
          <cell r="N66" t="str">
            <v>وكيل تحصيل هاتفى</v>
          </cell>
          <cell r="O66" t="str">
            <v>شركة راية</v>
          </cell>
          <cell r="P66" t="str">
            <v>التحصيل</v>
          </cell>
          <cell r="Q66" t="str">
            <v>القاهرة</v>
          </cell>
        </row>
        <row r="67">
          <cell r="K67">
            <v>355</v>
          </cell>
          <cell r="L67" t="str">
            <v>كرستينا مجدى محروس فؤاد</v>
          </cell>
          <cell r="M67">
            <v>29903160102844</v>
          </cell>
          <cell r="N67" t="str">
            <v>وكيل تحصيل هاتفى</v>
          </cell>
          <cell r="O67" t="str">
            <v>بنك الاسكندرية</v>
          </cell>
          <cell r="P67" t="str">
            <v>التحصيل</v>
          </cell>
          <cell r="Q67" t="str">
            <v>القاهرة</v>
          </cell>
        </row>
        <row r="68">
          <cell r="K68">
            <v>356</v>
          </cell>
          <cell r="L68" t="str">
            <v xml:space="preserve">عبدالله عماد محمد السيد </v>
          </cell>
          <cell r="M68">
            <v>29302041400591</v>
          </cell>
          <cell r="N68" t="str">
            <v xml:space="preserve">وكيل تحصيل </v>
          </cell>
          <cell r="P68" t="str">
            <v>التحصيل</v>
          </cell>
          <cell r="Q68" t="str">
            <v>المنصورة</v>
          </cell>
        </row>
        <row r="69">
          <cell r="K69">
            <v>362</v>
          </cell>
          <cell r="L69" t="str">
            <v>احمد محمد محمود احمد أبو الدهب</v>
          </cell>
          <cell r="M69">
            <v>30505051403192</v>
          </cell>
          <cell r="N69" t="str">
            <v xml:space="preserve">وكيل تحصيل </v>
          </cell>
          <cell r="O69" t="str">
            <v>بنك الاسكندرية</v>
          </cell>
          <cell r="P69" t="str">
            <v>التحصيل</v>
          </cell>
          <cell r="Q69" t="str">
            <v>القاهرة</v>
          </cell>
        </row>
        <row r="70">
          <cell r="K70">
            <v>365</v>
          </cell>
          <cell r="L70" t="str">
            <v>محمد رضا سعد حسن الشرقاوى</v>
          </cell>
          <cell r="M70">
            <v>29305020111474</v>
          </cell>
          <cell r="N70" t="str">
            <v>مسئول ادارى</v>
          </cell>
          <cell r="O70" t="str">
            <v>الموارد البشرية</v>
          </cell>
          <cell r="P70" t="str">
            <v>الادارى</v>
          </cell>
          <cell r="Q70" t="str">
            <v>القاهرة</v>
          </cell>
        </row>
        <row r="71">
          <cell r="K71">
            <v>370</v>
          </cell>
          <cell r="L71" t="str">
            <v>اسراء كمال الدين حسن محمد محمود الشافعى</v>
          </cell>
          <cell r="M71">
            <v>29601140103228</v>
          </cell>
          <cell r="N71" t="str">
            <v>وكيل تحصيل هاتفى</v>
          </cell>
          <cell r="O71" t="str">
            <v>بنك كريدى اجريكول</v>
          </cell>
          <cell r="P71" t="str">
            <v>التحصيل</v>
          </cell>
          <cell r="Q71" t="str">
            <v>القاهرة</v>
          </cell>
        </row>
        <row r="72">
          <cell r="K72">
            <v>375</v>
          </cell>
          <cell r="L72" t="str">
            <v>اسراء خالد محمود عبد الله</v>
          </cell>
          <cell r="M72">
            <v>29712102101846</v>
          </cell>
          <cell r="N72" t="str">
            <v>رئيس فريق عمل</v>
          </cell>
          <cell r="O72" t="str">
            <v>شركة تنمية</v>
          </cell>
          <cell r="P72" t="str">
            <v>التحصيل</v>
          </cell>
          <cell r="Q72" t="str">
            <v>القاهرة</v>
          </cell>
        </row>
        <row r="73">
          <cell r="K73">
            <v>378</v>
          </cell>
          <cell r="L73" t="str">
            <v>عبد الحميد نبوى فهيم محمد</v>
          </cell>
          <cell r="M73">
            <v>28102150100511</v>
          </cell>
          <cell r="N73" t="str">
            <v>رئيس فريق عمل</v>
          </cell>
          <cell r="O73" t="str">
            <v>بنك كريدى اجريكول</v>
          </cell>
          <cell r="P73" t="str">
            <v>التحصيل</v>
          </cell>
          <cell r="Q73" t="str">
            <v>القاهرة</v>
          </cell>
        </row>
        <row r="74">
          <cell r="K74">
            <v>379</v>
          </cell>
          <cell r="L74" t="str">
            <v>حسين محمود حسين حسن</v>
          </cell>
          <cell r="M74">
            <v>818198924630900</v>
          </cell>
          <cell r="N74" t="str">
            <v>مشرف تحصيل</v>
          </cell>
          <cell r="O74" t="str">
            <v>بنك كريدى اجريكول</v>
          </cell>
          <cell r="P74" t="str">
            <v>التحصيل</v>
          </cell>
          <cell r="Q74" t="str">
            <v>القاهرة</v>
          </cell>
        </row>
        <row r="75">
          <cell r="K75">
            <v>383</v>
          </cell>
          <cell r="L75" t="str">
            <v>اية حمدى رجب على غنيمة</v>
          </cell>
          <cell r="M75">
            <v>30101201202626</v>
          </cell>
          <cell r="N75" t="str">
            <v>وكيل تحصيل هاتفى</v>
          </cell>
          <cell r="P75" t="str">
            <v>التحصيل</v>
          </cell>
          <cell r="Q75" t="str">
            <v>المنصورة</v>
          </cell>
        </row>
        <row r="76">
          <cell r="K76">
            <v>389</v>
          </cell>
          <cell r="L76" t="str">
            <v>ادهم رؤوف كمال كامل سعيد</v>
          </cell>
          <cell r="M76">
            <v>30407270101515</v>
          </cell>
          <cell r="N76" t="str">
            <v>وكيل تحصيل</v>
          </cell>
          <cell r="O76" t="str">
            <v>شركة راية</v>
          </cell>
          <cell r="P76" t="str">
            <v>التحصيل</v>
          </cell>
          <cell r="Q76" t="str">
            <v>القاهرة</v>
          </cell>
        </row>
        <row r="77">
          <cell r="K77">
            <v>395</v>
          </cell>
          <cell r="L77" t="str">
            <v>مصطفى احمد عبد الهادى محمود</v>
          </cell>
          <cell r="M77">
            <v>29705010106934</v>
          </cell>
          <cell r="N77" t="str">
            <v>وكيل تحصيل</v>
          </cell>
          <cell r="O77" t="str">
            <v>بنك كريدى اجريكول</v>
          </cell>
          <cell r="P77" t="str">
            <v>التحصيل</v>
          </cell>
          <cell r="Q77" t="str">
            <v>القاهرة</v>
          </cell>
        </row>
        <row r="78">
          <cell r="K78">
            <v>400</v>
          </cell>
          <cell r="L78" t="str">
            <v>عبد الرحمن احمد عبد العليم السيد مرعى</v>
          </cell>
          <cell r="M78">
            <v>29810270101519</v>
          </cell>
          <cell r="N78" t="str">
            <v>وكيل تحصيل</v>
          </cell>
          <cell r="O78" t="str">
            <v>شركة فاليو</v>
          </cell>
          <cell r="P78" t="str">
            <v>التحصيل</v>
          </cell>
          <cell r="Q78" t="str">
            <v>القاهرة</v>
          </cell>
        </row>
        <row r="79">
          <cell r="K79">
            <v>401</v>
          </cell>
          <cell r="L79" t="str">
            <v>سامح ماجد الهجرسى الدسوقى</v>
          </cell>
          <cell r="M79">
            <v>27301211204771</v>
          </cell>
          <cell r="N79" t="str">
            <v>مشرف تحصيل</v>
          </cell>
          <cell r="P79" t="str">
            <v>التحصيل</v>
          </cell>
          <cell r="Q79" t="str">
            <v>المنصورة</v>
          </cell>
        </row>
        <row r="80">
          <cell r="K80">
            <v>402</v>
          </cell>
          <cell r="L80" t="str">
            <v>ياسر عبد الحكيم حمزة أبو النيل</v>
          </cell>
          <cell r="M80">
            <v>27309251700756</v>
          </cell>
          <cell r="N80" t="str">
            <v>وكيل تحصيل</v>
          </cell>
          <cell r="P80" t="str">
            <v>التحصيل</v>
          </cell>
          <cell r="Q80" t="str">
            <v>المنصورة</v>
          </cell>
        </row>
        <row r="81">
          <cell r="K81">
            <v>404</v>
          </cell>
          <cell r="L81" t="str">
            <v>اصالة مهدى محمد احمد</v>
          </cell>
          <cell r="M81">
            <v>30109290101804</v>
          </cell>
          <cell r="N81" t="str">
            <v>وكيل تحصيل هاتفى</v>
          </cell>
          <cell r="O81" t="str">
            <v>بنك الاسكندرية</v>
          </cell>
          <cell r="P81" t="str">
            <v>التحصيل</v>
          </cell>
          <cell r="Q81" t="str">
            <v>القاهرة</v>
          </cell>
        </row>
        <row r="82">
          <cell r="K82">
            <v>410</v>
          </cell>
          <cell r="L82" t="str">
            <v>سيف طارق محمد  إسماعيل</v>
          </cell>
          <cell r="M82">
            <v>30605100100332</v>
          </cell>
          <cell r="N82" t="str">
            <v>وكيل تحصيل</v>
          </cell>
          <cell r="O82" t="str">
            <v>بنك كريدى اجريكول</v>
          </cell>
          <cell r="P82" t="str">
            <v>التحصيل</v>
          </cell>
          <cell r="Q82" t="str">
            <v>القاهرة</v>
          </cell>
        </row>
        <row r="83">
          <cell r="K83">
            <v>416</v>
          </cell>
          <cell r="L83" t="str">
            <v>هاني جمعه علي احمد</v>
          </cell>
          <cell r="M83">
            <v>27610261201733</v>
          </cell>
          <cell r="N83" t="str">
            <v>وكيل تحصيل</v>
          </cell>
          <cell r="P83" t="str">
            <v>التحصيل</v>
          </cell>
          <cell r="Q83" t="str">
            <v>المنصورة</v>
          </cell>
        </row>
        <row r="84">
          <cell r="K84">
            <v>418</v>
          </cell>
          <cell r="L84" t="str">
            <v>احمد حمدى محمد سرور</v>
          </cell>
          <cell r="M84">
            <v>28302221701951</v>
          </cell>
          <cell r="N84" t="str">
            <v>وكيل تحصيل</v>
          </cell>
          <cell r="O84" t="str">
            <v>وكيل تحصيل</v>
          </cell>
          <cell r="P84" t="str">
            <v>التحصيل</v>
          </cell>
          <cell r="Q84" t="str">
            <v>المنصورة</v>
          </cell>
        </row>
        <row r="85">
          <cell r="K85">
            <v>421</v>
          </cell>
          <cell r="L85" t="str">
            <v>محمد احمد ناجز سعيد</v>
          </cell>
          <cell r="M85">
            <v>30609022100334</v>
          </cell>
          <cell r="N85" t="str">
            <v>وكيل تحصيل</v>
          </cell>
          <cell r="O85" t="str">
            <v>بنك كريدى اجريكول</v>
          </cell>
          <cell r="P85" t="str">
            <v>التحصيل</v>
          </cell>
          <cell r="Q85" t="str">
            <v>القاهرة</v>
          </cell>
        </row>
        <row r="86">
          <cell r="K86">
            <v>425</v>
          </cell>
          <cell r="L86" t="str">
            <v>احمد رزق طاهر أبو الفتوح</v>
          </cell>
          <cell r="M86">
            <v>29403171201019</v>
          </cell>
          <cell r="N86" t="str">
            <v>وكيل تحصيل</v>
          </cell>
          <cell r="O86" t="str">
            <v>شركة تنمية</v>
          </cell>
          <cell r="P86" t="str">
            <v>التحصيل</v>
          </cell>
          <cell r="Q86" t="str">
            <v>المنصورة</v>
          </cell>
        </row>
        <row r="87">
          <cell r="K87">
            <v>426</v>
          </cell>
          <cell r="L87" t="str">
            <v>هدير رمضان مصطفي عبد العال</v>
          </cell>
          <cell r="M87">
            <v>29908201201021</v>
          </cell>
          <cell r="N87" t="str">
            <v>وكيل تحصيل هاتفى</v>
          </cell>
          <cell r="O87" t="str">
            <v>وكيل تحصيل هاتفى</v>
          </cell>
          <cell r="P87" t="str">
            <v>التحصيل</v>
          </cell>
          <cell r="Q87" t="str">
            <v>المنصورة</v>
          </cell>
        </row>
        <row r="88">
          <cell r="K88">
            <v>428</v>
          </cell>
          <cell r="L88" t="str">
            <v xml:space="preserve">سحر محمد علي سيد </v>
          </cell>
          <cell r="M88">
            <v>29101201401488</v>
          </cell>
          <cell r="N88" t="str">
            <v>منسق بيانات</v>
          </cell>
          <cell r="O88" t="str">
            <v>منسقى البيانات</v>
          </cell>
          <cell r="P88" t="str">
            <v>الادارى</v>
          </cell>
          <cell r="Q88" t="str">
            <v>القاهرة</v>
          </cell>
        </row>
        <row r="89">
          <cell r="K89">
            <v>444</v>
          </cell>
          <cell r="L89" t="str">
            <v>نورين محمود عبد السلام</v>
          </cell>
          <cell r="M89">
            <v>30301181400409</v>
          </cell>
          <cell r="N89" t="str">
            <v>وكيل تحصيل هاتفى</v>
          </cell>
          <cell r="O89" t="str">
            <v>شركة راية</v>
          </cell>
          <cell r="P89" t="str">
            <v>التحصيل</v>
          </cell>
          <cell r="Q89" t="str">
            <v>القاهرة</v>
          </cell>
        </row>
        <row r="90">
          <cell r="K90">
            <v>445</v>
          </cell>
          <cell r="L90" t="str">
            <v>أسماء عباس عثمان عباس</v>
          </cell>
          <cell r="M90">
            <v>29012100105168</v>
          </cell>
          <cell r="N90" t="str">
            <v>خدمات معاونة</v>
          </cell>
          <cell r="O90" t="str">
            <v>الخدمات المعاونة</v>
          </cell>
          <cell r="P90" t="str">
            <v>الادارى</v>
          </cell>
          <cell r="Q90" t="str">
            <v>القاهرة</v>
          </cell>
        </row>
        <row r="91">
          <cell r="K91">
            <v>448</v>
          </cell>
          <cell r="L91" t="str">
            <v>ياسمين ماهر زيدان محمود عبد الباقي</v>
          </cell>
          <cell r="M91">
            <v>30201111402604</v>
          </cell>
          <cell r="N91" t="str">
            <v>وكيل تحصيل هاتفى</v>
          </cell>
          <cell r="O91" t="str">
            <v>شركة سهولة</v>
          </cell>
          <cell r="P91" t="str">
            <v>التحصيل</v>
          </cell>
          <cell r="Q91" t="str">
            <v>القاهرة</v>
          </cell>
        </row>
        <row r="92">
          <cell r="K92">
            <v>456</v>
          </cell>
          <cell r="L92" t="str">
            <v>مختار محمد محمد مختار</v>
          </cell>
          <cell r="M92">
            <v>28705180300154</v>
          </cell>
          <cell r="N92" t="str">
            <v>وكيل تحصيل</v>
          </cell>
          <cell r="O92" t="str">
            <v xml:space="preserve"> شركة ماني فيللوز </v>
          </cell>
          <cell r="P92" t="str">
            <v>التحصيل</v>
          </cell>
          <cell r="Q92" t="str">
            <v>القاهرة</v>
          </cell>
        </row>
        <row r="93">
          <cell r="K93">
            <v>460</v>
          </cell>
          <cell r="L93" t="str">
            <v>احمد اشرف محمد حسن</v>
          </cell>
          <cell r="M93">
            <v>30205240100555</v>
          </cell>
          <cell r="N93" t="str">
            <v>وكيل تحصيل</v>
          </cell>
          <cell r="O93" t="str">
            <v>شركة وسيله /بنك اسكندرية</v>
          </cell>
          <cell r="P93" t="str">
            <v>التحصيل</v>
          </cell>
          <cell r="Q93" t="str">
            <v>القاهرة</v>
          </cell>
        </row>
        <row r="94">
          <cell r="K94">
            <v>461</v>
          </cell>
          <cell r="L94" t="str">
            <v>كريم جمال السيد عبد الهادي</v>
          </cell>
          <cell r="M94">
            <v>29305041401219</v>
          </cell>
          <cell r="N94" t="str">
            <v>كبير مشرفى تحصيل</v>
          </cell>
          <cell r="O94" t="str">
            <v>بنك كريدى اجريكول</v>
          </cell>
          <cell r="P94" t="str">
            <v>التحصيل</v>
          </cell>
          <cell r="Q94" t="str">
            <v>القاهرة</v>
          </cell>
        </row>
        <row r="95">
          <cell r="K95">
            <v>462</v>
          </cell>
          <cell r="L95" t="str">
            <v>رنيم إبراهيم محمد احمد مجاهد</v>
          </cell>
          <cell r="M95">
            <v>0</v>
          </cell>
          <cell r="N95" t="str">
            <v>وكيل تحصيل هاتفى</v>
          </cell>
          <cell r="O95" t="str">
            <v>شركة تنمية</v>
          </cell>
          <cell r="P95" t="str">
            <v>التحصيل</v>
          </cell>
          <cell r="Q95" t="str">
            <v>المنصورة</v>
          </cell>
        </row>
        <row r="96">
          <cell r="K96">
            <v>466</v>
          </cell>
          <cell r="L96" t="str">
            <v>فاطمة محمود سلامة إبراهيم</v>
          </cell>
          <cell r="M96">
            <v>29309251200181</v>
          </cell>
          <cell r="N96" t="str">
            <v>وكيل تحصيل هاتفى</v>
          </cell>
          <cell r="O96" t="str">
            <v>شركة تنمية</v>
          </cell>
          <cell r="P96" t="str">
            <v>التحصيل</v>
          </cell>
          <cell r="Q96" t="str">
            <v>المنصورة</v>
          </cell>
        </row>
        <row r="97">
          <cell r="K97">
            <v>467</v>
          </cell>
          <cell r="L97" t="str">
            <v>مى علاء السيد محمد غريب</v>
          </cell>
          <cell r="M97">
            <v>30102051204885</v>
          </cell>
          <cell r="N97" t="str">
            <v>وكيل تحصيل هاتفى</v>
          </cell>
          <cell r="O97" t="str">
            <v>شركة تنمية</v>
          </cell>
          <cell r="P97" t="str">
            <v>التحصيل</v>
          </cell>
          <cell r="Q97" t="str">
            <v>المنصورة</v>
          </cell>
        </row>
        <row r="98">
          <cell r="K98">
            <v>468</v>
          </cell>
          <cell r="L98" t="str">
            <v>حسام حسن محمد حسن</v>
          </cell>
          <cell r="M98">
            <v>29405100101555</v>
          </cell>
          <cell r="N98" t="str">
            <v>وكيل تحصيل</v>
          </cell>
          <cell r="O98" t="str">
            <v>شركة فاليو</v>
          </cell>
          <cell r="P98" t="str">
            <v>التحصيل</v>
          </cell>
          <cell r="Q98" t="str">
            <v>القاهرة</v>
          </cell>
        </row>
        <row r="99">
          <cell r="K99">
            <v>473</v>
          </cell>
          <cell r="L99" t="str">
            <v>رحمه عاطف احمد علي</v>
          </cell>
          <cell r="M99">
            <v>30406050100589</v>
          </cell>
          <cell r="N99" t="str">
            <v>وكيل تحصيل هاتفى</v>
          </cell>
          <cell r="O99" t="str">
            <v>شركة تنمية</v>
          </cell>
          <cell r="P99" t="str">
            <v>التحصيل</v>
          </cell>
          <cell r="Q99" t="str">
            <v>القاهرة</v>
          </cell>
        </row>
        <row r="100">
          <cell r="K100">
            <v>475</v>
          </cell>
          <cell r="L100" t="str">
            <v>احمد إبراهيم مبروك سعيد</v>
          </cell>
          <cell r="M100">
            <v>11894014000</v>
          </cell>
          <cell r="N100" t="str">
            <v>وكيل تحصيل</v>
          </cell>
          <cell r="O100" t="str">
            <v>شركة سهولة / شركة راية</v>
          </cell>
          <cell r="P100" t="str">
            <v>التحصيل</v>
          </cell>
          <cell r="Q100" t="str">
            <v>القاهرة</v>
          </cell>
        </row>
        <row r="101">
          <cell r="K101">
            <v>478</v>
          </cell>
          <cell r="L101" t="str">
            <v>محمد السيد محمد الدسوقي</v>
          </cell>
          <cell r="M101">
            <v>29701011237298</v>
          </cell>
          <cell r="N101" t="str">
            <v>وكيل تحصيل</v>
          </cell>
          <cell r="O101" t="str">
            <v>وكيل تحصيل</v>
          </cell>
          <cell r="P101" t="str">
            <v>التحصيل</v>
          </cell>
          <cell r="Q101" t="str">
            <v>المنصورة</v>
          </cell>
        </row>
        <row r="102">
          <cell r="K102">
            <v>479</v>
          </cell>
          <cell r="L102" t="str">
            <v>مي اشرف صلاح الدين أبو زيد</v>
          </cell>
          <cell r="M102">
            <v>30007160105266</v>
          </cell>
          <cell r="N102" t="str">
            <v>مسئول موارد بشريه</v>
          </cell>
          <cell r="O102" t="str">
            <v>الموارد البشرية</v>
          </cell>
          <cell r="P102" t="str">
            <v>الادارى</v>
          </cell>
          <cell r="Q102" t="str">
            <v>القاهرة</v>
          </cell>
        </row>
        <row r="103">
          <cell r="K103">
            <v>482</v>
          </cell>
          <cell r="L103" t="str">
            <v xml:space="preserve">فاطمه شعبان محمد مصطفي </v>
          </cell>
          <cell r="M103">
            <v>30204190100501</v>
          </cell>
          <cell r="N103" t="str">
            <v>وكيل تحصيل هاتفى</v>
          </cell>
          <cell r="O103" t="str">
            <v>شركة راية</v>
          </cell>
          <cell r="P103" t="str">
            <v>التحصيل</v>
          </cell>
          <cell r="Q103" t="str">
            <v>القاهرة</v>
          </cell>
        </row>
        <row r="104">
          <cell r="K104">
            <v>483</v>
          </cell>
          <cell r="L104" t="str">
            <v>حبيبه بدر  حنفي محمود</v>
          </cell>
          <cell r="M104">
            <v>30006180104545</v>
          </cell>
          <cell r="N104" t="str">
            <v>منسقى البيانات</v>
          </cell>
          <cell r="O104" t="str">
            <v>منسقى البيانات</v>
          </cell>
          <cell r="P104" t="str">
            <v>الادارى</v>
          </cell>
          <cell r="Q104" t="str">
            <v>القاهرة</v>
          </cell>
        </row>
        <row r="105">
          <cell r="K105">
            <v>484</v>
          </cell>
          <cell r="L105" t="str">
            <v>ايمان رمضان السعيد مصطفي</v>
          </cell>
          <cell r="M105">
            <v>28807031200187</v>
          </cell>
          <cell r="N105" t="str">
            <v>منسق بيانات</v>
          </cell>
          <cell r="O105" t="str">
            <v>منسقى البيانات</v>
          </cell>
          <cell r="P105" t="str">
            <v>الادارى</v>
          </cell>
          <cell r="Q105" t="str">
            <v>المنصورة</v>
          </cell>
        </row>
        <row r="106">
          <cell r="K106">
            <v>485</v>
          </cell>
          <cell r="L106" t="str">
            <v>دينا محمد احمد الصاوي</v>
          </cell>
          <cell r="M106">
            <v>29710250105424</v>
          </cell>
          <cell r="N106" t="str">
            <v>منسقى البيانات</v>
          </cell>
          <cell r="O106" t="str">
            <v>منسقى البيانات</v>
          </cell>
          <cell r="P106" t="str">
            <v>الادارى</v>
          </cell>
          <cell r="Q106" t="str">
            <v>القاهرة</v>
          </cell>
        </row>
        <row r="107">
          <cell r="K107">
            <v>486</v>
          </cell>
          <cell r="L107" t="str">
            <v>اسراء صبري رمضان احمد</v>
          </cell>
          <cell r="M107">
            <v>29411260100148</v>
          </cell>
          <cell r="N107" t="str">
            <v>وكيل تحصيل هاتفى</v>
          </cell>
          <cell r="O107" t="str">
            <v xml:space="preserve"> شركة ماني فيللوز </v>
          </cell>
          <cell r="P107" t="str">
            <v>التحصيل</v>
          </cell>
          <cell r="Q107" t="str">
            <v>القاهرة</v>
          </cell>
        </row>
        <row r="108">
          <cell r="K108">
            <v>487</v>
          </cell>
          <cell r="L108" t="str">
            <v>محمود رياض محمد رياض</v>
          </cell>
          <cell r="M108">
            <v>30509300112158</v>
          </cell>
          <cell r="N108" t="str">
            <v>وكيل تحصيل</v>
          </cell>
          <cell r="O108" t="str">
            <v>بنك الاسكندرية</v>
          </cell>
          <cell r="P108" t="str">
            <v>التحصيل</v>
          </cell>
          <cell r="Q108" t="str">
            <v>القاهرة</v>
          </cell>
        </row>
        <row r="109">
          <cell r="K109">
            <v>492</v>
          </cell>
          <cell r="L109" t="str">
            <v>اسامه محمد احمد عبد الحميد</v>
          </cell>
          <cell r="M109">
            <v>28206152104831</v>
          </cell>
          <cell r="O109" t="str">
            <v>تحصيل / شئون قانونية</v>
          </cell>
          <cell r="P109" t="str">
            <v>الادارى</v>
          </cell>
          <cell r="Q109" t="str">
            <v>القاهرة</v>
          </cell>
        </row>
        <row r="110">
          <cell r="K110">
            <v>493</v>
          </cell>
          <cell r="L110" t="str">
            <v>محمود محمد محمود محمد</v>
          </cell>
          <cell r="M110">
            <v>29809301408733</v>
          </cell>
          <cell r="N110" t="str">
            <v>محامى</v>
          </cell>
          <cell r="O110" t="str">
            <v>الشئون القانونية</v>
          </cell>
          <cell r="P110" t="str">
            <v>الادارى</v>
          </cell>
          <cell r="Q110" t="str">
            <v>القاهرة</v>
          </cell>
        </row>
        <row r="111">
          <cell r="K111">
            <v>494</v>
          </cell>
          <cell r="L111" t="str">
            <v>محمود عبد المنعم محمد إبراهيم</v>
          </cell>
          <cell r="M111">
            <v>29010271200832</v>
          </cell>
          <cell r="N111" t="str">
            <v>وكيل تحصيل</v>
          </cell>
          <cell r="P111" t="str">
            <v>التحصيل</v>
          </cell>
          <cell r="Q111" t="str">
            <v>المنصورة</v>
          </cell>
        </row>
        <row r="112">
          <cell r="K112">
            <v>495</v>
          </cell>
          <cell r="L112" t="str">
            <v>أسماء عبد المنعم غنيمي علي</v>
          </cell>
          <cell r="M112">
            <v>28811140101862</v>
          </cell>
          <cell r="N112" t="str">
            <v>وكيل تحصيل هاتفى</v>
          </cell>
          <cell r="O112" t="str">
            <v>شركة فاليو</v>
          </cell>
          <cell r="P112" t="str">
            <v>التحصيل</v>
          </cell>
          <cell r="Q112" t="str">
            <v>القاهرة</v>
          </cell>
        </row>
        <row r="113">
          <cell r="K113">
            <v>497</v>
          </cell>
          <cell r="L113" t="str">
            <v>عمرو خالد ياسين إبراهيم</v>
          </cell>
          <cell r="M113">
            <v>30606290101654</v>
          </cell>
          <cell r="N113" t="str">
            <v>وكيل تحصيل</v>
          </cell>
          <cell r="O113" t="str">
            <v>شركة وسيلة</v>
          </cell>
          <cell r="P113" t="str">
            <v>التحصيل</v>
          </cell>
          <cell r="Q113" t="str">
            <v>القاهرة</v>
          </cell>
        </row>
        <row r="114">
          <cell r="K114">
            <v>498</v>
          </cell>
          <cell r="L114" t="str">
            <v>ياسمين وائل صلاح احمد</v>
          </cell>
          <cell r="M114">
            <v>30410011200166</v>
          </cell>
          <cell r="N114" t="str">
            <v>وكيل تحصيل هاتفى</v>
          </cell>
          <cell r="P114" t="str">
            <v>التحصيل</v>
          </cell>
          <cell r="Q114" t="str">
            <v>المنصورة</v>
          </cell>
        </row>
        <row r="115">
          <cell r="K115">
            <v>500</v>
          </cell>
          <cell r="L115" t="str">
            <v>هايدي هشام السيد امام</v>
          </cell>
          <cell r="M115">
            <v>29202021200043</v>
          </cell>
          <cell r="N115" t="str">
            <v>وكيل تحصيل هاتفى</v>
          </cell>
          <cell r="P115" t="str">
            <v>التحصيل</v>
          </cell>
          <cell r="Q115" t="str">
            <v>المنصورة</v>
          </cell>
        </row>
        <row r="116">
          <cell r="K116">
            <v>502</v>
          </cell>
          <cell r="L116" t="str">
            <v>رحاب عثمان محمود صالح</v>
          </cell>
          <cell r="M116">
            <v>28101011234263</v>
          </cell>
          <cell r="N116" t="str">
            <v>وكيل تحصيل هاتفى</v>
          </cell>
          <cell r="P116" t="str">
            <v>التحصيل</v>
          </cell>
          <cell r="Q116" t="str">
            <v>المنصورة</v>
          </cell>
        </row>
        <row r="117">
          <cell r="K117">
            <v>503</v>
          </cell>
          <cell r="L117" t="str">
            <v>اسلام احمد محمود علي</v>
          </cell>
          <cell r="M117">
            <v>29007171200117</v>
          </cell>
          <cell r="N117" t="str">
            <v>محامى</v>
          </cell>
          <cell r="O117" t="str">
            <v>الشئون القانونية</v>
          </cell>
          <cell r="P117" t="str">
            <v>الادارى</v>
          </cell>
          <cell r="Q117" t="str">
            <v>المنصورة</v>
          </cell>
        </row>
        <row r="118">
          <cell r="K118">
            <v>504</v>
          </cell>
          <cell r="L118" t="str">
            <v>بلال فريد شوقي احمد</v>
          </cell>
          <cell r="M118">
            <v>30609142100214</v>
          </cell>
          <cell r="N118" t="str">
            <v>وكيل تحصيل</v>
          </cell>
          <cell r="O118" t="str">
            <v>بنك الاسكندرية</v>
          </cell>
          <cell r="P118" t="str">
            <v>التحصيل</v>
          </cell>
          <cell r="Q118" t="str">
            <v>القاهرة</v>
          </cell>
        </row>
        <row r="119">
          <cell r="K119">
            <v>507</v>
          </cell>
          <cell r="L119" t="str">
            <v>محمد حسن علي عباس</v>
          </cell>
          <cell r="M119">
            <v>28309011214114</v>
          </cell>
          <cell r="N119" t="str">
            <v>محامى</v>
          </cell>
          <cell r="O119" t="str">
            <v>الشئون القانونية</v>
          </cell>
          <cell r="P119" t="str">
            <v>الادارى</v>
          </cell>
          <cell r="Q119" t="str">
            <v>المنصورة</v>
          </cell>
        </row>
        <row r="120">
          <cell r="K120">
            <v>508</v>
          </cell>
          <cell r="L120" t="str">
            <v>مريم محمود غريب محمد</v>
          </cell>
          <cell r="M120">
            <v>30409022100408</v>
          </cell>
          <cell r="N120" t="str">
            <v>وكيل تحصيل هاتفى</v>
          </cell>
          <cell r="O120" t="str">
            <v>بنك الإسكندرية / شركة سهولة</v>
          </cell>
          <cell r="P120" t="str">
            <v>التحصيل</v>
          </cell>
          <cell r="Q120" t="str">
            <v>القاهرة</v>
          </cell>
        </row>
        <row r="121">
          <cell r="K121">
            <v>509</v>
          </cell>
          <cell r="L121" t="str">
            <v>كريم اشرف فاروق احمد</v>
          </cell>
          <cell r="M121">
            <v>29804181200538</v>
          </cell>
          <cell r="N121" t="str">
            <v>وكيل تحصيل</v>
          </cell>
          <cell r="P121" t="str">
            <v>التحصيل</v>
          </cell>
          <cell r="Q121" t="str">
            <v>المنصورة</v>
          </cell>
        </row>
        <row r="122">
          <cell r="K122">
            <v>511</v>
          </cell>
          <cell r="L122" t="str">
            <v>ورد محمد احمد عبد الحميد شهده</v>
          </cell>
          <cell r="M122">
            <v>30506120107181</v>
          </cell>
          <cell r="N122" t="str">
            <v>وكيل تحصيل هاتفى</v>
          </cell>
          <cell r="O122" t="str">
            <v>بنك الإسكندرية / شركة وسيلة</v>
          </cell>
          <cell r="P122" t="str">
            <v>التحصيل</v>
          </cell>
          <cell r="Q122" t="str">
            <v>القاهرة</v>
          </cell>
        </row>
        <row r="123">
          <cell r="K123">
            <v>512</v>
          </cell>
          <cell r="L123" t="str">
            <v>شريهان كمال شفيق حسب الله</v>
          </cell>
          <cell r="M123">
            <v>28208060104129</v>
          </cell>
          <cell r="N123" t="str">
            <v>وكيل تحصيل هاتفى</v>
          </cell>
          <cell r="O123" t="str">
            <v xml:space="preserve">بنك الإسكندرية </v>
          </cell>
          <cell r="P123" t="str">
            <v>التحصيل</v>
          </cell>
          <cell r="Q123" t="str">
            <v>القاهرة</v>
          </cell>
        </row>
        <row r="124">
          <cell r="K124">
            <v>514</v>
          </cell>
          <cell r="L124" t="str">
            <v>حسين احمد حسين محمود مرسى</v>
          </cell>
          <cell r="M124">
            <v>30207210103056</v>
          </cell>
          <cell r="N124" t="str">
            <v>وكيل تحصيل</v>
          </cell>
          <cell r="O124" t="str">
            <v>شركة فاليو</v>
          </cell>
          <cell r="P124" t="str">
            <v>التحصيل</v>
          </cell>
          <cell r="Q124" t="str">
            <v>القاهرة</v>
          </cell>
        </row>
        <row r="125">
          <cell r="K125">
            <v>515</v>
          </cell>
          <cell r="L125" t="str">
            <v>محمد عبدالمنعم عبدالحليم إبراهيم</v>
          </cell>
          <cell r="M125">
            <v>28406011410539</v>
          </cell>
          <cell r="N125" t="str">
            <v>خدمات معاونة</v>
          </cell>
          <cell r="O125" t="str">
            <v>الخدمات المعاونة</v>
          </cell>
          <cell r="P125" t="str">
            <v>الادارى</v>
          </cell>
          <cell r="Q125" t="str">
            <v>القاهرة</v>
          </cell>
        </row>
        <row r="126">
          <cell r="K126">
            <v>517</v>
          </cell>
          <cell r="L126" t="str">
            <v>فاطمه محمد سيد محمد سيد</v>
          </cell>
          <cell r="M126">
            <v>30506110103684</v>
          </cell>
          <cell r="N126" t="str">
            <v xml:space="preserve">وكيل تحصيل هاتفي </v>
          </cell>
          <cell r="O126" t="str">
            <v>شركة فاليو</v>
          </cell>
          <cell r="P126" t="str">
            <v>التحصيل</v>
          </cell>
          <cell r="Q126" t="str">
            <v>القاهرة</v>
          </cell>
        </row>
        <row r="127">
          <cell r="K127">
            <v>518</v>
          </cell>
          <cell r="L127" t="str">
            <v xml:space="preserve">زينب عبدالرحمن احمد عبدالرحمن </v>
          </cell>
          <cell r="M127">
            <v>30506130100363</v>
          </cell>
          <cell r="N127" t="str">
            <v xml:space="preserve">وكيل تحصيل هاتفي </v>
          </cell>
          <cell r="O127" t="str">
            <v>شركة فاليو</v>
          </cell>
          <cell r="P127" t="str">
            <v>التحصيل</v>
          </cell>
          <cell r="Q127" t="str">
            <v>القاهرة</v>
          </cell>
        </row>
        <row r="128">
          <cell r="K128">
            <v>519</v>
          </cell>
          <cell r="L128" t="str">
            <v>يوسف محمد مسعود ديوشى عمار</v>
          </cell>
          <cell r="M128">
            <v>30406040100378</v>
          </cell>
          <cell r="N128" t="str">
            <v>وكيل تحصيل</v>
          </cell>
          <cell r="O128" t="str">
            <v>شركة راية</v>
          </cell>
          <cell r="P128" t="str">
            <v>التحصيل</v>
          </cell>
          <cell r="Q128" t="str">
            <v>القاهرة</v>
          </cell>
        </row>
        <row r="129">
          <cell r="K129">
            <v>520</v>
          </cell>
          <cell r="L129" t="str">
            <v xml:space="preserve">عبله خالد سيد عبده امين </v>
          </cell>
          <cell r="M129">
            <v>30202100101161</v>
          </cell>
          <cell r="N129" t="str">
            <v xml:space="preserve">وكيل تحصيل هاتفي </v>
          </cell>
          <cell r="O129" t="str">
            <v>شركة راية</v>
          </cell>
          <cell r="P129" t="str">
            <v>التحصيل</v>
          </cell>
          <cell r="Q129" t="str">
            <v>القاهرة</v>
          </cell>
        </row>
        <row r="130">
          <cell r="K130">
            <v>522</v>
          </cell>
          <cell r="L130" t="str">
            <v>ايمان محمد هلال الدسوقى</v>
          </cell>
          <cell r="M130">
            <v>29107021200806</v>
          </cell>
          <cell r="N130" t="str">
            <v>وكيل تحصيل هاتفى</v>
          </cell>
          <cell r="P130" t="str">
            <v>التحصيل</v>
          </cell>
          <cell r="Q130" t="str">
            <v>المنصورة</v>
          </cell>
        </row>
        <row r="131">
          <cell r="K131">
            <v>523</v>
          </cell>
          <cell r="L131" t="str">
            <v>عفاف إبراهيم محمد عبد المجيد</v>
          </cell>
          <cell r="M131">
            <v>27705291201101</v>
          </cell>
          <cell r="N131" t="str">
            <v xml:space="preserve">وكيل تحصيل هاتفي </v>
          </cell>
          <cell r="P131" t="str">
            <v>التحصيل</v>
          </cell>
          <cell r="Q131" t="str">
            <v>المنصورة</v>
          </cell>
        </row>
        <row r="132">
          <cell r="K132">
            <v>524</v>
          </cell>
          <cell r="L132" t="str">
            <v>منى يحيي على صادق</v>
          </cell>
          <cell r="M132">
            <v>29507162103187</v>
          </cell>
          <cell r="N132" t="str">
            <v xml:space="preserve">وكيل تحصيل هاتفي </v>
          </cell>
          <cell r="O132" t="str">
            <v>بنك كريدي/شركة وسيلة</v>
          </cell>
          <cell r="P132" t="str">
            <v>التحصيل</v>
          </cell>
          <cell r="Q132" t="str">
            <v>القاهرة</v>
          </cell>
        </row>
        <row r="133">
          <cell r="K133">
            <v>525</v>
          </cell>
          <cell r="L133" t="str">
            <v>عبير سليمان خلف</v>
          </cell>
          <cell r="M133">
            <v>30110102505047</v>
          </cell>
          <cell r="N133" t="str">
            <v xml:space="preserve">وكيل تحصيل هاتفي </v>
          </cell>
          <cell r="O133" t="str">
            <v>بنك الاسكندرية</v>
          </cell>
          <cell r="P133" t="str">
            <v>التحصيل</v>
          </cell>
          <cell r="Q133" t="str">
            <v>القاهرة</v>
          </cell>
        </row>
        <row r="134">
          <cell r="K134">
            <v>526</v>
          </cell>
          <cell r="L134" t="str">
            <v>جميلة اشرف محمد</v>
          </cell>
          <cell r="M134">
            <v>30108262102467</v>
          </cell>
          <cell r="N134" t="str">
            <v xml:space="preserve">وكيل تحصيل هاتفي </v>
          </cell>
          <cell r="O134" t="str">
            <v>بنك الاسكندرية</v>
          </cell>
          <cell r="P134" t="str">
            <v>التحصيل</v>
          </cell>
          <cell r="Q134" t="str">
            <v>القاهرة</v>
          </cell>
        </row>
        <row r="135">
          <cell r="K135">
            <v>527</v>
          </cell>
          <cell r="L135" t="str">
            <v>محمد محمود حسين محمود</v>
          </cell>
          <cell r="M135">
            <v>30206020103231</v>
          </cell>
          <cell r="N135" t="str">
            <v>مشرف تحصيل</v>
          </cell>
          <cell r="O135" t="str">
            <v>بنك الاسكندرية</v>
          </cell>
          <cell r="P135" t="str">
            <v>التحصيل</v>
          </cell>
          <cell r="Q135" t="str">
            <v>القاهرة</v>
          </cell>
        </row>
        <row r="136">
          <cell r="K136">
            <v>530</v>
          </cell>
          <cell r="L136" t="str">
            <v xml:space="preserve">هند سيد السيد علي يونس </v>
          </cell>
          <cell r="M136">
            <v>30502171401488</v>
          </cell>
          <cell r="N136" t="str">
            <v xml:space="preserve">وكيل تحصيل هاتفي </v>
          </cell>
          <cell r="O136" t="str">
            <v>شركة فاليو</v>
          </cell>
          <cell r="P136" t="str">
            <v>التحصيل</v>
          </cell>
          <cell r="Q136" t="str">
            <v>القاهرة</v>
          </cell>
        </row>
        <row r="137">
          <cell r="K137">
            <v>534</v>
          </cell>
          <cell r="L137" t="str">
            <v>صفيه وائل محمد حسن سليمان</v>
          </cell>
          <cell r="M137">
            <v>30602180104261</v>
          </cell>
          <cell r="N137" t="str">
            <v>وكيل تحصيل هاتفى</v>
          </cell>
          <cell r="O137" t="str">
            <v>شركة فاليو</v>
          </cell>
          <cell r="P137" t="str">
            <v>التحصيل</v>
          </cell>
          <cell r="Q137" t="str">
            <v>القاهرة</v>
          </cell>
        </row>
        <row r="138">
          <cell r="K138">
            <v>536</v>
          </cell>
          <cell r="L138" t="str">
            <v>امل حلمى مسعد فهيد</v>
          </cell>
          <cell r="M138">
            <v>28405201201387</v>
          </cell>
          <cell r="N138" t="str">
            <v xml:space="preserve">وكيل تحصيل هاتفي </v>
          </cell>
          <cell r="P138" t="str">
            <v>التحصيل</v>
          </cell>
          <cell r="Q138" t="str">
            <v>المنصورة</v>
          </cell>
        </row>
        <row r="139">
          <cell r="K139">
            <v>539</v>
          </cell>
          <cell r="L139" t="str">
            <v xml:space="preserve">محمد مدحت عبدالمنعم مصطفى حسن </v>
          </cell>
          <cell r="M139">
            <v>29905220100296</v>
          </cell>
          <cell r="N139" t="str">
            <v>محاسب</v>
          </cell>
          <cell r="O139" t="str">
            <v>المالية</v>
          </cell>
          <cell r="P139" t="str">
            <v>الادارى</v>
          </cell>
          <cell r="Q139" t="str">
            <v>القاهرة</v>
          </cell>
        </row>
        <row r="140">
          <cell r="K140">
            <v>540</v>
          </cell>
          <cell r="L140" t="str">
            <v xml:space="preserve">سلسبيل احمد جاد عبد المقصود </v>
          </cell>
          <cell r="M140">
            <v>29710290101723</v>
          </cell>
          <cell r="N140" t="str">
            <v xml:space="preserve">وكيل تحصيل هاتفي </v>
          </cell>
          <cell r="O140" t="str">
            <v>بنك كريدى اجريكول</v>
          </cell>
          <cell r="P140" t="str">
            <v>التحصيل</v>
          </cell>
          <cell r="Q140" t="str">
            <v>القاهرة</v>
          </cell>
        </row>
        <row r="141">
          <cell r="K141">
            <v>541</v>
          </cell>
          <cell r="L141" t="str">
            <v>شيماء السيد السيد شلبى شهده</v>
          </cell>
          <cell r="M141">
            <v>29403301201521</v>
          </cell>
          <cell r="N141" t="str">
            <v xml:space="preserve">وكيل تحصيل هاتفي </v>
          </cell>
          <cell r="P141" t="str">
            <v>التحصيل</v>
          </cell>
          <cell r="Q141" t="str">
            <v>المنصورة</v>
          </cell>
        </row>
        <row r="142">
          <cell r="K142">
            <v>162</v>
          </cell>
          <cell r="L142" t="str">
            <v>عمرو على سليم محمد السيد</v>
          </cell>
          <cell r="M142"/>
          <cell r="N142" t="str">
            <v>مشرف تحصيل</v>
          </cell>
          <cell r="O142" t="str">
            <v>مانى فللوز /كريدى اجريكول</v>
          </cell>
          <cell r="P142" t="str">
            <v>التحصيل</v>
          </cell>
          <cell r="Q142" t="str">
            <v>المنصورة</v>
          </cell>
        </row>
        <row r="143">
          <cell r="K143">
            <v>368</v>
          </cell>
          <cell r="L143" t="str">
            <v>سعيد دياب حامد سعيد</v>
          </cell>
          <cell r="M143"/>
          <cell r="N143" t="str">
            <v>مسئول تنفيذ</v>
          </cell>
          <cell r="O143" t="str">
            <v>الشئون القانونية</v>
          </cell>
          <cell r="P143" t="str">
            <v>الادارى</v>
          </cell>
          <cell r="Q143" t="str">
            <v>القاهرة</v>
          </cell>
        </row>
        <row r="144">
          <cell r="K144">
            <v>380</v>
          </cell>
          <cell r="L144" t="str">
            <v>عمرو حسن محمد عصران احمد</v>
          </cell>
          <cell r="M144"/>
          <cell r="N144" t="str">
            <v>وكيل تحصيل</v>
          </cell>
          <cell r="O144" t="str">
            <v>بنك الإسكندرية</v>
          </cell>
          <cell r="P144" t="str">
            <v>التحصيل</v>
          </cell>
          <cell r="Q144" t="str">
            <v>القاهرة</v>
          </cell>
        </row>
        <row r="145">
          <cell r="K145">
            <v>390</v>
          </cell>
          <cell r="L145" t="str">
            <v>اسلام حسام مصطفى عبد العال</v>
          </cell>
          <cell r="M145"/>
          <cell r="N145" t="str">
            <v>وكيل تحصيل</v>
          </cell>
          <cell r="O145" t="str">
            <v>شركة تنمية</v>
          </cell>
          <cell r="P145" t="str">
            <v>التحصيل</v>
          </cell>
          <cell r="Q145" t="str">
            <v>القاهرة</v>
          </cell>
        </row>
        <row r="146">
          <cell r="K146">
            <v>391</v>
          </cell>
          <cell r="L146" t="str">
            <v>عبد الرحمن فريد عبد المنعم محمد احمد</v>
          </cell>
          <cell r="M146"/>
          <cell r="N146" t="str">
            <v>وكيل تحصيل</v>
          </cell>
          <cell r="O146" t="str">
            <v>بنك كريدى اجريكول</v>
          </cell>
          <cell r="P146" t="str">
            <v>التحصيل</v>
          </cell>
          <cell r="Q146" t="str">
            <v>القاهرة</v>
          </cell>
        </row>
        <row r="147">
          <cell r="K147">
            <v>403</v>
          </cell>
          <cell r="L147" t="str">
            <v>ملك يسرى عبد الشافى عبدربه محمد هلهل</v>
          </cell>
          <cell r="M147"/>
          <cell r="N147" t="str">
            <v>وكيل تحصيل هاتفى</v>
          </cell>
          <cell r="O147" t="str">
            <v>شركة فاليو</v>
          </cell>
          <cell r="P147" t="str">
            <v>التحصيل</v>
          </cell>
          <cell r="Q147" t="str">
            <v>القاهرة</v>
          </cell>
        </row>
        <row r="148">
          <cell r="K148">
            <v>430</v>
          </cell>
          <cell r="L148" t="str">
            <v>ملك يوسف احمد سيد</v>
          </cell>
          <cell r="M148"/>
          <cell r="N148" t="str">
            <v>وكيل تحصيل هاتفى</v>
          </cell>
          <cell r="O148" t="str">
            <v>شركة راية</v>
          </cell>
          <cell r="P148" t="str">
            <v>التحصيل</v>
          </cell>
          <cell r="Q148" t="str">
            <v>القاهرة</v>
          </cell>
        </row>
        <row r="149">
          <cell r="K149">
            <v>451</v>
          </cell>
          <cell r="L149" t="str">
            <v>ياسمين عبد الحميد البكري عبد الحميد</v>
          </cell>
          <cell r="M149"/>
          <cell r="N149" t="str">
            <v>وكيل تحصيل هاتفى</v>
          </cell>
          <cell r="O149" t="str">
            <v>بنك  الإسكندرية / شركة وسيلة</v>
          </cell>
          <cell r="P149" t="str">
            <v>التحصيل</v>
          </cell>
          <cell r="Q149" t="str">
            <v>القاهرة</v>
          </cell>
        </row>
        <row r="150">
          <cell r="K150">
            <v>455</v>
          </cell>
          <cell r="L150" t="str">
            <v>اشرقت وليد محمد  جودة</v>
          </cell>
          <cell r="M150"/>
          <cell r="N150" t="str">
            <v>وكيل تحصيل هاتفى</v>
          </cell>
          <cell r="O150" t="str">
            <v>شركة تنمية</v>
          </cell>
          <cell r="P150" t="str">
            <v>التحصيل</v>
          </cell>
          <cell r="Q150" t="str">
            <v>القاهرة</v>
          </cell>
        </row>
        <row r="151">
          <cell r="K151">
            <v>457</v>
          </cell>
          <cell r="L151" t="str">
            <v>سعيد عماد محمد عفيفي</v>
          </cell>
          <cell r="M151"/>
          <cell r="N151" t="str">
            <v>وكيل تحصيل</v>
          </cell>
          <cell r="O151" t="str">
            <v>شركة فاليو</v>
          </cell>
          <cell r="P151" t="str">
            <v>التحصيل</v>
          </cell>
          <cell r="Q151" t="str">
            <v>القاهرة</v>
          </cell>
        </row>
        <row r="152">
          <cell r="K152">
            <v>459</v>
          </cell>
          <cell r="L152" t="str">
            <v>ولاء عادل عبده التهامي</v>
          </cell>
          <cell r="M152"/>
          <cell r="N152" t="str">
            <v>خدمات معاونة</v>
          </cell>
          <cell r="O152" t="str">
            <v>الخدمات المعاونة</v>
          </cell>
          <cell r="P152" t="str">
            <v>الادارى</v>
          </cell>
          <cell r="Q152" t="str">
            <v>القاهرة</v>
          </cell>
        </row>
        <row r="153">
          <cell r="K153">
            <v>481</v>
          </cell>
          <cell r="L153" t="str">
            <v>مصطفي عطا فراج إبراهيم</v>
          </cell>
          <cell r="M153"/>
          <cell r="N153" t="str">
            <v>وكيل تحصيل</v>
          </cell>
          <cell r="O153" t="str">
            <v>بنك كريدى اجريكول</v>
          </cell>
          <cell r="P153" t="str">
            <v>التحصيل</v>
          </cell>
          <cell r="Q153" t="str">
            <v>القاهرة</v>
          </cell>
        </row>
        <row r="154">
          <cell r="K154">
            <v>496</v>
          </cell>
          <cell r="L154" t="str">
            <v>نورهان إبراهيم عطيه احمد</v>
          </cell>
          <cell r="M154"/>
          <cell r="N154" t="str">
            <v>وكيل تحصيل هاتفى</v>
          </cell>
          <cell r="O154" t="str">
            <v>شركة سهولة</v>
          </cell>
          <cell r="P154" t="str">
            <v>التحصيل</v>
          </cell>
          <cell r="Q154" t="str">
            <v>القاهرة</v>
          </cell>
        </row>
        <row r="155">
          <cell r="K155">
            <v>505</v>
          </cell>
          <cell r="L155" t="str">
            <v>لميس خالد محمد عبد العزيز</v>
          </cell>
          <cell r="M155"/>
          <cell r="N155" t="str">
            <v>وكيل تحصيل هاتفى</v>
          </cell>
          <cell r="P155" t="str">
            <v>التحصيل</v>
          </cell>
          <cell r="Q155" t="str">
            <v>المنصورة</v>
          </cell>
        </row>
        <row r="156">
          <cell r="K156">
            <v>506</v>
          </cell>
          <cell r="L156" t="str">
            <v xml:space="preserve">نورهان اسامه جمعه علي </v>
          </cell>
          <cell r="M156"/>
          <cell r="N156" t="str">
            <v>وكيل تحصيل هاتفى</v>
          </cell>
          <cell r="O156" t="str">
            <v>بنك كريدى اجريكول</v>
          </cell>
          <cell r="P156" t="str">
            <v>التحصيل</v>
          </cell>
          <cell r="Q156" t="str">
            <v>القاهرة</v>
          </cell>
        </row>
        <row r="157">
          <cell r="K157">
            <v>510</v>
          </cell>
          <cell r="L157" t="str">
            <v>احمد محمد احمد عبد الونيس</v>
          </cell>
          <cell r="M157"/>
          <cell r="N157" t="str">
            <v>وكيل تحصيل</v>
          </cell>
          <cell r="O157" t="str">
            <v>بنك الاسكندرية</v>
          </cell>
          <cell r="P157" t="str">
            <v>التحصيل</v>
          </cell>
          <cell r="Q157" t="str">
            <v>القاهرة</v>
          </cell>
        </row>
        <row r="158">
          <cell r="K158">
            <v>513</v>
          </cell>
          <cell r="L158" t="str">
            <v>مها احمد حسن محمد رزق</v>
          </cell>
          <cell r="M158"/>
          <cell r="N158" t="str">
            <v>وكيل تحصيل هاتفى</v>
          </cell>
          <cell r="O158" t="str">
            <v>بنك الإسكندرية / بنك كريدى اجريكول</v>
          </cell>
          <cell r="P158" t="str">
            <v>التحصيل</v>
          </cell>
          <cell r="Q158" t="str">
            <v>القاهرة</v>
          </cell>
        </row>
        <row r="159">
          <cell r="K159">
            <v>516</v>
          </cell>
          <cell r="L159" t="str">
            <v>حسين شعبان النوبى حسنين</v>
          </cell>
          <cell r="M159"/>
          <cell r="N159" t="str">
            <v>وكيل تحصيل</v>
          </cell>
          <cell r="O159" t="str">
            <v>شركة راية</v>
          </cell>
          <cell r="P159" t="str">
            <v>التحصيل</v>
          </cell>
          <cell r="Q159" t="str">
            <v>القاهرة</v>
          </cell>
        </row>
        <row r="160">
          <cell r="K160">
            <v>521</v>
          </cell>
          <cell r="L160" t="str">
            <v>تغريد احمد سعد محمود رستم</v>
          </cell>
          <cell r="M160"/>
          <cell r="N160" t="str">
            <v xml:space="preserve">وكيل تحصيل هاتفي </v>
          </cell>
          <cell r="P160" t="str">
            <v>التحصيل</v>
          </cell>
          <cell r="Q160" t="str">
            <v>المنصورة</v>
          </cell>
        </row>
        <row r="161">
          <cell r="L161" t="str">
            <v>محمد طلال محمد المعصراوى</v>
          </cell>
          <cell r="M161"/>
          <cell r="N161" t="str">
            <v>وكيل تحصيل</v>
          </cell>
          <cell r="P161" t="str">
            <v>التحصيل</v>
          </cell>
          <cell r="Q161" t="str">
            <v>المنصورة</v>
          </cell>
        </row>
        <row r="162">
          <cell r="K162">
            <v>528</v>
          </cell>
          <cell r="L162" t="str">
            <v>فرح اشرف محمد محمد حسن</v>
          </cell>
          <cell r="M162"/>
          <cell r="N162" t="str">
            <v xml:space="preserve">وكيل تحصيل هاتفي </v>
          </cell>
          <cell r="O162" t="str">
            <v>شركة تنمية</v>
          </cell>
          <cell r="P162" t="str">
            <v>التحصيل</v>
          </cell>
          <cell r="Q162" t="str">
            <v>القاهرة</v>
          </cell>
        </row>
        <row r="163">
          <cell r="K163">
            <v>529</v>
          </cell>
          <cell r="L163" t="str">
            <v xml:space="preserve">احمد سيد محمد ابوالخير سليمان </v>
          </cell>
          <cell r="M163"/>
          <cell r="N163" t="str">
            <v>وكيل تحصيل</v>
          </cell>
          <cell r="O163" t="str">
            <v>بنك الإسكندرية / شركة وسيلة</v>
          </cell>
          <cell r="P163" t="str">
            <v>التحصيل</v>
          </cell>
          <cell r="Q163" t="str">
            <v>القاهرة</v>
          </cell>
        </row>
        <row r="164">
          <cell r="K164">
            <v>531</v>
          </cell>
          <cell r="L164" t="str">
            <v>ياسمين سيد عبدالله إبراهيم حسن نصار</v>
          </cell>
          <cell r="M164"/>
          <cell r="N164" t="str">
            <v xml:space="preserve">وكيل تحصيل هاتفي </v>
          </cell>
          <cell r="O164" t="str">
            <v>شركة تنمية</v>
          </cell>
          <cell r="P164" t="str">
            <v>التحصيل</v>
          </cell>
          <cell r="Q164" t="str">
            <v>القاهرة</v>
          </cell>
        </row>
        <row r="165">
          <cell r="K165">
            <v>532</v>
          </cell>
          <cell r="L165" t="str">
            <v>ندى نبيل محمد عبدالسلام</v>
          </cell>
          <cell r="M165"/>
          <cell r="N165" t="str">
            <v xml:space="preserve">وكيل تحصيل هاتفي </v>
          </cell>
          <cell r="P165" t="str">
            <v>التحصيل</v>
          </cell>
          <cell r="Q165" t="str">
            <v>المنصورة</v>
          </cell>
        </row>
        <row r="166">
          <cell r="K166">
            <v>533</v>
          </cell>
          <cell r="L166" t="str">
            <v>امل زيدان فرج خيرى</v>
          </cell>
          <cell r="M166"/>
          <cell r="N166" t="str">
            <v xml:space="preserve">وكيل تحصيل هاتفي </v>
          </cell>
          <cell r="P166" t="str">
            <v>التحصيل</v>
          </cell>
          <cell r="Q166" t="str">
            <v>المنصورة</v>
          </cell>
        </row>
        <row r="167">
          <cell r="K167">
            <v>535</v>
          </cell>
          <cell r="L167" t="str">
            <v>جورج صبحي جورجي ذكي سعد</v>
          </cell>
          <cell r="M167"/>
          <cell r="N167" t="str">
            <v>وكيل تحصيل</v>
          </cell>
          <cell r="O167" t="str">
            <v>شركة تنمية</v>
          </cell>
          <cell r="P167" t="str">
            <v>التحصيل</v>
          </cell>
          <cell r="Q167" t="str">
            <v>القاهرة</v>
          </cell>
        </row>
        <row r="168">
          <cell r="K168">
            <v>538</v>
          </cell>
          <cell r="L168" t="str">
            <v>بسمه عبدالمنعم إبراهيم السيد</v>
          </cell>
          <cell r="M168"/>
          <cell r="N168" t="str">
            <v xml:space="preserve">وكيل تحصيل هاتفي </v>
          </cell>
          <cell r="O168" t="str">
            <v>شركة تنمية</v>
          </cell>
          <cell r="P168" t="str">
            <v>التحصيل</v>
          </cell>
          <cell r="Q168" t="str">
            <v>القاهرة</v>
          </cell>
        </row>
        <row r="169">
          <cell r="K169">
            <v>281</v>
          </cell>
          <cell r="L169" t="str">
            <v>احمد عاطف محمد محمود</v>
          </cell>
          <cell r="N169" t="str">
            <v xml:space="preserve">وكيل تحصيل </v>
          </cell>
          <cell r="O169" t="str">
            <v>سهولة</v>
          </cell>
          <cell r="P169" t="str">
            <v>التحصيل</v>
          </cell>
          <cell r="Q169" t="str">
            <v>القاهرة</v>
          </cell>
        </row>
        <row r="170">
          <cell r="K170">
            <v>266</v>
          </cell>
          <cell r="L170" t="str">
            <v>عبد الرحمن خالد عبد الفتاح محمد الرياش</v>
          </cell>
          <cell r="N170" t="str">
            <v xml:space="preserve">وكيل تحصيل </v>
          </cell>
          <cell r="O170" t="str">
            <v>فاليو</v>
          </cell>
          <cell r="P170" t="str">
            <v>التحصيل</v>
          </cell>
          <cell r="Q170" t="str">
            <v>القاهرة</v>
          </cell>
        </row>
        <row r="171">
          <cell r="K171">
            <v>339</v>
          </cell>
          <cell r="L171" t="str">
            <v>كريم مجدى ربيع</v>
          </cell>
          <cell r="N171" t="str">
            <v>كبير مشرفى تحصيل</v>
          </cell>
          <cell r="O171" t="str">
            <v>كريدى اجريكول</v>
          </cell>
          <cell r="P171" t="str">
            <v>التحصيل</v>
          </cell>
          <cell r="Q171" t="str">
            <v>القاهرة</v>
          </cell>
        </row>
        <row r="172">
          <cell r="K172">
            <v>3</v>
          </cell>
          <cell r="L172" t="str">
            <v>عبد الرحمن منصور حسن أبو المجد</v>
          </cell>
          <cell r="N172" t="str">
            <v>متعدد</v>
          </cell>
          <cell r="O172" t="str">
            <v>وكيل تحصيل</v>
          </cell>
          <cell r="P172" t="str">
            <v>التحصيل</v>
          </cell>
          <cell r="Q172" t="str">
            <v>الصعيد</v>
          </cell>
        </row>
        <row r="173">
          <cell r="K173">
            <v>128</v>
          </cell>
          <cell r="L173" t="str">
            <v xml:space="preserve">محمد احمد مرسى خليل </v>
          </cell>
          <cell r="N173" t="str">
            <v>متعدد</v>
          </cell>
          <cell r="P173" t="str">
            <v>التحصيل</v>
          </cell>
          <cell r="Q173" t="str">
            <v>المنصورة</v>
          </cell>
        </row>
        <row r="174">
          <cell r="K174">
            <v>141</v>
          </cell>
          <cell r="L174" t="str">
            <v>محمد جمال شحاتة محمد سالم</v>
          </cell>
          <cell r="N174" t="str">
            <v>متعدد</v>
          </cell>
          <cell r="O174" t="str">
            <v>وكيل تحصيل</v>
          </cell>
          <cell r="P174" t="str">
            <v>التحصيل</v>
          </cell>
          <cell r="Q174" t="str">
            <v>المنصورة</v>
          </cell>
        </row>
        <row r="175">
          <cell r="K175">
            <v>542</v>
          </cell>
          <cell r="L175" t="str">
            <v xml:space="preserve">ضحى توفيق فؤاد توفيق </v>
          </cell>
          <cell r="N175" t="str">
            <v>بنك كريدى اجريكول</v>
          </cell>
          <cell r="O175" t="str">
            <v>وكيل تحصيل هاتفى</v>
          </cell>
          <cell r="P175" t="str">
            <v>التحصيل</v>
          </cell>
          <cell r="Q175" t="str">
            <v>القاهرة</v>
          </cell>
        </row>
        <row r="176">
          <cell r="K176">
            <v>543</v>
          </cell>
          <cell r="L176" t="str">
            <v xml:space="preserve">مياده صلاح خالد عبدالعليم </v>
          </cell>
          <cell r="N176" t="str">
            <v>الخدمات المعاونة</v>
          </cell>
          <cell r="O176" t="str">
            <v>خدمات معاونة</v>
          </cell>
          <cell r="P176" t="str">
            <v>الادارى</v>
          </cell>
          <cell r="Q176" t="str">
            <v>القاهرة</v>
          </cell>
        </row>
        <row r="177">
          <cell r="K177">
            <v>544</v>
          </cell>
          <cell r="L177" t="str">
            <v>احمد منصور سليم منصور سليم</v>
          </cell>
          <cell r="N177" t="str">
            <v>الشئون القانونية</v>
          </cell>
          <cell r="O177" t="str">
            <v>محامى</v>
          </cell>
          <cell r="P177" t="str">
            <v>الادارى</v>
          </cell>
          <cell r="Q177" t="str">
            <v>القاهرة</v>
          </cell>
        </row>
        <row r="178">
          <cell r="K178">
            <v>545</v>
          </cell>
          <cell r="L178" t="str">
            <v>محمد الظافر محمد رفعت احمد إبراهيم</v>
          </cell>
          <cell r="N178" t="str">
            <v>الشئون القانونية</v>
          </cell>
          <cell r="O178" t="str">
            <v>محامى</v>
          </cell>
          <cell r="P178" t="str">
            <v>الادارى</v>
          </cell>
          <cell r="Q178" t="str">
            <v>القاهرة</v>
          </cell>
        </row>
        <row r="179">
          <cell r="K179">
            <v>546</v>
          </cell>
          <cell r="L179" t="str">
            <v>احمد عادل محمد احمد</v>
          </cell>
          <cell r="N179" t="str">
            <v>الشئون القانونية</v>
          </cell>
          <cell r="O179" t="str">
            <v>محامى</v>
          </cell>
          <cell r="P179" t="str">
            <v>الادارى</v>
          </cell>
          <cell r="Q179" t="str">
            <v>القاهرة</v>
          </cell>
        </row>
        <row r="180">
          <cell r="K180">
            <v>548</v>
          </cell>
          <cell r="L180" t="str">
            <v>احمد حسين رمضان محمد ربيع</v>
          </cell>
          <cell r="N180" t="str">
            <v>بنك كريدى اجريكول</v>
          </cell>
          <cell r="O180" t="str">
            <v>وكيل تحصيل</v>
          </cell>
          <cell r="P180" t="str">
            <v>التحصيل</v>
          </cell>
          <cell r="Q180" t="str">
            <v>القاهرة</v>
          </cell>
        </row>
        <row r="181">
          <cell r="K181">
            <v>549</v>
          </cell>
          <cell r="L181" t="str">
            <v>مازن احمد عبدالحليم عبدالحميد المرسى</v>
          </cell>
          <cell r="N181" t="str">
            <v>متعدد</v>
          </cell>
          <cell r="O181" t="str">
            <v>وكيل تحصيل</v>
          </cell>
          <cell r="P181" t="str">
            <v>التحصيل</v>
          </cell>
          <cell r="Q181" t="str">
            <v>المنصورة</v>
          </cell>
        </row>
        <row r="182">
          <cell r="K182">
            <v>550</v>
          </cell>
          <cell r="L182" t="str">
            <v>اريج خالد العوضى الدسوقى السايح</v>
          </cell>
          <cell r="N182" t="str">
            <v>شركة سهولة</v>
          </cell>
          <cell r="O182" t="str">
            <v>وكيل تحصيل هاتفى</v>
          </cell>
          <cell r="P182" t="str">
            <v>التحصيل</v>
          </cell>
          <cell r="Q182" t="str">
            <v>المنصورة</v>
          </cell>
        </row>
        <row r="183">
          <cell r="K183">
            <v>551</v>
          </cell>
          <cell r="L183" t="str">
            <v xml:space="preserve">عاطف السيد شحاته السيد الشربينى </v>
          </cell>
          <cell r="N183" t="str">
            <v>بنك الإسكندرية</v>
          </cell>
          <cell r="O183" t="str">
            <v>وكيل تحصيل</v>
          </cell>
          <cell r="P183" t="str">
            <v>التحصيل</v>
          </cell>
          <cell r="Q183" t="str">
            <v>المنصورة</v>
          </cell>
        </row>
        <row r="184">
          <cell r="K184">
            <v>552</v>
          </cell>
          <cell r="L184" t="str">
            <v>صفيناز عبدالقادر علام عبدالقادر</v>
          </cell>
          <cell r="N184" t="str">
            <v>متعدد</v>
          </cell>
          <cell r="O184" t="str">
            <v>وكيل تحصيل هاتفى</v>
          </cell>
          <cell r="P184" t="str">
            <v>التحصيل</v>
          </cell>
          <cell r="Q184" t="str">
            <v>المنصورة</v>
          </cell>
        </row>
        <row r="185">
          <cell r="K185">
            <v>553</v>
          </cell>
          <cell r="L185" t="str">
            <v xml:space="preserve">محمد احمد احمد محمد نصار </v>
          </cell>
          <cell r="N185" t="str">
            <v>بنك الإسكندرية</v>
          </cell>
          <cell r="O185" t="str">
            <v>وكيل تحصيل</v>
          </cell>
          <cell r="P185" t="str">
            <v>التحصيل</v>
          </cell>
          <cell r="Q185" t="str">
            <v>القاهرة</v>
          </cell>
        </row>
        <row r="186">
          <cell r="K186">
            <v>554</v>
          </cell>
          <cell r="L186" t="str">
            <v>نيره عادل محمد حسين حجازى</v>
          </cell>
          <cell r="N186" t="str">
            <v>شركة تنمية</v>
          </cell>
          <cell r="O186" t="str">
            <v>وكيل تحصيل هاتفى</v>
          </cell>
          <cell r="P186" t="str">
            <v>التحصيل</v>
          </cell>
          <cell r="Q186" t="str">
            <v>المنصورة</v>
          </cell>
        </row>
        <row r="187">
          <cell r="K187">
            <v>555</v>
          </cell>
          <cell r="L187" t="str">
            <v>اكرم امين على الوصال</v>
          </cell>
          <cell r="N187" t="str">
            <v>بنك كريدى اجريكول</v>
          </cell>
          <cell r="O187" t="str">
            <v>وكيل تحصيل</v>
          </cell>
          <cell r="P187" t="str">
            <v>التحصيل</v>
          </cell>
          <cell r="Q187" t="str">
            <v>القاهرة</v>
          </cell>
        </row>
        <row r="188">
          <cell r="K188">
            <v>556</v>
          </cell>
          <cell r="L188" t="str">
            <v>روان محمود محمد إبراهيم يوسف</v>
          </cell>
          <cell r="N188" t="str">
            <v>شركة راية</v>
          </cell>
          <cell r="O188" t="str">
            <v>وكيل تحصيل هاتفى</v>
          </cell>
          <cell r="P188" t="str">
            <v>التحصيل</v>
          </cell>
          <cell r="Q188" t="str">
            <v>القاهرة</v>
          </cell>
        </row>
        <row r="189">
          <cell r="K189">
            <v>557</v>
          </cell>
          <cell r="L189" t="str">
            <v>روان عماد الدين امين عبدالعزيز</v>
          </cell>
          <cell r="N189" t="str">
            <v>بنك الإسكندرية</v>
          </cell>
          <cell r="O189" t="str">
            <v>وكيل تحصيل هاتفى</v>
          </cell>
          <cell r="P189" t="str">
            <v>التحصيل</v>
          </cell>
          <cell r="Q189" t="str">
            <v>القاهرة</v>
          </cell>
        </row>
        <row r="190">
          <cell r="K190">
            <v>558</v>
          </cell>
          <cell r="L190" t="str">
            <v xml:space="preserve">ايه محمد الفلاح عبدالقادر </v>
          </cell>
          <cell r="N190" t="str">
            <v>شركة فاليو</v>
          </cell>
          <cell r="O190" t="str">
            <v>مشرف تحصيل</v>
          </cell>
          <cell r="P190" t="str">
            <v>التحصيل</v>
          </cell>
          <cell r="Q190" t="str">
            <v>القاهرة</v>
          </cell>
        </row>
        <row r="191">
          <cell r="K191">
            <v>559</v>
          </cell>
          <cell r="L191" t="str">
            <v>كريمه خليل محمد خليل</v>
          </cell>
          <cell r="N191">
            <v>0</v>
          </cell>
          <cell r="O191" t="str">
            <v>وكيل تحصيل هاتفى</v>
          </cell>
          <cell r="P191" t="str">
            <v>التحصيل</v>
          </cell>
          <cell r="Q191" t="str">
            <v>المنصورة</v>
          </cell>
        </row>
        <row r="192">
          <cell r="K192">
            <v>560</v>
          </cell>
          <cell r="L192" t="str">
            <v>محمد عبدالكريم عكاشه عكاشه يوسف</v>
          </cell>
          <cell r="N192">
            <v>0</v>
          </cell>
          <cell r="O192" t="str">
            <v>it specialist</v>
          </cell>
          <cell r="P192" t="str">
            <v>الادارى</v>
          </cell>
          <cell r="Q192" t="str">
            <v>القاهرة</v>
          </cell>
        </row>
        <row r="193">
          <cell r="K193">
            <v>561</v>
          </cell>
          <cell r="L193" t="str">
            <v>عمار ياسر عبدالمنعم طلبه</v>
          </cell>
          <cell r="N193" t="str">
            <v>شركة سهولة</v>
          </cell>
          <cell r="O193" t="str">
            <v>وكيل تحصيل</v>
          </cell>
          <cell r="P193" t="str">
            <v>التحصيل</v>
          </cell>
          <cell r="Q193" t="str">
            <v>القاهرة</v>
          </cell>
        </row>
        <row r="194">
          <cell r="K194">
            <v>562</v>
          </cell>
          <cell r="L194" t="str">
            <v>عبدالله جابر عبدالمجيد محمد الاكراشى</v>
          </cell>
          <cell r="O194" t="str">
            <v>وكيل تحصيل</v>
          </cell>
          <cell r="P194" t="str">
            <v>التحصيل</v>
          </cell>
          <cell r="Q194" t="str">
            <v>المنصورة</v>
          </cell>
        </row>
        <row r="195">
          <cell r="K195">
            <v>574</v>
          </cell>
          <cell r="L195" t="str">
            <v>عادل الادهم امين احمد</v>
          </cell>
          <cell r="N195" t="str">
            <v>بنك كريدى اجريكول</v>
          </cell>
          <cell r="O195" t="str">
            <v>مشرف تحصيل</v>
          </cell>
          <cell r="P195" t="str">
            <v>التحصيل</v>
          </cell>
          <cell r="Q195" t="str">
            <v>القاهرة</v>
          </cell>
        </row>
        <row r="196">
          <cell r="K196">
            <v>573</v>
          </cell>
          <cell r="L196" t="str">
            <v xml:space="preserve">كريم البكرى محمدى بكرى سويلم </v>
          </cell>
          <cell r="N196" t="str">
            <v>بنك كريدى اجريكول</v>
          </cell>
          <cell r="O196" t="str">
            <v>وكيل تحصيل</v>
          </cell>
          <cell r="P196" t="str">
            <v>التحصيل</v>
          </cell>
          <cell r="Q196" t="str">
            <v>القاهرة</v>
          </cell>
        </row>
        <row r="197">
          <cell r="K197">
            <v>577</v>
          </cell>
          <cell r="L197" t="str">
            <v>عزيزه عبدالكريم حسين غنيم</v>
          </cell>
          <cell r="N197" t="str">
            <v>الشئون القانونية</v>
          </cell>
          <cell r="O197" t="str">
            <v>محامى</v>
          </cell>
          <cell r="P197" t="str">
            <v>الادارى</v>
          </cell>
          <cell r="Q197" t="str">
            <v>القاهرة</v>
          </cell>
        </row>
        <row r="198">
          <cell r="K198">
            <v>570</v>
          </cell>
          <cell r="L198" t="str">
            <v xml:space="preserve">مصطفى محمد عبدالرازق احمد </v>
          </cell>
          <cell r="N198" t="str">
            <v>بنك كريدى اجريكول</v>
          </cell>
          <cell r="O198" t="str">
            <v>وكيل تحصيل</v>
          </cell>
          <cell r="P198" t="str">
            <v>التحصيل</v>
          </cell>
          <cell r="Q198" t="str">
            <v>القاهرة</v>
          </cell>
        </row>
        <row r="199">
          <cell r="K199">
            <v>582</v>
          </cell>
          <cell r="L199" t="str">
            <v xml:space="preserve">عبدالرحمن سيد عبد الفتاح أبو الفتوح </v>
          </cell>
          <cell r="N199" t="str">
            <v>الشئون القانونية</v>
          </cell>
          <cell r="O199" t="str">
            <v>محامى</v>
          </cell>
          <cell r="P199" t="str">
            <v>الادارى</v>
          </cell>
          <cell r="Q199" t="str">
            <v>القاهرة</v>
          </cell>
        </row>
        <row r="200">
          <cell r="K200">
            <v>598</v>
          </cell>
          <cell r="L200" t="str">
            <v>على مصطفى كامل حسين</v>
          </cell>
          <cell r="N200" t="str">
            <v>بنك الإسكندرية</v>
          </cell>
          <cell r="O200" t="str">
            <v>وكيل تحصيل</v>
          </cell>
          <cell r="P200" t="str">
            <v>التحصيل</v>
          </cell>
          <cell r="Q200" t="str">
            <v>القاهرة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خزينة المقر الجديد"/>
      <sheetName val="قاعدة بيانات  "/>
      <sheetName val="تحليلات 2024"/>
      <sheetName val="Report "/>
      <sheetName val="الايرادات "/>
      <sheetName val="الخزينه "/>
      <sheetName val="خزينه السلف "/>
      <sheetName val="العهد "/>
      <sheetName val="شيكات  "/>
      <sheetName val="بنك مصر  "/>
      <sheetName val="بنك كريدي "/>
      <sheetName val="الاهلى الكويتى"/>
      <sheetName val="ايجي بنك"/>
      <sheetName val="بنك مصر  المنصورة"/>
      <sheetName val="فوري "/>
      <sheetName val="اجمالى راس المال"/>
    </sheetNames>
    <sheetDataSet>
      <sheetData sheetId="0" refreshError="1"/>
      <sheetData sheetId="1">
        <row r="3">
          <cell r="K3">
            <v>88888888</v>
          </cell>
          <cell r="L3" t="str">
            <v>زينب عبد الكريم عبد العليم الحفناوى</v>
          </cell>
          <cell r="M3">
            <v>2908180100628</v>
          </cell>
          <cell r="N3" t="str">
            <v>وكيل تحصيل هاتفى</v>
          </cell>
        </row>
        <row r="4">
          <cell r="K4">
            <v>8</v>
          </cell>
          <cell r="L4" t="str">
            <v>امل صبرى</v>
          </cell>
          <cell r="M4">
            <v>2908180100628</v>
          </cell>
          <cell r="N4" t="str">
            <v>وكيل تحصيل هاتفى</v>
          </cell>
        </row>
        <row r="5">
          <cell r="K5">
            <v>1</v>
          </cell>
          <cell r="L5" t="str">
            <v>احمد شريف سليمان امين سليمان</v>
          </cell>
          <cell r="M5">
            <v>29903040101135</v>
          </cell>
          <cell r="N5" t="str">
            <v>نائب كبير مشرفى تحصيل</v>
          </cell>
        </row>
        <row r="6">
          <cell r="K6">
            <v>2</v>
          </cell>
          <cell r="L6" t="str">
            <v>علاء محمد عوض جاد الله</v>
          </cell>
          <cell r="M6">
            <v>28602012105474</v>
          </cell>
          <cell r="N6" t="str">
            <v>مدير  تحصيل</v>
          </cell>
        </row>
        <row r="7">
          <cell r="K7">
            <v>4</v>
          </cell>
          <cell r="L7" t="str">
            <v>وليد عبد الكريم عبد العليم</v>
          </cell>
          <cell r="M7">
            <v>28808250100593</v>
          </cell>
          <cell r="N7" t="str">
            <v>مدير  تحصيل</v>
          </cell>
        </row>
        <row r="8">
          <cell r="K8">
            <v>5</v>
          </cell>
          <cell r="L8" t="str">
            <v>باسم صلاح عبد الله قوشتى</v>
          </cell>
          <cell r="M8">
            <v>28303120101712</v>
          </cell>
          <cell r="N8" t="str">
            <v>المستشار القانوني</v>
          </cell>
        </row>
        <row r="9">
          <cell r="K9">
            <v>9</v>
          </cell>
          <cell r="L9" t="str">
            <v>عمرو عصام بدر الدين زكي</v>
          </cell>
          <cell r="M9">
            <v>29808080106196</v>
          </cell>
          <cell r="N9" t="str">
            <v>نائب مدير الإدارة القانونية</v>
          </cell>
        </row>
        <row r="10">
          <cell r="K10">
            <v>10</v>
          </cell>
          <cell r="L10" t="str">
            <v>عبد المنعم مجدى عبدربه محمد هلهل</v>
          </cell>
          <cell r="M10">
            <v>28609291403433</v>
          </cell>
          <cell r="N10" t="str">
            <v>المدير العام</v>
          </cell>
        </row>
        <row r="11">
          <cell r="K11">
            <v>19</v>
          </cell>
          <cell r="L11" t="str">
            <v>سحر اوسامة احمد محمد</v>
          </cell>
          <cell r="M11">
            <v>29611110104501</v>
          </cell>
          <cell r="N11" t="str">
            <v>مشرف تحصيل</v>
          </cell>
        </row>
        <row r="12">
          <cell r="K12">
            <v>20</v>
          </cell>
          <cell r="L12" t="str">
            <v>عبد العزيز صلاح عبد العزيز على حسن</v>
          </cell>
          <cell r="M12">
            <v>29703150100399</v>
          </cell>
          <cell r="N12" t="str">
            <v>مشرف قضائى</v>
          </cell>
        </row>
        <row r="13">
          <cell r="K13">
            <v>25</v>
          </cell>
          <cell r="L13" t="str">
            <v>منى احمد طه احمد سعد</v>
          </cell>
          <cell r="M13">
            <v>27312250101345</v>
          </cell>
          <cell r="N13" t="str">
            <v>خدمات معاونة</v>
          </cell>
        </row>
        <row r="14">
          <cell r="K14">
            <v>31</v>
          </cell>
          <cell r="L14" t="str">
            <v>محمود النادى أبو الحسن احمد</v>
          </cell>
          <cell r="M14">
            <v>28504108800236</v>
          </cell>
          <cell r="N14" t="str">
            <v>كبير مشرفى تحصيل</v>
          </cell>
        </row>
        <row r="15">
          <cell r="K15">
            <v>35</v>
          </cell>
          <cell r="L15" t="str">
            <v>رحمة مصطفى خلف الله حسانين</v>
          </cell>
          <cell r="M15">
            <v>30111210101161</v>
          </cell>
          <cell r="N15" t="str">
            <v>منسق بيانات</v>
          </cell>
        </row>
        <row r="16">
          <cell r="K16">
            <v>45</v>
          </cell>
          <cell r="L16" t="str">
            <v>محمد مجدى ربيع عبد الغنى جاد</v>
          </cell>
          <cell r="M16">
            <v>28409261402239</v>
          </cell>
          <cell r="N16" t="str">
            <v>مشرف تحصيل</v>
          </cell>
        </row>
        <row r="17">
          <cell r="K17">
            <v>54</v>
          </cell>
          <cell r="L17" t="str">
            <v>رحاب عبد الهادى احمد بدوى</v>
          </cell>
          <cell r="M17">
            <v>28706021401264</v>
          </cell>
          <cell r="N17" t="str">
            <v>مشرف تحصيل</v>
          </cell>
        </row>
        <row r="18">
          <cell r="K18">
            <v>60</v>
          </cell>
          <cell r="L18" t="str">
            <v>مروة مصطفى على جاد</v>
          </cell>
          <cell r="M18">
            <v>29912120104665</v>
          </cell>
          <cell r="N18" t="str">
            <v>مشرف تحصيل</v>
          </cell>
        </row>
        <row r="19">
          <cell r="K19">
            <v>277</v>
          </cell>
          <cell r="L19" t="str">
            <v>ماجد الالفي</v>
          </cell>
          <cell r="N19" t="str">
            <v>محامي</v>
          </cell>
        </row>
        <row r="22">
          <cell r="K22">
            <v>62</v>
          </cell>
          <cell r="L22" t="str">
            <v>محمد مجدى السيد عبد الدايم</v>
          </cell>
          <cell r="M22">
            <v>29710280100451</v>
          </cell>
          <cell r="N22" t="str">
            <v>مشرف قضائى</v>
          </cell>
        </row>
        <row r="23">
          <cell r="K23">
            <v>64</v>
          </cell>
          <cell r="L23" t="str">
            <v>تريز سامى رزق شحاته</v>
          </cell>
          <cell r="M23">
            <v>28712200101702</v>
          </cell>
          <cell r="N23" t="str">
            <v>مدير موارد بشرية</v>
          </cell>
        </row>
        <row r="24">
          <cell r="K24">
            <v>71</v>
          </cell>
          <cell r="L24" t="str">
            <v>ندى محمد سعد محمد</v>
          </cell>
          <cell r="M24">
            <v>30110042101308</v>
          </cell>
          <cell r="N24" t="str">
            <v>وكيل تحصيل هاتفى</v>
          </cell>
        </row>
        <row r="25">
          <cell r="K25">
            <v>83</v>
          </cell>
          <cell r="L25" t="str">
            <v>حبيبه احمد سلطان منصور عويس</v>
          </cell>
          <cell r="M25">
            <v>30312060105762</v>
          </cell>
          <cell r="N25" t="str">
            <v>مشرف تحصيل</v>
          </cell>
        </row>
        <row r="26">
          <cell r="K26">
            <v>97</v>
          </cell>
          <cell r="L26" t="str">
            <v>ندى محمد محمود عبد المقصود</v>
          </cell>
          <cell r="M26">
            <v>30106051400523</v>
          </cell>
          <cell r="N26" t="str">
            <v>وكيل تحصيل هاتفى</v>
          </cell>
        </row>
        <row r="27">
          <cell r="K27">
            <v>119</v>
          </cell>
          <cell r="L27" t="str">
            <v>مصطفى جميل عبد الفتاح محمد شاهين</v>
          </cell>
          <cell r="M27">
            <v>30302090103319</v>
          </cell>
          <cell r="N27" t="str">
            <v>وكيل تحصيل</v>
          </cell>
        </row>
        <row r="28">
          <cell r="K28">
            <v>125</v>
          </cell>
          <cell r="L28" t="str">
            <v>زينب محمود محمد محمود صالح</v>
          </cell>
          <cell r="M28">
            <v>30108160102829</v>
          </cell>
          <cell r="N28" t="str">
            <v>وكيل تحصيل هاتفى</v>
          </cell>
        </row>
        <row r="29">
          <cell r="K29">
            <v>126</v>
          </cell>
          <cell r="L29" t="str">
            <v>حبيبة عادل بدرالدين احمد</v>
          </cell>
          <cell r="M29">
            <v>30107110104522</v>
          </cell>
          <cell r="N29" t="str">
            <v>وكيل تحصيل هاتفى</v>
          </cell>
        </row>
        <row r="30">
          <cell r="K30">
            <v>127</v>
          </cell>
          <cell r="L30" t="str">
            <v>احمد عوض عباس عوض كشك</v>
          </cell>
          <cell r="M30">
            <v>29103071200577</v>
          </cell>
          <cell r="N30" t="str">
            <v>نائب كبير مشرفى تحصيل</v>
          </cell>
        </row>
        <row r="31">
          <cell r="K31">
            <v>129</v>
          </cell>
          <cell r="L31" t="str">
            <v>نانسى يوسف عزيز يوسف</v>
          </cell>
          <cell r="M31">
            <v>28908081201843</v>
          </cell>
          <cell r="N31" t="str">
            <v>نائب مدير الإدارة القانونية</v>
          </cell>
        </row>
        <row r="32">
          <cell r="K32">
            <v>130</v>
          </cell>
          <cell r="L32" t="str">
            <v>عبد الرحمن عوض عباس عوض كشك</v>
          </cell>
          <cell r="M32">
            <v>29909131202315</v>
          </cell>
          <cell r="N32" t="str">
            <v>مشرف تحصيل</v>
          </cell>
        </row>
        <row r="33">
          <cell r="K33">
            <v>131</v>
          </cell>
          <cell r="L33" t="str">
            <v>امانى طارق إبراهيم عبد الحميد</v>
          </cell>
          <cell r="M33">
            <v>29501011262064</v>
          </cell>
          <cell r="N33" t="str">
            <v>منسق بيانات</v>
          </cell>
        </row>
        <row r="34">
          <cell r="K34">
            <v>133</v>
          </cell>
          <cell r="L34" t="str">
            <v>نادين عماد منصور محمد</v>
          </cell>
          <cell r="M34">
            <v>30106141202127</v>
          </cell>
          <cell r="N34" t="str">
            <v>رئيس فريق عمل</v>
          </cell>
        </row>
        <row r="35">
          <cell r="K35">
            <v>136</v>
          </cell>
          <cell r="L35" t="str">
            <v>بهاء محمد السيد صالح أبو حسين</v>
          </cell>
          <cell r="M35">
            <v>28403211200572</v>
          </cell>
          <cell r="N35" t="str">
            <v>رئيس فريق عمل</v>
          </cell>
        </row>
        <row r="36">
          <cell r="K36">
            <v>137</v>
          </cell>
          <cell r="L36" t="str">
            <v>محمد وفيق إبراهيم عبد المعطى</v>
          </cell>
          <cell r="M36">
            <v>28605211200574</v>
          </cell>
          <cell r="N36" t="str">
            <v>مشرف تحصيل</v>
          </cell>
        </row>
        <row r="37">
          <cell r="K37">
            <v>148</v>
          </cell>
          <cell r="L37" t="str">
            <v>امال كمال عبد الله عبد الحليم</v>
          </cell>
          <cell r="M37">
            <v>29805050105684</v>
          </cell>
          <cell r="N37" t="str">
            <v>منسق بيانات</v>
          </cell>
        </row>
        <row r="38">
          <cell r="K38">
            <v>150</v>
          </cell>
          <cell r="L38" t="str">
            <v>هدى حسن السيد على الضوى</v>
          </cell>
          <cell r="M38">
            <v>30006102101386</v>
          </cell>
          <cell r="N38" t="str">
            <v>منسق بيانات</v>
          </cell>
        </row>
        <row r="39">
          <cell r="K39">
            <v>151</v>
          </cell>
          <cell r="L39" t="str">
            <v xml:space="preserve">احمد عبد الباسط عبد السلام محمد </v>
          </cell>
          <cell r="M39">
            <v>29805101502713</v>
          </cell>
          <cell r="N39" t="str">
            <v>محاسب</v>
          </cell>
        </row>
        <row r="40">
          <cell r="K40">
            <v>177</v>
          </cell>
          <cell r="L40" t="str">
            <v>أسماء إبراهيم السيد عبد الله</v>
          </cell>
          <cell r="M40">
            <v>30001011278168</v>
          </cell>
          <cell r="N40" t="str">
            <v>وكيل تحصيل هاتفى</v>
          </cell>
        </row>
        <row r="41">
          <cell r="K41">
            <v>197</v>
          </cell>
          <cell r="L41" t="str">
            <v xml:space="preserve">احمد مجدى بكر على </v>
          </cell>
          <cell r="M41">
            <v>29503120100816</v>
          </cell>
          <cell r="N41" t="str">
            <v>وكيل تحصيل</v>
          </cell>
        </row>
        <row r="42">
          <cell r="K42">
            <v>209</v>
          </cell>
          <cell r="L42" t="str">
            <v>ريم رضا سيد احمد إبراهيم المطراوى</v>
          </cell>
          <cell r="M42">
            <v>29806231401346</v>
          </cell>
          <cell r="N42" t="str">
            <v>منسق بيانات</v>
          </cell>
        </row>
        <row r="43">
          <cell r="K43">
            <v>215</v>
          </cell>
          <cell r="L43" t="str">
            <v>روان عادل محمد عبد الكريم</v>
          </cell>
          <cell r="M43">
            <v>30503030106403</v>
          </cell>
          <cell r="N43" t="str">
            <v>وكيل تحصيل هاتفى</v>
          </cell>
        </row>
        <row r="44">
          <cell r="K44">
            <v>221</v>
          </cell>
          <cell r="L44" t="str">
            <v>عمرو صابر إبراهيم سيد محمد</v>
          </cell>
          <cell r="M44">
            <v>29707060104137</v>
          </cell>
          <cell r="N44" t="str">
            <v>وكيل تحصيل</v>
          </cell>
        </row>
        <row r="45">
          <cell r="K45">
            <v>222</v>
          </cell>
          <cell r="L45" t="str">
            <v>مريم محمد على سيد خطاب</v>
          </cell>
          <cell r="M45">
            <v>30403051401184</v>
          </cell>
          <cell r="N45" t="str">
            <v>مشرف تحصيل</v>
          </cell>
        </row>
        <row r="46">
          <cell r="K46">
            <v>223</v>
          </cell>
          <cell r="L46" t="str">
            <v>هبة خلف محمد احمد</v>
          </cell>
          <cell r="M46">
            <v>28107120200563</v>
          </cell>
          <cell r="N46" t="str">
            <v>وكيل تحصيل هاتفى</v>
          </cell>
        </row>
        <row r="47">
          <cell r="K47">
            <v>238</v>
          </cell>
          <cell r="L47" t="str">
            <v xml:space="preserve">اشرف محمد محروس محمود </v>
          </cell>
          <cell r="M47">
            <v>30412130100296</v>
          </cell>
          <cell r="N47" t="str">
            <v xml:space="preserve">وكيل تحصيل </v>
          </cell>
        </row>
        <row r="48">
          <cell r="K48">
            <v>239</v>
          </cell>
          <cell r="L48" t="str">
            <v xml:space="preserve">يوسف كامل  عبد الله صبحى غنيم </v>
          </cell>
          <cell r="M48">
            <v>30405030105677</v>
          </cell>
          <cell r="N48" t="str">
            <v xml:space="preserve">وكيل تحصيل </v>
          </cell>
        </row>
        <row r="49">
          <cell r="K49">
            <v>258</v>
          </cell>
          <cell r="L49" t="str">
            <v xml:space="preserve">منار  سيد عثمان احمد </v>
          </cell>
          <cell r="M49">
            <v>30005070100726</v>
          </cell>
          <cell r="N49" t="str">
            <v>مشرف تحصيل</v>
          </cell>
        </row>
        <row r="50">
          <cell r="K50">
            <v>262</v>
          </cell>
          <cell r="L50" t="str">
            <v xml:space="preserve">يارا رمضان يوسف عبده </v>
          </cell>
          <cell r="M50">
            <v>30401011401723</v>
          </cell>
          <cell r="N50" t="str">
            <v>وكيل تحصيل هاتفى</v>
          </cell>
        </row>
        <row r="51">
          <cell r="K51">
            <v>269</v>
          </cell>
          <cell r="L51" t="str">
            <v xml:space="preserve">هاجر شريف محمد عبد الرؤف </v>
          </cell>
          <cell r="M51">
            <v>30103260102301</v>
          </cell>
          <cell r="N51" t="str">
            <v xml:space="preserve">وكيل تحصيل هاتفي </v>
          </cell>
        </row>
        <row r="52">
          <cell r="K52">
            <v>273</v>
          </cell>
          <cell r="L52" t="str">
            <v xml:space="preserve">ملك رمضان يوسف عبده </v>
          </cell>
          <cell r="M52">
            <v>30602171401202</v>
          </cell>
          <cell r="N52" t="str">
            <v>وكيل تحصيل هاتفى</v>
          </cell>
        </row>
        <row r="53">
          <cell r="K53">
            <v>278</v>
          </cell>
          <cell r="L53" t="str">
            <v>هشام فتح الله عبدربه فرج</v>
          </cell>
          <cell r="M53">
            <v>26303201400474</v>
          </cell>
          <cell r="N53" t="str">
            <v>وكيل تحصيل</v>
          </cell>
        </row>
        <row r="54">
          <cell r="K54">
            <v>283</v>
          </cell>
          <cell r="L54" t="str">
            <v xml:space="preserve">طارق عصام فتوح حسن </v>
          </cell>
          <cell r="M54">
            <v>29601011735072</v>
          </cell>
          <cell r="N54" t="str">
            <v>وكيل تحصيل</v>
          </cell>
        </row>
        <row r="55">
          <cell r="K55">
            <v>284</v>
          </cell>
          <cell r="L55" t="str">
            <v>زياد كرم عبد الفضيل عبد المجيد</v>
          </cell>
          <cell r="M55">
            <v>30208171403094</v>
          </cell>
          <cell r="N55" t="str">
            <v>وكيل تحصيل</v>
          </cell>
        </row>
        <row r="56">
          <cell r="K56">
            <v>289</v>
          </cell>
          <cell r="L56" t="str">
            <v>صبرى عبد الهادى عبد الهادى</v>
          </cell>
          <cell r="M56">
            <v>28509251202635</v>
          </cell>
          <cell r="N56" t="str">
            <v>خدمات معاونة</v>
          </cell>
        </row>
        <row r="57">
          <cell r="K57">
            <v>294</v>
          </cell>
          <cell r="L57" t="str">
            <v>باسم ناجى سعد ابرهيم خلف</v>
          </cell>
          <cell r="M57">
            <v>29005011201254</v>
          </cell>
          <cell r="N57" t="str">
            <v>مسئول ادارى</v>
          </cell>
        </row>
        <row r="58">
          <cell r="K58">
            <v>302</v>
          </cell>
          <cell r="L58" t="str">
            <v xml:space="preserve">مى سيد إبراهيم حنفي عقل </v>
          </cell>
          <cell r="M58">
            <v>30207051201769</v>
          </cell>
          <cell r="N58" t="str">
            <v>وكيل تحصيل هاتفى</v>
          </cell>
        </row>
        <row r="59">
          <cell r="K59">
            <v>307</v>
          </cell>
          <cell r="L59" t="str">
            <v>شيماء حمدى حسن ركابى حامد</v>
          </cell>
          <cell r="M59">
            <v>29506012100906</v>
          </cell>
          <cell r="N59" t="str">
            <v>منسق بيانات</v>
          </cell>
        </row>
        <row r="60">
          <cell r="K60">
            <v>312</v>
          </cell>
          <cell r="L60" t="str">
            <v>نيرة محمد يوسف عبد المجيد غزى</v>
          </cell>
          <cell r="M60">
            <v>30306261201301</v>
          </cell>
          <cell r="N60" t="str">
            <v>وكيل تحصيل هاتفى</v>
          </cell>
        </row>
        <row r="61">
          <cell r="K61">
            <v>324</v>
          </cell>
          <cell r="L61" t="str">
            <v>شوقية محمد عثمان احمد</v>
          </cell>
          <cell r="M61">
            <v>29706171200384</v>
          </cell>
          <cell r="N61" t="str">
            <v>وكيل تحصيل هاتفى</v>
          </cell>
        </row>
        <row r="62">
          <cell r="K62">
            <v>332</v>
          </cell>
          <cell r="L62" t="str">
            <v xml:space="preserve">إسماعيل سلامه إسماعيل بركات </v>
          </cell>
          <cell r="M62">
            <v>30601161400333</v>
          </cell>
          <cell r="N62" t="str">
            <v>وكيل تحصيل</v>
          </cell>
        </row>
        <row r="63">
          <cell r="K63">
            <v>334</v>
          </cell>
          <cell r="L63" t="str">
            <v>عبد الله كامل عبد الله صبحى غنيم</v>
          </cell>
          <cell r="M63">
            <v>30304160102938</v>
          </cell>
          <cell r="N63" t="str">
            <v>وكيل تحصيل</v>
          </cell>
        </row>
        <row r="64">
          <cell r="K64">
            <v>336</v>
          </cell>
          <cell r="L64" t="str">
            <v>زياد احمد سيد محمد</v>
          </cell>
          <cell r="M64">
            <v>30507250100398</v>
          </cell>
          <cell r="N64" t="str">
            <v>وكيل تحصيل</v>
          </cell>
        </row>
        <row r="65">
          <cell r="K65">
            <v>340</v>
          </cell>
          <cell r="L65" t="str">
            <v>اميرة شعراوى ابراهيم  حامد على</v>
          </cell>
          <cell r="M65">
            <v>29203050102561</v>
          </cell>
          <cell r="N65" t="str">
            <v>كبير مشرفى تحصيل</v>
          </cell>
        </row>
        <row r="66">
          <cell r="K66">
            <v>341</v>
          </cell>
          <cell r="L66" t="str">
            <v>نرمين شعراوى إبراهيم حامد على</v>
          </cell>
          <cell r="M66">
            <v>30203190102583</v>
          </cell>
          <cell r="N66" t="str">
            <v>رئيس فريق عمل</v>
          </cell>
        </row>
        <row r="67">
          <cell r="K67">
            <v>345</v>
          </cell>
          <cell r="L67" t="str">
            <v>دعاء محمد عثمان احمد</v>
          </cell>
          <cell r="M67">
            <v>29002011201905</v>
          </cell>
          <cell r="N67" t="str">
            <v>وكيل تحصيل هاتفى</v>
          </cell>
        </row>
        <row r="68">
          <cell r="K68">
            <v>347</v>
          </cell>
          <cell r="L68" t="str">
            <v>يحي هاني نبيل  عبد التواب</v>
          </cell>
          <cell r="M68">
            <v>30508040103757</v>
          </cell>
          <cell r="N68" t="str">
            <v>وكيل تحصيل</v>
          </cell>
        </row>
        <row r="69">
          <cell r="K69">
            <v>354</v>
          </cell>
          <cell r="L69" t="str">
            <v>منه رضا فتحى سيد</v>
          </cell>
          <cell r="M69">
            <v>30205300101122</v>
          </cell>
          <cell r="N69" t="str">
            <v>وكيل تحصيل هاتفى</v>
          </cell>
        </row>
        <row r="70">
          <cell r="K70">
            <v>355</v>
          </cell>
          <cell r="L70" t="str">
            <v>كرستينا مجدى محروس فؤاد</v>
          </cell>
          <cell r="M70">
            <v>29903160102844</v>
          </cell>
          <cell r="N70" t="str">
            <v>وكيل تحصيل هاتفى</v>
          </cell>
        </row>
        <row r="71">
          <cell r="K71">
            <v>356</v>
          </cell>
          <cell r="L71" t="str">
            <v xml:space="preserve">عبدالله عماد محمد السيد </v>
          </cell>
          <cell r="M71">
            <v>29302041400591</v>
          </cell>
          <cell r="N71" t="str">
            <v xml:space="preserve">وكيل تحصيل </v>
          </cell>
        </row>
        <row r="72">
          <cell r="K72">
            <v>362</v>
          </cell>
          <cell r="L72" t="str">
            <v>احمد محمد محمود احمد أبو الدهب</v>
          </cell>
          <cell r="M72">
            <v>30505051403192</v>
          </cell>
          <cell r="N72" t="str">
            <v xml:space="preserve">وكيل تحصيل </v>
          </cell>
        </row>
        <row r="73">
          <cell r="K73">
            <v>365</v>
          </cell>
          <cell r="L73" t="str">
            <v>محمد رضا سعد حسن الشرقاوى</v>
          </cell>
          <cell r="M73">
            <v>29305020111474</v>
          </cell>
          <cell r="N73" t="str">
            <v>مسئول ادارى</v>
          </cell>
        </row>
        <row r="74">
          <cell r="K74">
            <v>370</v>
          </cell>
          <cell r="L74" t="str">
            <v>اسراء كمال الدين حسن محمد محمود الشافعى</v>
          </cell>
          <cell r="M74">
            <v>29601140103228</v>
          </cell>
          <cell r="N74" t="str">
            <v>وكيل تحصيل هاتفى</v>
          </cell>
        </row>
        <row r="75">
          <cell r="K75">
            <v>375</v>
          </cell>
          <cell r="L75" t="str">
            <v>اسراء خالد محمود عبد الله</v>
          </cell>
          <cell r="M75">
            <v>29712102101846</v>
          </cell>
          <cell r="N75" t="str">
            <v>رئيس فريق عمل</v>
          </cell>
        </row>
        <row r="76">
          <cell r="K76">
            <v>378</v>
          </cell>
          <cell r="L76" t="str">
            <v>عبد الحميد نبوى فهيم محمد</v>
          </cell>
          <cell r="M76">
            <v>28102150100511</v>
          </cell>
          <cell r="N76" t="str">
            <v>رئيس فريق عمل</v>
          </cell>
        </row>
        <row r="77">
          <cell r="K77">
            <v>379</v>
          </cell>
          <cell r="L77" t="str">
            <v>حسين محمود حسين حسن</v>
          </cell>
          <cell r="M77">
            <v>818198924630900</v>
          </cell>
          <cell r="N77" t="str">
            <v>مشرف تحصيل</v>
          </cell>
        </row>
        <row r="78">
          <cell r="K78">
            <v>383</v>
          </cell>
          <cell r="L78" t="str">
            <v>اية حمدى رجب على غنيمة</v>
          </cell>
          <cell r="M78">
            <v>30101201202626</v>
          </cell>
          <cell r="N78" t="str">
            <v>وكيل تحصيل هاتفى</v>
          </cell>
        </row>
        <row r="79">
          <cell r="K79">
            <v>389</v>
          </cell>
          <cell r="L79" t="str">
            <v>ادهم رؤوف كمال كامل سعيد</v>
          </cell>
          <cell r="M79">
            <v>30407270101515</v>
          </cell>
          <cell r="N79" t="str">
            <v>وكيل تحصيل</v>
          </cell>
        </row>
        <row r="80">
          <cell r="K80">
            <v>395</v>
          </cell>
          <cell r="L80" t="str">
            <v>مصطفى احمد عبد الهادى محمود</v>
          </cell>
          <cell r="M80">
            <v>29705010106934</v>
          </cell>
          <cell r="N80" t="str">
            <v>وكيل تحصيل</v>
          </cell>
        </row>
        <row r="81">
          <cell r="K81">
            <v>400</v>
          </cell>
          <cell r="L81" t="str">
            <v>عبد الرحمن احمد عبد العليم السيد مرعى</v>
          </cell>
          <cell r="M81">
            <v>29810270101519</v>
          </cell>
          <cell r="N81" t="str">
            <v>وكيل تحصيل</v>
          </cell>
        </row>
        <row r="82">
          <cell r="K82">
            <v>401</v>
          </cell>
          <cell r="L82" t="str">
            <v>سامح ماجد الهجرسى الدسوقى</v>
          </cell>
          <cell r="M82">
            <v>27301211204771</v>
          </cell>
          <cell r="N82" t="str">
            <v>مشرف تحصيل</v>
          </cell>
        </row>
        <row r="83">
          <cell r="K83">
            <v>402</v>
          </cell>
          <cell r="L83" t="str">
            <v>ياسر عبد الحكيم حمزة أبو النيل</v>
          </cell>
          <cell r="M83">
            <v>27309251700756</v>
          </cell>
          <cell r="N83" t="str">
            <v>وكيل تحصيل</v>
          </cell>
        </row>
        <row r="84">
          <cell r="K84">
            <v>404</v>
          </cell>
          <cell r="L84" t="str">
            <v>اصالة مهدى محمد احمد</v>
          </cell>
          <cell r="M84">
            <v>30109290101804</v>
          </cell>
          <cell r="N84" t="str">
            <v>وكيل تحصيل هاتفى</v>
          </cell>
        </row>
        <row r="85">
          <cell r="K85">
            <v>410</v>
          </cell>
          <cell r="L85" t="str">
            <v>سيف طارق محمد  إسماعيل</v>
          </cell>
          <cell r="M85">
            <v>30605100100332</v>
          </cell>
          <cell r="N85" t="str">
            <v>وكيل تحصيل</v>
          </cell>
        </row>
        <row r="86">
          <cell r="K86">
            <v>416</v>
          </cell>
          <cell r="L86" t="str">
            <v>هاني جمعه علي احمد</v>
          </cell>
          <cell r="M86">
            <v>27610261201733</v>
          </cell>
          <cell r="N86" t="str">
            <v>وكيل تحصيل</v>
          </cell>
        </row>
        <row r="87">
          <cell r="K87">
            <v>418</v>
          </cell>
          <cell r="L87" t="str">
            <v>احمد حمدى محمد سرور</v>
          </cell>
          <cell r="M87">
            <v>28302221701951</v>
          </cell>
          <cell r="N87" t="str">
            <v>وكيل تحصيل</v>
          </cell>
        </row>
        <row r="88">
          <cell r="K88">
            <v>421</v>
          </cell>
          <cell r="L88" t="str">
            <v>محمد احمد ناجز سعيد</v>
          </cell>
          <cell r="M88">
            <v>30609022100334</v>
          </cell>
          <cell r="N88" t="str">
            <v>وكيل تحصيل</v>
          </cell>
        </row>
        <row r="89">
          <cell r="K89">
            <v>425</v>
          </cell>
          <cell r="L89" t="str">
            <v>احمد رزق طاهر أبو الفتوح</v>
          </cell>
          <cell r="M89">
            <v>29403171201019</v>
          </cell>
          <cell r="N89" t="str">
            <v>وكيل تحصيل</v>
          </cell>
        </row>
        <row r="90">
          <cell r="K90">
            <v>426</v>
          </cell>
          <cell r="L90" t="str">
            <v>هدير رمضان مصطفي عبد العال</v>
          </cell>
          <cell r="M90">
            <v>29908201201021</v>
          </cell>
          <cell r="N90" t="str">
            <v>وكيل تحصيل هاتفى</v>
          </cell>
        </row>
        <row r="91">
          <cell r="K91">
            <v>428</v>
          </cell>
          <cell r="L91" t="str">
            <v xml:space="preserve">سحر محمد علي سيد </v>
          </cell>
          <cell r="M91">
            <v>29101201401488</v>
          </cell>
          <cell r="N91" t="str">
            <v>منسق بيانات</v>
          </cell>
        </row>
        <row r="92">
          <cell r="K92">
            <v>444</v>
          </cell>
          <cell r="L92" t="str">
            <v>نورين محمود عبد السلام</v>
          </cell>
          <cell r="M92">
            <v>30301181400409</v>
          </cell>
          <cell r="N92" t="str">
            <v>وكيل تحصيل هاتفى</v>
          </cell>
        </row>
        <row r="93">
          <cell r="K93">
            <v>445</v>
          </cell>
          <cell r="L93" t="str">
            <v>أسماء عباس عثمان عباس</v>
          </cell>
          <cell r="M93">
            <v>29012100105168</v>
          </cell>
          <cell r="N93" t="str">
            <v>خدمات معاونة</v>
          </cell>
        </row>
        <row r="94">
          <cell r="K94">
            <v>448</v>
          </cell>
          <cell r="L94" t="str">
            <v>ياسمين ماهر زيدان محمود عبد الباقي</v>
          </cell>
          <cell r="M94">
            <v>30201111402604</v>
          </cell>
          <cell r="N94" t="str">
            <v>وكيل تحصيل هاتفى</v>
          </cell>
        </row>
        <row r="95">
          <cell r="K95">
            <v>456</v>
          </cell>
          <cell r="L95" t="str">
            <v>مختار محمد محمد مختار</v>
          </cell>
          <cell r="M95">
            <v>28705180300154</v>
          </cell>
          <cell r="N95" t="str">
            <v>وكيل تحصيل</v>
          </cell>
        </row>
        <row r="96">
          <cell r="K96">
            <v>460</v>
          </cell>
          <cell r="L96" t="str">
            <v>احمد اشرف محمد حسن</v>
          </cell>
          <cell r="M96">
            <v>30205240100555</v>
          </cell>
          <cell r="N96" t="str">
            <v>وكيل تحصيل</v>
          </cell>
        </row>
        <row r="97">
          <cell r="K97">
            <v>461</v>
          </cell>
          <cell r="L97" t="str">
            <v>كريم جمال السيد عبد الهادي</v>
          </cell>
          <cell r="M97">
            <v>29305041401219</v>
          </cell>
          <cell r="N97" t="str">
            <v>كبير مشرفى تحصيل</v>
          </cell>
        </row>
        <row r="98">
          <cell r="K98">
            <v>462</v>
          </cell>
          <cell r="L98" t="str">
            <v>رنيم إبراهيم محمد احمد مجاهد</v>
          </cell>
          <cell r="M98">
            <v>0</v>
          </cell>
          <cell r="N98" t="str">
            <v>وكيل تحصيل هاتفى</v>
          </cell>
        </row>
        <row r="99">
          <cell r="K99">
            <v>466</v>
          </cell>
          <cell r="L99" t="str">
            <v>فاطمة محمود سلامة إبراهيم</v>
          </cell>
          <cell r="M99">
            <v>29309251200181</v>
          </cell>
          <cell r="N99" t="str">
            <v>وكيل تحصيل هاتفى</v>
          </cell>
        </row>
        <row r="100">
          <cell r="K100">
            <v>467</v>
          </cell>
          <cell r="L100" t="str">
            <v>مى علاء السيد محمد غريب</v>
          </cell>
          <cell r="M100">
            <v>30102051204885</v>
          </cell>
          <cell r="N100" t="str">
            <v>وكيل تحصيل هاتفى</v>
          </cell>
        </row>
        <row r="101">
          <cell r="K101">
            <v>468</v>
          </cell>
          <cell r="L101" t="str">
            <v>حسام حسن محمد حسن</v>
          </cell>
          <cell r="M101">
            <v>29405100101555</v>
          </cell>
          <cell r="N101" t="str">
            <v>وكيل تحصيل</v>
          </cell>
        </row>
        <row r="102">
          <cell r="K102">
            <v>473</v>
          </cell>
          <cell r="L102" t="str">
            <v>رحمه عاطف احمد علي</v>
          </cell>
          <cell r="M102">
            <v>30406050100589</v>
          </cell>
          <cell r="N102" t="str">
            <v>وكيل تحصيل هاتفى</v>
          </cell>
        </row>
        <row r="103">
          <cell r="K103">
            <v>475</v>
          </cell>
          <cell r="L103" t="str">
            <v>احمد إبراهيم مبروك سعيد</v>
          </cell>
          <cell r="M103">
            <v>11894014000</v>
          </cell>
          <cell r="N103" t="str">
            <v>وكيل تحصيل</v>
          </cell>
        </row>
        <row r="104">
          <cell r="K104">
            <v>478</v>
          </cell>
          <cell r="L104" t="str">
            <v>محمد السيد محمد الدسوقي</v>
          </cell>
          <cell r="M104">
            <v>29701011237298</v>
          </cell>
          <cell r="N104" t="str">
            <v>وكيل تحصيل</v>
          </cell>
        </row>
        <row r="105">
          <cell r="K105">
            <v>479</v>
          </cell>
          <cell r="L105" t="str">
            <v>مي اشرف صلاح الدين أبو زيد</v>
          </cell>
          <cell r="M105">
            <v>30007160105266</v>
          </cell>
          <cell r="N105" t="str">
            <v>مسئول موارد بشريه</v>
          </cell>
        </row>
        <row r="106">
          <cell r="K106">
            <v>482</v>
          </cell>
          <cell r="L106" t="str">
            <v xml:space="preserve">فاطمه شعبان محمد مصطفي </v>
          </cell>
          <cell r="M106">
            <v>30204190100501</v>
          </cell>
          <cell r="N106" t="str">
            <v>وكيل تحصيل هاتفى</v>
          </cell>
        </row>
        <row r="107">
          <cell r="K107">
            <v>483</v>
          </cell>
          <cell r="L107" t="str">
            <v>حبيبه بدر  حنفي محمود</v>
          </cell>
          <cell r="M107">
            <v>30006180104545</v>
          </cell>
          <cell r="N107" t="str">
            <v>منسقى البيانات</v>
          </cell>
        </row>
        <row r="108">
          <cell r="K108">
            <v>484</v>
          </cell>
          <cell r="L108" t="str">
            <v>ايمان رمضان السعيد مصطفي</v>
          </cell>
          <cell r="M108">
            <v>28807031200187</v>
          </cell>
          <cell r="N108" t="str">
            <v>منسق بيانات</v>
          </cell>
        </row>
        <row r="109">
          <cell r="K109">
            <v>485</v>
          </cell>
          <cell r="L109" t="str">
            <v>دينا محمد احمد الصاوي</v>
          </cell>
          <cell r="M109">
            <v>29710250105424</v>
          </cell>
          <cell r="N109" t="str">
            <v>منسقى البيانات</v>
          </cell>
        </row>
        <row r="110">
          <cell r="K110">
            <v>486</v>
          </cell>
          <cell r="L110" t="str">
            <v>اسراء صبري رمضان احمد</v>
          </cell>
          <cell r="M110">
            <v>29411260100148</v>
          </cell>
          <cell r="N110" t="str">
            <v>وكيل تحصيل هاتفى</v>
          </cell>
        </row>
        <row r="111">
          <cell r="K111">
            <v>487</v>
          </cell>
          <cell r="L111" t="str">
            <v>محمود رياض محمد رياض</v>
          </cell>
          <cell r="M111">
            <v>30509300112158</v>
          </cell>
          <cell r="N111" t="str">
            <v>وكيل تحصيل</v>
          </cell>
        </row>
        <row r="112">
          <cell r="K112">
            <v>492</v>
          </cell>
          <cell r="L112" t="str">
            <v>اسامه محمد احمد عبد الحميد</v>
          </cell>
          <cell r="M112">
            <v>28206152104831</v>
          </cell>
          <cell r="N112" t="str">
            <v>الشئون القانونية</v>
          </cell>
        </row>
        <row r="113">
          <cell r="K113">
            <v>493</v>
          </cell>
          <cell r="L113" t="str">
            <v>محمود محمد محمود محمد</v>
          </cell>
          <cell r="M113">
            <v>29809301408733</v>
          </cell>
          <cell r="N113" t="str">
            <v>محامى</v>
          </cell>
        </row>
        <row r="114">
          <cell r="K114">
            <v>494</v>
          </cell>
          <cell r="L114" t="str">
            <v>محمود عبد المنعم محمد إبراهيم</v>
          </cell>
          <cell r="M114">
            <v>29010271200832</v>
          </cell>
          <cell r="N114" t="str">
            <v>وكيل تحصيل</v>
          </cell>
        </row>
        <row r="115">
          <cell r="K115">
            <v>495</v>
          </cell>
          <cell r="L115" t="str">
            <v>أسماء عبد المنعم غنيمي علي</v>
          </cell>
          <cell r="M115">
            <v>28811140101862</v>
          </cell>
          <cell r="N115" t="str">
            <v>وكيل تحصيل هاتفى</v>
          </cell>
        </row>
        <row r="116">
          <cell r="K116">
            <v>497</v>
          </cell>
          <cell r="L116" t="str">
            <v>عمرو خالد ياسين إبراهيم</v>
          </cell>
          <cell r="M116">
            <v>30606290101654</v>
          </cell>
          <cell r="N116" t="str">
            <v>وكيل تحصيل</v>
          </cell>
        </row>
        <row r="117">
          <cell r="K117">
            <v>498</v>
          </cell>
          <cell r="L117" t="str">
            <v>ياسمين وائل صلاح احمد</v>
          </cell>
          <cell r="M117">
            <v>30410011200166</v>
          </cell>
          <cell r="N117" t="str">
            <v>وكيل تحصيل هاتفى</v>
          </cell>
        </row>
        <row r="118">
          <cell r="K118">
            <v>500</v>
          </cell>
          <cell r="L118" t="str">
            <v>هايدي هشام السيد امام</v>
          </cell>
          <cell r="M118">
            <v>29202021200043</v>
          </cell>
          <cell r="N118" t="str">
            <v>وكيل تحصيل هاتفى</v>
          </cell>
        </row>
        <row r="119">
          <cell r="K119">
            <v>502</v>
          </cell>
          <cell r="L119" t="str">
            <v>رحاب عثمان محمود صالح</v>
          </cell>
          <cell r="M119">
            <v>28101011234263</v>
          </cell>
          <cell r="N119" t="str">
            <v>وكيل تحصيل هاتفى</v>
          </cell>
        </row>
        <row r="120">
          <cell r="K120">
            <v>503</v>
          </cell>
          <cell r="L120" t="str">
            <v>اسلام احمد محمود علي</v>
          </cell>
          <cell r="M120">
            <v>29007171200117</v>
          </cell>
          <cell r="N120" t="str">
            <v>محامى</v>
          </cell>
        </row>
        <row r="121">
          <cell r="K121">
            <v>504</v>
          </cell>
          <cell r="L121" t="str">
            <v>بلال فريد شوقي احمد</v>
          </cell>
          <cell r="M121">
            <v>30609142100214</v>
          </cell>
          <cell r="N121" t="str">
            <v>وكيل تحصيل</v>
          </cell>
        </row>
        <row r="122">
          <cell r="K122">
            <v>507</v>
          </cell>
          <cell r="L122" t="str">
            <v>محمد حسن علي عباس</v>
          </cell>
          <cell r="M122">
            <v>28309011214114</v>
          </cell>
          <cell r="N122" t="str">
            <v>محامى</v>
          </cell>
        </row>
        <row r="123">
          <cell r="K123">
            <v>508</v>
          </cell>
          <cell r="L123" t="str">
            <v>مريم محمود غريب محمد</v>
          </cell>
          <cell r="M123">
            <v>30409022100408</v>
          </cell>
          <cell r="N123" t="str">
            <v>وكيل تحصيل هاتفى</v>
          </cell>
        </row>
        <row r="124">
          <cell r="K124">
            <v>509</v>
          </cell>
          <cell r="L124" t="str">
            <v>كريم اشرف فاروق احمد</v>
          </cell>
          <cell r="M124">
            <v>29804181200538</v>
          </cell>
          <cell r="N124" t="str">
            <v>وكيل تحصيل</v>
          </cell>
        </row>
        <row r="125">
          <cell r="K125">
            <v>511</v>
          </cell>
          <cell r="L125" t="str">
            <v>ورد محمد احمد عبد الحميد شهده</v>
          </cell>
          <cell r="M125">
            <v>30506120107181</v>
          </cell>
          <cell r="N125" t="str">
            <v>وكيل تحصيل هاتفى</v>
          </cell>
        </row>
        <row r="126">
          <cell r="K126">
            <v>512</v>
          </cell>
          <cell r="L126" t="str">
            <v>شريهان كمال شفيق حسب الله</v>
          </cell>
          <cell r="M126">
            <v>28208060104129</v>
          </cell>
          <cell r="N126" t="str">
            <v>وكيل تحصيل هاتفى</v>
          </cell>
        </row>
        <row r="127">
          <cell r="K127">
            <v>514</v>
          </cell>
          <cell r="L127" t="str">
            <v>حسين احمد حسين محمود مرسى</v>
          </cell>
          <cell r="M127">
            <v>30207210103056</v>
          </cell>
          <cell r="N127" t="str">
            <v>وكيل تحصيل</v>
          </cell>
        </row>
        <row r="128">
          <cell r="K128">
            <v>515</v>
          </cell>
          <cell r="L128" t="str">
            <v>محمد عبدالمنعم عبدالحليم إبراهيم</v>
          </cell>
          <cell r="M128">
            <v>28406011410539</v>
          </cell>
          <cell r="N128" t="str">
            <v>خدمات معاونة</v>
          </cell>
        </row>
        <row r="129">
          <cell r="K129">
            <v>517</v>
          </cell>
          <cell r="L129" t="str">
            <v>فاطمه محمد سيد محمد سيد</v>
          </cell>
          <cell r="M129">
            <v>30506110103684</v>
          </cell>
          <cell r="N129" t="str">
            <v xml:space="preserve">وكيل تحصيل هاتفي </v>
          </cell>
        </row>
        <row r="130">
          <cell r="K130">
            <v>518</v>
          </cell>
          <cell r="L130" t="str">
            <v xml:space="preserve">زينب عبدالرحمن احمد عبدالرحمن </v>
          </cell>
          <cell r="M130">
            <v>30506130100363</v>
          </cell>
          <cell r="N130" t="str">
            <v xml:space="preserve">وكيل تحصيل هاتفي </v>
          </cell>
        </row>
        <row r="131">
          <cell r="K131">
            <v>519</v>
          </cell>
          <cell r="L131" t="str">
            <v>يوسف محمد مسعود ديوشى عمار</v>
          </cell>
          <cell r="M131">
            <v>30406040100378</v>
          </cell>
          <cell r="N131" t="str">
            <v>وكيل تحصيل</v>
          </cell>
        </row>
        <row r="132">
          <cell r="K132">
            <v>520</v>
          </cell>
          <cell r="L132" t="str">
            <v xml:space="preserve">عبله خالد سيد عبده امين </v>
          </cell>
          <cell r="M132">
            <v>30202100101161</v>
          </cell>
          <cell r="N132" t="str">
            <v xml:space="preserve">وكيل تحصيل هاتفي </v>
          </cell>
        </row>
        <row r="133">
          <cell r="K133">
            <v>522</v>
          </cell>
          <cell r="L133" t="str">
            <v>ايمان محمد هلال الدسوقى</v>
          </cell>
          <cell r="M133">
            <v>29107021200806</v>
          </cell>
          <cell r="N133" t="str">
            <v>وكيل تحصيل هاتفى</v>
          </cell>
        </row>
        <row r="134">
          <cell r="K134">
            <v>523</v>
          </cell>
          <cell r="L134" t="str">
            <v>عفاف إبراهيم محمد عبد المجيد</v>
          </cell>
          <cell r="M134">
            <v>27705291201101</v>
          </cell>
          <cell r="N134" t="str">
            <v xml:space="preserve">وكيل تحصيل هاتفي </v>
          </cell>
        </row>
        <row r="135">
          <cell r="K135">
            <v>524</v>
          </cell>
          <cell r="L135" t="str">
            <v>منى يحيي على صادق</v>
          </cell>
          <cell r="M135">
            <v>29507162103187</v>
          </cell>
          <cell r="N135" t="str">
            <v xml:space="preserve">وكيل تحصيل هاتفي </v>
          </cell>
        </row>
        <row r="136">
          <cell r="K136">
            <v>525</v>
          </cell>
          <cell r="L136" t="str">
            <v>عبير سليمان خلف</v>
          </cell>
          <cell r="M136">
            <v>30110102505047</v>
          </cell>
          <cell r="N136" t="str">
            <v xml:space="preserve">وكيل تحصيل هاتفي </v>
          </cell>
        </row>
        <row r="137">
          <cell r="K137">
            <v>526</v>
          </cell>
          <cell r="L137" t="str">
            <v>جميلة اشرف محمد</v>
          </cell>
          <cell r="M137">
            <v>30108262102467</v>
          </cell>
          <cell r="N137" t="str">
            <v xml:space="preserve">وكيل تحصيل هاتفي </v>
          </cell>
        </row>
        <row r="138">
          <cell r="K138">
            <v>527</v>
          </cell>
          <cell r="L138" t="str">
            <v>محمد محمود حسين محمود</v>
          </cell>
          <cell r="M138">
            <v>30206020103231</v>
          </cell>
          <cell r="N138" t="str">
            <v>مشرف تحصيل</v>
          </cell>
        </row>
        <row r="139">
          <cell r="K139">
            <v>530</v>
          </cell>
          <cell r="L139" t="str">
            <v xml:space="preserve">هند سيد السيد علي يونس </v>
          </cell>
          <cell r="M139">
            <v>30502171401488</v>
          </cell>
          <cell r="N139" t="str">
            <v xml:space="preserve">وكيل تحصيل هاتفي </v>
          </cell>
        </row>
        <row r="140">
          <cell r="K140">
            <v>534</v>
          </cell>
          <cell r="L140" t="str">
            <v>صفيه وائل محمد حسن سليمان</v>
          </cell>
          <cell r="M140">
            <v>30602180104261</v>
          </cell>
          <cell r="N140" t="str">
            <v>وكيل تحصيل هاتفى</v>
          </cell>
        </row>
        <row r="141">
          <cell r="K141">
            <v>536</v>
          </cell>
          <cell r="L141" t="str">
            <v>امل حلمى مسعد فهيد</v>
          </cell>
          <cell r="M141">
            <v>28405201201387</v>
          </cell>
          <cell r="N141" t="str">
            <v xml:space="preserve">وكيل تحصيل هاتفي </v>
          </cell>
        </row>
        <row r="142">
          <cell r="K142">
            <v>539</v>
          </cell>
          <cell r="L142" t="str">
            <v xml:space="preserve">محمد مدحت عبدالمنعم مصطفى حسن </v>
          </cell>
          <cell r="M142">
            <v>29905220100296</v>
          </cell>
          <cell r="N142" t="str">
            <v>محاسب</v>
          </cell>
        </row>
        <row r="143">
          <cell r="K143">
            <v>540</v>
          </cell>
          <cell r="L143" t="str">
            <v xml:space="preserve">سلسبيل احمد جاد عبد المقصود </v>
          </cell>
          <cell r="M143">
            <v>29710290101723</v>
          </cell>
          <cell r="N143" t="str">
            <v xml:space="preserve">وكيل تحصيل هاتفي </v>
          </cell>
        </row>
        <row r="144">
          <cell r="K144">
            <v>541</v>
          </cell>
          <cell r="L144" t="str">
            <v>شيماء السيد السيد شلبى شهده</v>
          </cell>
          <cell r="M144">
            <v>29403301201521</v>
          </cell>
          <cell r="N144" t="str">
            <v xml:space="preserve">وكيل تحصيل هاتفي </v>
          </cell>
        </row>
        <row r="145">
          <cell r="K145">
            <v>162</v>
          </cell>
          <cell r="L145" t="str">
            <v>عمرو على سليم محمد السيد</v>
          </cell>
          <cell r="N145" t="str">
            <v>مشرف تحصيل</v>
          </cell>
        </row>
        <row r="146">
          <cell r="K146">
            <v>368</v>
          </cell>
          <cell r="L146" t="str">
            <v>سعيد دياب حامد سعيد</v>
          </cell>
          <cell r="N146" t="str">
            <v>مسئول تنفيذ</v>
          </cell>
        </row>
        <row r="147">
          <cell r="K147">
            <v>380</v>
          </cell>
          <cell r="L147" t="str">
            <v>عمرو حسن محمد عصران احمد</v>
          </cell>
          <cell r="N147" t="str">
            <v>وكيل تحصيل</v>
          </cell>
        </row>
        <row r="148">
          <cell r="K148">
            <v>390</v>
          </cell>
          <cell r="L148" t="str">
            <v>اسلام حسام مصطفى عبد العال</v>
          </cell>
          <cell r="N148" t="str">
            <v>وكيل تحصيل</v>
          </cell>
        </row>
        <row r="149">
          <cell r="K149">
            <v>391</v>
          </cell>
          <cell r="L149" t="str">
            <v>عبد الرحمن فريد عبد المنعم محمد احمد</v>
          </cell>
          <cell r="N149" t="str">
            <v>وكيل تحصيل</v>
          </cell>
        </row>
        <row r="150">
          <cell r="K150">
            <v>403</v>
          </cell>
          <cell r="L150" t="str">
            <v>ملك يسرى عبد الشافى عبدربه محمد هلهل</v>
          </cell>
          <cell r="N150" t="str">
            <v>وكيل تحصيل هاتفى</v>
          </cell>
        </row>
        <row r="151">
          <cell r="K151">
            <v>430</v>
          </cell>
          <cell r="L151" t="str">
            <v>ملك يوسف احمد سيد</v>
          </cell>
          <cell r="N151" t="str">
            <v>وكيل تحصيل هاتفى</v>
          </cell>
        </row>
        <row r="152">
          <cell r="K152">
            <v>451</v>
          </cell>
          <cell r="L152" t="str">
            <v>ياسمين عبد الحميد البكري عبد الحميد</v>
          </cell>
          <cell r="N152" t="str">
            <v>وكيل تحصيل هاتفى</v>
          </cell>
        </row>
        <row r="153">
          <cell r="K153">
            <v>455</v>
          </cell>
          <cell r="L153" t="str">
            <v>اشرقت وليد محمد  جودة</v>
          </cell>
          <cell r="N153" t="str">
            <v>وكيل تحصيل هاتفى</v>
          </cell>
        </row>
        <row r="154">
          <cell r="K154">
            <v>457</v>
          </cell>
          <cell r="L154" t="str">
            <v>سعيد عماد محمد عفيفي</v>
          </cell>
          <cell r="N154" t="str">
            <v>وكيل تحصيل</v>
          </cell>
        </row>
        <row r="155">
          <cell r="K155">
            <v>459</v>
          </cell>
          <cell r="L155" t="str">
            <v>ولاء عادل عبده التهامي</v>
          </cell>
          <cell r="N155" t="str">
            <v>خدمات معاونة</v>
          </cell>
        </row>
        <row r="156">
          <cell r="K156">
            <v>481</v>
          </cell>
          <cell r="L156" t="str">
            <v>مصطفي عطا فراج إبراهيم</v>
          </cell>
          <cell r="N156" t="str">
            <v>وكيل تحصيل</v>
          </cell>
        </row>
        <row r="157">
          <cell r="K157">
            <v>496</v>
          </cell>
          <cell r="L157" t="str">
            <v>نورهان إبراهيم عطيه احمد</v>
          </cell>
          <cell r="N157" t="str">
            <v>وكيل تحصيل هاتفى</v>
          </cell>
        </row>
        <row r="158">
          <cell r="K158">
            <v>505</v>
          </cell>
          <cell r="L158" t="str">
            <v>لميس خالد محمد عبد العزيز</v>
          </cell>
          <cell r="N158" t="str">
            <v>وكيل تحصيل هاتفى</v>
          </cell>
        </row>
        <row r="159">
          <cell r="K159">
            <v>506</v>
          </cell>
          <cell r="L159" t="str">
            <v xml:space="preserve">نورهان اسامه جمعه علي </v>
          </cell>
          <cell r="N159" t="str">
            <v>وكيل تحصيل هاتفى</v>
          </cell>
        </row>
        <row r="160">
          <cell r="K160">
            <v>510</v>
          </cell>
          <cell r="L160" t="str">
            <v>احمد محمد احمد عبد الونيس</v>
          </cell>
          <cell r="N160" t="str">
            <v>وكيل تحصيل</v>
          </cell>
        </row>
        <row r="161">
          <cell r="K161">
            <v>513</v>
          </cell>
          <cell r="L161" t="str">
            <v>مها احمد حسن محمد رزق</v>
          </cell>
          <cell r="N161" t="str">
            <v>وكيل تحصيل هاتفى</v>
          </cell>
        </row>
        <row r="162">
          <cell r="K162">
            <v>516</v>
          </cell>
          <cell r="L162" t="str">
            <v>حسين شعبان النوبى حسنين</v>
          </cell>
          <cell r="N162" t="str">
            <v>وكيل تحصيل</v>
          </cell>
        </row>
        <row r="163">
          <cell r="K163">
            <v>521</v>
          </cell>
          <cell r="L163" t="str">
            <v>تغريد احمد سعد محمود رستم</v>
          </cell>
          <cell r="N163" t="str">
            <v xml:space="preserve">وكيل تحصيل هاتفي </v>
          </cell>
        </row>
        <row r="164">
          <cell r="K164" t="str">
            <v>-</v>
          </cell>
          <cell r="L164" t="str">
            <v>محمد طلال محمد المعصراوى</v>
          </cell>
          <cell r="N164" t="str">
            <v>وكيل تحصيل</v>
          </cell>
        </row>
        <row r="165">
          <cell r="K165">
            <v>528</v>
          </cell>
          <cell r="L165" t="str">
            <v>فرح اشرف محمد محمد حسن</v>
          </cell>
          <cell r="N165" t="str">
            <v xml:space="preserve">وكيل تحصيل هاتفي </v>
          </cell>
        </row>
        <row r="166">
          <cell r="K166">
            <v>529</v>
          </cell>
          <cell r="L166" t="str">
            <v xml:space="preserve">احمد سيد محمد ابوالخير سليمان </v>
          </cell>
          <cell r="N166" t="str">
            <v>وكيل تحصيل</v>
          </cell>
        </row>
        <row r="167">
          <cell r="K167">
            <v>531</v>
          </cell>
          <cell r="L167" t="str">
            <v>ياسمين سيد عبدالله إبراهيم حسن نصار</v>
          </cell>
          <cell r="N167" t="str">
            <v xml:space="preserve">وكيل تحصيل هاتفي </v>
          </cell>
        </row>
        <row r="168">
          <cell r="K168">
            <v>532</v>
          </cell>
          <cell r="L168" t="str">
            <v>ندى نبيل محمد عبدالسلام</v>
          </cell>
          <cell r="N168" t="str">
            <v xml:space="preserve">وكيل تحصيل هاتفي </v>
          </cell>
        </row>
        <row r="169">
          <cell r="K169">
            <v>533</v>
          </cell>
          <cell r="L169" t="str">
            <v>امل زيدان فرج خيرى</v>
          </cell>
          <cell r="N169" t="str">
            <v xml:space="preserve">وكيل تحصيل هاتفي </v>
          </cell>
        </row>
        <row r="170">
          <cell r="K170">
            <v>535</v>
          </cell>
          <cell r="L170" t="str">
            <v>جورج صبحي جورجي ذكي سعد</v>
          </cell>
          <cell r="N170" t="str">
            <v>وكيل تحصيل</v>
          </cell>
        </row>
        <row r="171">
          <cell r="K171">
            <v>538</v>
          </cell>
          <cell r="L171" t="str">
            <v>بسمه عبدالمنعم إبراهيم السيد</v>
          </cell>
          <cell r="N171" t="str">
            <v xml:space="preserve">وكيل تحصيل هاتفي </v>
          </cell>
        </row>
        <row r="172">
          <cell r="K172">
            <v>281</v>
          </cell>
          <cell r="L172" t="str">
            <v>احمد عاطف محمد محمود</v>
          </cell>
          <cell r="N172" t="str">
            <v xml:space="preserve">وكيل تحصيل </v>
          </cell>
        </row>
        <row r="173">
          <cell r="K173">
            <v>266</v>
          </cell>
          <cell r="L173" t="str">
            <v>عبد الرحمن خالد عبد الفتاح محمد الرياش</v>
          </cell>
          <cell r="N173" t="str">
            <v xml:space="preserve">وكيل تحصيل </v>
          </cell>
        </row>
        <row r="174">
          <cell r="K174">
            <v>339</v>
          </cell>
          <cell r="L174" t="str">
            <v>كريم مجدى ربيع</v>
          </cell>
          <cell r="N174" t="str">
            <v>كبير مشرفى تحصيل</v>
          </cell>
        </row>
        <row r="175">
          <cell r="K175">
            <v>3</v>
          </cell>
          <cell r="L175" t="str">
            <v>عبد الرحمن منصور حسن أبو المجد</v>
          </cell>
          <cell r="N175" t="str">
            <v>متعدد</v>
          </cell>
        </row>
        <row r="176">
          <cell r="K176">
            <v>128</v>
          </cell>
          <cell r="L176" t="str">
            <v xml:space="preserve">محمد احمد مرسى خليل </v>
          </cell>
          <cell r="N176" t="str">
            <v>متعدد</v>
          </cell>
        </row>
        <row r="177">
          <cell r="K177">
            <v>141</v>
          </cell>
          <cell r="L177" t="str">
            <v>محمد جمال شحاتة محمد سالم</v>
          </cell>
          <cell r="N177" t="str">
            <v>متعدد</v>
          </cell>
        </row>
        <row r="178">
          <cell r="K178">
            <v>542</v>
          </cell>
          <cell r="L178" t="str">
            <v xml:space="preserve">ضحى توفيق فؤاد توفيق </v>
          </cell>
          <cell r="N178" t="str">
            <v>بنك كريدى اجريكول</v>
          </cell>
        </row>
        <row r="179">
          <cell r="K179">
            <v>543</v>
          </cell>
          <cell r="L179" t="str">
            <v xml:space="preserve">مياده صلاح خالد عبدالعليم </v>
          </cell>
          <cell r="N179" t="str">
            <v>الخدمات المعاونة</v>
          </cell>
        </row>
        <row r="180">
          <cell r="K180">
            <v>544</v>
          </cell>
          <cell r="L180" t="str">
            <v>احمد منصور سليم منصور سليم</v>
          </cell>
          <cell r="N180" t="str">
            <v>الشئون القانونية</v>
          </cell>
        </row>
        <row r="181">
          <cell r="K181">
            <v>545</v>
          </cell>
          <cell r="L181" t="str">
            <v>محمد الظافر محمد رفعت احمد إبراهيم</v>
          </cell>
          <cell r="N181" t="str">
            <v>الشئون القانونية</v>
          </cell>
        </row>
        <row r="182">
          <cell r="K182">
            <v>546</v>
          </cell>
          <cell r="L182" t="str">
            <v>احمد عادل محمد احمد</v>
          </cell>
          <cell r="N182" t="str">
            <v>الشئون القانونية</v>
          </cell>
        </row>
        <row r="183">
          <cell r="K183">
            <v>548</v>
          </cell>
          <cell r="L183" t="str">
            <v>احمد حسين رمضان محمد ربيع</v>
          </cell>
          <cell r="N183" t="str">
            <v>بنك كريدى اجريكول</v>
          </cell>
        </row>
        <row r="184">
          <cell r="K184">
            <v>549</v>
          </cell>
          <cell r="L184" t="str">
            <v>مازن احمد عبدالحليم عبدالحميد المرسى</v>
          </cell>
          <cell r="N184" t="str">
            <v>متعدد</v>
          </cell>
        </row>
        <row r="185">
          <cell r="K185">
            <v>550</v>
          </cell>
          <cell r="L185" t="str">
            <v>اريج خالد العوضى الدسوقى السايح</v>
          </cell>
          <cell r="N185" t="str">
            <v>شركة سهولة</v>
          </cell>
        </row>
        <row r="186">
          <cell r="K186">
            <v>551</v>
          </cell>
          <cell r="L186" t="str">
            <v xml:space="preserve">عاطف السيد شحاته السيد الشربينى </v>
          </cell>
          <cell r="N186" t="str">
            <v>بنك الإسكندرية</v>
          </cell>
        </row>
        <row r="187">
          <cell r="K187">
            <v>552</v>
          </cell>
          <cell r="L187" t="str">
            <v>صفيناز عبدالقادر علام عبدالقادر</v>
          </cell>
          <cell r="N187" t="str">
            <v>متعدد</v>
          </cell>
        </row>
        <row r="188">
          <cell r="K188">
            <v>553</v>
          </cell>
          <cell r="L188" t="str">
            <v xml:space="preserve">محمد احمد احمد محمد نصار </v>
          </cell>
          <cell r="N188" t="str">
            <v>بنك الإسكندرية</v>
          </cell>
        </row>
        <row r="189">
          <cell r="K189">
            <v>554</v>
          </cell>
          <cell r="L189" t="str">
            <v>نيره عادل محمد حسين حجازى</v>
          </cell>
          <cell r="N189" t="str">
            <v>شركة تنمية</v>
          </cell>
        </row>
        <row r="190">
          <cell r="K190">
            <v>555</v>
          </cell>
          <cell r="L190" t="str">
            <v>اكرم امين على الوصال</v>
          </cell>
          <cell r="N190" t="str">
            <v>بنك كريدى اجريكول</v>
          </cell>
        </row>
        <row r="191">
          <cell r="K191">
            <v>556</v>
          </cell>
          <cell r="L191" t="str">
            <v>روان محمود محمد إبراهيم يوسف</v>
          </cell>
          <cell r="N191" t="str">
            <v>شركة راية</v>
          </cell>
        </row>
        <row r="192">
          <cell r="K192">
            <v>557</v>
          </cell>
          <cell r="L192" t="str">
            <v>روان عماد الدين امين عبدالعزيز</v>
          </cell>
          <cell r="N192" t="str">
            <v>بنك الإسكندرية</v>
          </cell>
        </row>
        <row r="193">
          <cell r="K193">
            <v>558</v>
          </cell>
          <cell r="L193" t="str">
            <v xml:space="preserve">ايه محمد الفلاح عبدالقادر </v>
          </cell>
          <cell r="N193" t="str">
            <v>شركة فاليو</v>
          </cell>
        </row>
        <row r="194">
          <cell r="K194">
            <v>559</v>
          </cell>
          <cell r="L194" t="str">
            <v>كريمه خليل محمد خليل</v>
          </cell>
          <cell r="N194">
            <v>0</v>
          </cell>
        </row>
        <row r="195">
          <cell r="K195">
            <v>560</v>
          </cell>
          <cell r="L195" t="str">
            <v>محمد عبدالكريم عكاشه عكاشه يوسف</v>
          </cell>
          <cell r="N195">
            <v>0</v>
          </cell>
        </row>
        <row r="196">
          <cell r="K196">
            <v>561</v>
          </cell>
          <cell r="L196" t="str">
            <v>عمار ياسر عبدالمنعم طلبه</v>
          </cell>
          <cell r="N196" t="str">
            <v>شركة سهولة</v>
          </cell>
        </row>
        <row r="197">
          <cell r="K197">
            <v>562</v>
          </cell>
          <cell r="L197" t="str">
            <v>عبدالله جابر عبدالمجيد محمد الاكراشى</v>
          </cell>
        </row>
        <row r="198">
          <cell r="K198">
            <v>574</v>
          </cell>
          <cell r="L198" t="str">
            <v>عادل الادهم امين احمد</v>
          </cell>
          <cell r="N198" t="str">
            <v>بنك كريدى اجريكول</v>
          </cell>
        </row>
        <row r="199">
          <cell r="K199">
            <v>573</v>
          </cell>
          <cell r="L199" t="str">
            <v xml:space="preserve">كريم البكرى محمدى بكرى سويلم </v>
          </cell>
          <cell r="N199" t="str">
            <v>بنك كريدى اجريكول</v>
          </cell>
        </row>
        <row r="200">
          <cell r="K200">
            <v>593</v>
          </cell>
          <cell r="L200" t="str">
            <v xml:space="preserve">عبدالله إيهاب حسن رشدى على </v>
          </cell>
          <cell r="N200" t="str">
            <v>شركة سفن</v>
          </cell>
        </row>
        <row r="201">
          <cell r="K201">
            <v>577</v>
          </cell>
          <cell r="L201" t="str">
            <v>عزيزه عبدالكريم حسين غنيم</v>
          </cell>
          <cell r="N201" t="str">
            <v>الشئون القانونية</v>
          </cell>
        </row>
        <row r="202">
          <cell r="K202">
            <v>570</v>
          </cell>
          <cell r="L202" t="str">
            <v xml:space="preserve">مصطفى محمد عبدالرازق احمد </v>
          </cell>
          <cell r="N202" t="str">
            <v>بنك كريدى اجريكول</v>
          </cell>
        </row>
        <row r="203">
          <cell r="K203">
            <v>582</v>
          </cell>
          <cell r="L203" t="str">
            <v xml:space="preserve">عبدالرحمن سيد عبد الفتاح أبو الفتوح </v>
          </cell>
          <cell r="N203" t="str">
            <v>الشئون القانونية</v>
          </cell>
        </row>
        <row r="204">
          <cell r="K204">
            <v>598</v>
          </cell>
          <cell r="L204" t="str">
            <v>على مصطفى كامل حسين</v>
          </cell>
          <cell r="N204" t="str">
            <v>بنك الإسكندرية</v>
          </cell>
        </row>
        <row r="205">
          <cell r="K205">
            <v>604</v>
          </cell>
          <cell r="L205" t="str">
            <v>عمر صفوت صبرى أبو الفضل</v>
          </cell>
          <cell r="N205" t="str">
            <v>الشئون القانونية</v>
          </cell>
        </row>
        <row r="206">
          <cell r="K206">
            <v>575</v>
          </cell>
          <cell r="L206" t="str">
            <v>ولاء محمد حمدى</v>
          </cell>
          <cell r="N206" t="str">
            <v>شركة فاليو</v>
          </cell>
        </row>
        <row r="207">
          <cell r="K207">
            <v>612</v>
          </cell>
          <cell r="L207" t="str">
            <v>احمد محمد حسنى</v>
          </cell>
          <cell r="N207" t="str">
            <v>الشئون القانونية</v>
          </cell>
        </row>
        <row r="208">
          <cell r="K208">
            <v>614</v>
          </cell>
          <cell r="L208" t="str">
            <v>عبدالله رضا بحيرى</v>
          </cell>
        </row>
        <row r="209">
          <cell r="K209">
            <v>571</v>
          </cell>
          <cell r="L209" t="str">
            <v>سلمى عادل محمد احمد</v>
          </cell>
          <cell r="N209" t="str">
            <v>الشئون القانونية</v>
          </cell>
        </row>
        <row r="210">
          <cell r="K210">
            <v>608</v>
          </cell>
          <cell r="L210" t="str">
            <v>احمد محمد نجيب</v>
          </cell>
          <cell r="N210" t="str">
            <v>وكيل تحصيل</v>
          </cell>
        </row>
        <row r="211">
          <cell r="K211">
            <v>611</v>
          </cell>
          <cell r="L211" t="str">
            <v>حنان عادل محمد كمال الدين</v>
          </cell>
          <cell r="N211" t="str">
            <v>خدمات معاونة</v>
          </cell>
        </row>
        <row r="212">
          <cell r="K212">
            <v>603</v>
          </cell>
          <cell r="L212" t="str">
            <v>السيد محمد السيد بدوى حلابه</v>
          </cell>
          <cell r="N212" t="str">
            <v>مشرف تحصيل</v>
          </cell>
        </row>
        <row r="213">
          <cell r="K213">
            <v>242</v>
          </cell>
          <cell r="L213" t="str">
            <v>محمد احمد محمد</v>
          </cell>
          <cell r="N213" t="str">
            <v>مسئول ادارى</v>
          </cell>
        </row>
        <row r="214">
          <cell r="K214">
            <v>627</v>
          </cell>
          <cell r="L214" t="str">
            <v>اشرف ايمن معوض عبد السلام</v>
          </cell>
          <cell r="N214" t="str">
            <v>وكيل تحصيل</v>
          </cell>
        </row>
        <row r="215">
          <cell r="K215">
            <v>631</v>
          </cell>
          <cell r="L215" t="str">
            <v>محمد شحته مسعد احمد صقر</v>
          </cell>
          <cell r="N215" t="str">
            <v>الشئون القانونية</v>
          </cell>
        </row>
        <row r="216">
          <cell r="K216">
            <v>616</v>
          </cell>
          <cell r="L216" t="str">
            <v>عمر ناصر سيد محمد مصطفى</v>
          </cell>
          <cell r="N216" t="str">
            <v>وكيل تحصيل</v>
          </cell>
        </row>
        <row r="217">
          <cell r="K217">
            <v>620</v>
          </cell>
          <cell r="L217" t="str">
            <v>ناديه اشرف محمد إبراهيم</v>
          </cell>
          <cell r="N217" t="str">
            <v>وكيل تحصيل هاتفى</v>
          </cell>
        </row>
        <row r="218">
          <cell r="K218">
            <v>609</v>
          </cell>
          <cell r="L218" t="str">
            <v xml:space="preserve">احمد عبدالرحمن محمد درويش </v>
          </cell>
          <cell r="N218" t="str">
            <v>رئيس فريق عمل</v>
          </cell>
        </row>
        <row r="219">
          <cell r="K219">
            <v>655</v>
          </cell>
          <cell r="L219" t="str">
            <v>احمد عبدالعزيز إبراهيم عبدالعزيز</v>
          </cell>
          <cell r="N219" t="str">
            <v>وكيل تحصيل</v>
          </cell>
        </row>
        <row r="220">
          <cell r="K220">
            <v>657</v>
          </cell>
          <cell r="L220" t="str">
            <v>محمود فوزى بخيت</v>
          </cell>
          <cell r="N220" t="str">
            <v>مشرف تحصيل</v>
          </cell>
        </row>
        <row r="221">
          <cell r="K221">
            <v>675</v>
          </cell>
          <cell r="L221" t="str">
            <v>كريم خالد محمد محمود</v>
          </cell>
          <cell r="N221" t="str">
            <v>الشئون القانونية</v>
          </cell>
        </row>
        <row r="222">
          <cell r="K222">
            <v>674</v>
          </cell>
          <cell r="L222" t="str">
            <v xml:space="preserve">احمد مختار عاشور على رمضان </v>
          </cell>
          <cell r="N222" t="str">
            <v>الشئون القانونية</v>
          </cell>
        </row>
        <row r="223">
          <cell r="K223">
            <v>701</v>
          </cell>
          <cell r="L223" t="str">
            <v>احمد سيد عبد المنعم</v>
          </cell>
          <cell r="N223" t="str">
            <v>كبير مشرفى تحصيل</v>
          </cell>
        </row>
        <row r="224">
          <cell r="K224">
            <v>705</v>
          </cell>
          <cell r="L224" t="str">
            <v>محمود مصطفى محمود</v>
          </cell>
        </row>
        <row r="225">
          <cell r="K225">
            <v>695</v>
          </cell>
          <cell r="L225" t="str">
            <v>عمر عبد الرحيم إبراهيم</v>
          </cell>
        </row>
        <row r="226">
          <cell r="K226">
            <v>676</v>
          </cell>
          <cell r="L226" t="str">
            <v>يوسف محمد عجيب عبد المعبود</v>
          </cell>
          <cell r="N226" t="str">
            <v>وكيل تحصيل</v>
          </cell>
        </row>
        <row r="227">
          <cell r="K227">
            <v>708</v>
          </cell>
          <cell r="L227" t="str">
            <v xml:space="preserve">يوسف صلاح منصور </v>
          </cell>
          <cell r="N227" t="str">
            <v>وكيل تحصيل</v>
          </cell>
        </row>
        <row r="228">
          <cell r="K228">
            <v>725</v>
          </cell>
          <cell r="L228" t="str">
            <v>احمد توفيق عبد الهادى</v>
          </cell>
          <cell r="N228" t="str">
            <v>وكيل تحصيل</v>
          </cell>
        </row>
        <row r="229">
          <cell r="K229">
            <v>722</v>
          </cell>
          <cell r="L229" t="str">
            <v xml:space="preserve">شهاب الدين مدحت </v>
          </cell>
          <cell r="N229" t="str">
            <v>مشرف تحصيل</v>
          </cell>
        </row>
        <row r="230">
          <cell r="K230">
            <v>731</v>
          </cell>
          <cell r="L230" t="str">
            <v>يوسف تامر محمد</v>
          </cell>
          <cell r="N230" t="str">
            <v>وكيل تحصيل</v>
          </cell>
        </row>
        <row r="231">
          <cell r="K231">
            <v>710</v>
          </cell>
          <cell r="L231" t="str">
            <v>عبد الله محمد عزت</v>
          </cell>
          <cell r="N231" t="str">
            <v>وكيل تحصيل</v>
          </cell>
        </row>
        <row r="232">
          <cell r="K232">
            <v>712</v>
          </cell>
          <cell r="L232" t="str">
            <v>رقية محمد عبد الغفار</v>
          </cell>
          <cell r="N232" t="str">
            <v>منسق بيانات</v>
          </cell>
        </row>
        <row r="233">
          <cell r="K233">
            <v>707</v>
          </cell>
          <cell r="L233" t="str">
            <v>شهد احمد عبد الله</v>
          </cell>
          <cell r="N233" t="str">
            <v>وكيل تحصيل هاتفى</v>
          </cell>
        </row>
        <row r="234">
          <cell r="K234">
            <v>687</v>
          </cell>
          <cell r="L234" t="str">
            <v>نادية محمد احمد محمد</v>
          </cell>
          <cell r="N234" t="str">
            <v>وكيل تحصيل هاتفى</v>
          </cell>
        </row>
        <row r="235">
          <cell r="K235">
            <v>738</v>
          </cell>
          <cell r="L235" t="str">
            <v>محمد حسن تقى دشناوى</v>
          </cell>
          <cell r="N235" t="str">
            <v>الشئون القانونية</v>
          </cell>
        </row>
        <row r="236">
          <cell r="K236">
            <v>648</v>
          </cell>
          <cell r="L236" t="str">
            <v>محمد راضى رمضان</v>
          </cell>
          <cell r="N236" t="str">
            <v>المالية</v>
          </cell>
        </row>
        <row r="237">
          <cell r="K237">
            <v>583</v>
          </cell>
          <cell r="L237" t="str">
            <v>شيماء حسين احمد حسن جابر</v>
          </cell>
          <cell r="N237" t="str">
            <v>وكيل تحصيل هاتفى</v>
          </cell>
        </row>
        <row r="238">
          <cell r="K238">
            <v>743</v>
          </cell>
          <cell r="L238" t="str">
            <v>سحر سيد إبراهيم</v>
          </cell>
          <cell r="N238" t="str">
            <v>خدمات معاونة</v>
          </cell>
        </row>
        <row r="239">
          <cell r="K239">
            <v>747</v>
          </cell>
          <cell r="L239" t="str">
            <v>هاله محمد موسى</v>
          </cell>
          <cell r="N239" t="str">
            <v>خدمات معاونة</v>
          </cell>
        </row>
        <row r="240">
          <cell r="K240">
            <v>745</v>
          </cell>
          <cell r="L240" t="str">
            <v>محمد اشرف محمد</v>
          </cell>
          <cell r="N240" t="str">
            <v>مشرف تحصيل</v>
          </cell>
        </row>
        <row r="241">
          <cell r="K241">
            <v>735</v>
          </cell>
          <cell r="L241" t="str">
            <v>ادهم خالد محمد</v>
          </cell>
          <cell r="N241" t="str">
            <v>وكيل تحصيل</v>
          </cell>
        </row>
        <row r="242">
          <cell r="K242">
            <v>706</v>
          </cell>
          <cell r="L242" t="str">
            <v>ناريمان محمد فريد عبد المقصود</v>
          </cell>
          <cell r="N242" t="str">
            <v>وكيل تحصيل هاتفى</v>
          </cell>
        </row>
        <row r="243">
          <cell r="K243">
            <v>754</v>
          </cell>
          <cell r="L243" t="str">
            <v>طارق رضا إبراهيم</v>
          </cell>
          <cell r="N243" t="str">
            <v>مشرف تحصيل</v>
          </cell>
        </row>
        <row r="244">
          <cell r="K244">
            <v>621</v>
          </cell>
          <cell r="L244" t="str">
            <v>بسنت نصر سالم محمد سالم</v>
          </cell>
          <cell r="N244" t="str">
            <v>وكيل تحصيل هاتفى</v>
          </cell>
        </row>
        <row r="245">
          <cell r="K245">
            <v>744</v>
          </cell>
          <cell r="L245" t="str">
            <v>الهام حسن عبدالمولي</v>
          </cell>
          <cell r="N245" t="str">
            <v>الشئون القانونية</v>
          </cell>
        </row>
        <row r="246">
          <cell r="K246">
            <v>741</v>
          </cell>
          <cell r="L246" t="str">
            <v>شهد احمد حسني</v>
          </cell>
          <cell r="N246" t="str">
            <v>منسق بيانات</v>
          </cell>
        </row>
        <row r="247">
          <cell r="K247">
            <v>758</v>
          </cell>
          <cell r="L247" t="str">
            <v xml:space="preserve">حسام ناصر حسين ناصر </v>
          </cell>
          <cell r="N247" t="str">
            <v>وكيل تحصيل</v>
          </cell>
        </row>
        <row r="248">
          <cell r="K248">
            <v>759</v>
          </cell>
          <cell r="L248" t="str">
            <v>احمد خالد زغلول إبراهيم</v>
          </cell>
          <cell r="N248" t="str">
            <v>محاسب</v>
          </cell>
        </row>
        <row r="249">
          <cell r="K249">
            <v>774</v>
          </cell>
          <cell r="L249" t="str">
            <v>احمد سعيد محمود</v>
          </cell>
          <cell r="N249" t="str">
            <v>وكيل تحصيل</v>
          </cell>
        </row>
        <row r="250">
          <cell r="K250">
            <v>723</v>
          </cell>
          <cell r="L250" t="str">
            <v>هاجر عبدالنبي علي</v>
          </cell>
          <cell r="N250" t="str">
            <v>وكيل تحصيل هاتفى</v>
          </cell>
        </row>
        <row r="251">
          <cell r="K251">
            <v>734</v>
          </cell>
          <cell r="L251" t="str">
            <v xml:space="preserve">شيروت محمود محمد توفيق </v>
          </cell>
          <cell r="N251" t="str">
            <v>وكيل تحصيل هاتفى</v>
          </cell>
        </row>
        <row r="252">
          <cell r="K252">
            <v>757</v>
          </cell>
          <cell r="L252" t="str">
            <v xml:space="preserve">ميام احمد مصطفي درويش </v>
          </cell>
          <cell r="N252" t="str">
            <v>وكيل تحصيل هاتفى</v>
          </cell>
        </row>
        <row r="253">
          <cell r="K253">
            <v>763</v>
          </cell>
          <cell r="L253" t="str">
            <v xml:space="preserve">سلمي يونس محمد </v>
          </cell>
          <cell r="N253" t="str">
            <v>وكيل تحصيل هاتفى</v>
          </cell>
        </row>
        <row r="254">
          <cell r="K254">
            <v>764</v>
          </cell>
          <cell r="L254" t="str">
            <v xml:space="preserve">مي نصر  سعد مرعي </v>
          </cell>
          <cell r="N254" t="str">
            <v>وكيل تحصيل هاتفى</v>
          </cell>
        </row>
        <row r="255">
          <cell r="K255">
            <v>765</v>
          </cell>
          <cell r="L255" t="str">
            <v>ابرام نزيه يوسف منصور</v>
          </cell>
          <cell r="N255" t="str">
            <v>وكيل تحصيل</v>
          </cell>
        </row>
        <row r="256">
          <cell r="K256">
            <v>771</v>
          </cell>
          <cell r="L256" t="str">
            <v xml:space="preserve">فرح محمود محمد علي </v>
          </cell>
          <cell r="N256" t="str">
            <v>وكيل تحصيل هاتفى</v>
          </cell>
        </row>
        <row r="257">
          <cell r="K257">
            <v>772</v>
          </cell>
          <cell r="L257" t="str">
            <v xml:space="preserve">مريم جابر إسماعيل </v>
          </cell>
          <cell r="N257" t="str">
            <v>وكيل تحصيل هاتفى</v>
          </cell>
        </row>
        <row r="258">
          <cell r="K258">
            <v>773</v>
          </cell>
          <cell r="L258" t="str">
            <v xml:space="preserve">احمد محمد احمد عثمان </v>
          </cell>
          <cell r="N258" t="str">
            <v>وكيل تحصيل</v>
          </cell>
        </row>
        <row r="259">
          <cell r="K259">
            <v>776</v>
          </cell>
          <cell r="L259" t="str">
            <v xml:space="preserve">بسمه محمد محمد عبدالمنعم </v>
          </cell>
          <cell r="N259" t="str">
            <v>وكيل تحصيل هاتفى</v>
          </cell>
        </row>
        <row r="260">
          <cell r="K260">
            <v>777</v>
          </cell>
          <cell r="L260" t="str">
            <v xml:space="preserve">منار عصام إبراهيم الدسوقي </v>
          </cell>
          <cell r="N260" t="str">
            <v>وكيل تحصيل هاتفى</v>
          </cell>
        </row>
        <row r="261">
          <cell r="K261">
            <v>778</v>
          </cell>
          <cell r="L261" t="str">
            <v xml:space="preserve">بسمه إبراهيم عبد العظيم علي </v>
          </cell>
          <cell r="N261" t="str">
            <v>وكيل تحصيل هاتفى</v>
          </cell>
        </row>
        <row r="262">
          <cell r="K262">
            <v>779</v>
          </cell>
          <cell r="L262" t="str">
            <v>هاجر زكريا بكري السايح</v>
          </cell>
          <cell r="N262" t="str">
            <v>وكيل تحصيل هاتفى</v>
          </cell>
        </row>
        <row r="263">
          <cell r="K263">
            <v>780</v>
          </cell>
          <cell r="L263" t="str">
            <v xml:space="preserve">عبد الرحمن احمد ربيع عبدالله </v>
          </cell>
          <cell r="N263" t="str">
            <v>وكيل تحصيل</v>
          </cell>
        </row>
        <row r="264">
          <cell r="K264">
            <v>781</v>
          </cell>
          <cell r="L264" t="str">
            <v xml:space="preserve">تسنيم يونس محمد يونس </v>
          </cell>
          <cell r="N264" t="str">
            <v>وكيل تحصيل هاتفى</v>
          </cell>
        </row>
        <row r="265">
          <cell r="K265">
            <v>1000000</v>
          </cell>
          <cell r="L265" t="str">
            <v>زينب عبد الكريم عبد العليم الحفناوى</v>
          </cell>
          <cell r="N265" t="str">
            <v>وكيل تحصيل هاتفى</v>
          </cell>
        </row>
        <row r="266">
          <cell r="K266">
            <v>756</v>
          </cell>
          <cell r="L266" t="str">
            <v xml:space="preserve">عبدالله هاني عبد المنعم عيد </v>
          </cell>
          <cell r="N266" t="str">
            <v>وكيل تحصيل</v>
          </cell>
        </row>
        <row r="267">
          <cell r="K267">
            <v>642</v>
          </cell>
          <cell r="L267" t="str">
            <v>سلمى محمد محمد السيد</v>
          </cell>
          <cell r="N267" t="str">
            <v>وكيل تحصيل هاتفى</v>
          </cell>
        </row>
        <row r="268">
          <cell r="K268">
            <v>749</v>
          </cell>
          <cell r="L268" t="str">
            <v>احمد محمد مصطفى عبد الغفار</v>
          </cell>
          <cell r="N268" t="str">
            <v>وكيل تحصيل</v>
          </cell>
        </row>
        <row r="269">
          <cell r="K269">
            <v>784</v>
          </cell>
          <cell r="L269" t="str">
            <v>مني هنداوي جاد الكريم</v>
          </cell>
          <cell r="N269" t="str">
            <v>وكيل تحصيل هاتفى</v>
          </cell>
        </row>
        <row r="270">
          <cell r="K270">
            <v>785</v>
          </cell>
          <cell r="L270" t="str">
            <v>محمد محمد محمود الديب</v>
          </cell>
          <cell r="N270" t="str">
            <v>وكيل تحصيل</v>
          </cell>
        </row>
        <row r="271">
          <cell r="K271">
            <v>786</v>
          </cell>
          <cell r="L271" t="str">
            <v xml:space="preserve">محمد اسامة لطفى الشوربجي احمد </v>
          </cell>
          <cell r="N271" t="str">
            <v>وكيل تحصيل</v>
          </cell>
        </row>
        <row r="272">
          <cell r="K272">
            <v>787</v>
          </cell>
          <cell r="L272" t="str">
            <v xml:space="preserve">هبه عبدالبديع محمود الصاوي </v>
          </cell>
          <cell r="N272" t="str">
            <v>وكيل تحصيل هاتفى</v>
          </cell>
        </row>
        <row r="273">
          <cell r="K273">
            <v>788</v>
          </cell>
          <cell r="L273" t="str">
            <v xml:space="preserve">محمد رضا السيد جاد </v>
          </cell>
          <cell r="N273" t="str">
            <v>وكيل تحصيل</v>
          </cell>
        </row>
        <row r="274">
          <cell r="K274">
            <v>789</v>
          </cell>
          <cell r="L274" t="str">
            <v xml:space="preserve">فاطمه سيد محمد البعرور </v>
          </cell>
          <cell r="N274" t="str">
            <v>خدمات معاونة</v>
          </cell>
        </row>
        <row r="275">
          <cell r="K275">
            <v>790</v>
          </cell>
          <cell r="L275" t="str">
            <v xml:space="preserve">سلمي إبراهيم شعبان محمد </v>
          </cell>
          <cell r="N275" t="str">
            <v>وكيل تحصيل هاتفى</v>
          </cell>
        </row>
        <row r="276">
          <cell r="K276">
            <v>791</v>
          </cell>
          <cell r="L276" t="str">
            <v>محمد خالد احمد</v>
          </cell>
          <cell r="N276" t="str">
            <v>وكيل تحصيل</v>
          </cell>
        </row>
        <row r="277">
          <cell r="K277">
            <v>792</v>
          </cell>
          <cell r="L277" t="str">
            <v>هشام كمال عبدالرازق</v>
          </cell>
          <cell r="N277" t="str">
            <v>وكيل تحصيل</v>
          </cell>
        </row>
        <row r="278">
          <cell r="K278">
            <v>793</v>
          </cell>
          <cell r="L278" t="str">
            <v>عبدالله عيدالسيد</v>
          </cell>
          <cell r="N278" t="str">
            <v>وكيل تحصيل</v>
          </cell>
        </row>
        <row r="279">
          <cell r="K279">
            <v>794</v>
          </cell>
          <cell r="L279" t="str">
            <v>محمد اشرف مصطفى</v>
          </cell>
          <cell r="N279" t="str">
            <v>وكيل تحصيل</v>
          </cell>
        </row>
        <row r="280">
          <cell r="K280">
            <v>795</v>
          </cell>
          <cell r="L280" t="str">
            <v xml:space="preserve">داليا محمود </v>
          </cell>
          <cell r="N280" t="str">
            <v>وكيل تحصيل هاتفى</v>
          </cell>
        </row>
        <row r="281">
          <cell r="K281">
            <v>796</v>
          </cell>
          <cell r="L281" t="str">
            <v>روان  مجدي محمد</v>
          </cell>
          <cell r="N281" t="str">
            <v xml:space="preserve">منسق بيانات </v>
          </cell>
        </row>
        <row r="282">
          <cell r="K282">
            <v>797</v>
          </cell>
          <cell r="L282" t="str">
            <v>مدين السيد علوانى</v>
          </cell>
        </row>
        <row r="283">
          <cell r="K283">
            <v>581</v>
          </cell>
          <cell r="L283" t="str">
            <v xml:space="preserve">جانا محمد محيى الطنطاوى محمد سعفان </v>
          </cell>
          <cell r="N283" t="str">
            <v>وكيل تحصيل هاتفى</v>
          </cell>
        </row>
        <row r="284">
          <cell r="K284">
            <v>588</v>
          </cell>
          <cell r="L284" t="str">
            <v>ياسمين محمد جميل محمود</v>
          </cell>
          <cell r="N284" t="str">
            <v xml:space="preserve">منسق بيانات </v>
          </cell>
        </row>
        <row r="285">
          <cell r="K285">
            <v>592</v>
          </cell>
          <cell r="L285" t="str">
            <v>اسراء حسام الدين حمدى احمد</v>
          </cell>
          <cell r="N285" t="str">
            <v xml:space="preserve">منسق بيانات </v>
          </cell>
        </row>
        <row r="286">
          <cell r="K286">
            <v>594</v>
          </cell>
          <cell r="L286" t="str">
            <v>امنيه وليد احمد توفيق</v>
          </cell>
          <cell r="N286" t="str">
            <v>وكيل تحصيل هاتفى</v>
          </cell>
        </row>
        <row r="287">
          <cell r="K287">
            <v>599</v>
          </cell>
          <cell r="L287" t="str">
            <v>رشا إبراهيم حافظ محمود نيل</v>
          </cell>
          <cell r="N287" t="str">
            <v>وكيل تحصيل هاتفى</v>
          </cell>
        </row>
        <row r="288">
          <cell r="K288">
            <v>629</v>
          </cell>
          <cell r="L288" t="str">
            <v>فاتن عبده مصطفى احمد المنشاوى</v>
          </cell>
          <cell r="N288" t="str">
            <v>وكيل تحصيل هاتفى</v>
          </cell>
        </row>
        <row r="289">
          <cell r="K289">
            <v>640</v>
          </cell>
          <cell r="L289" t="str">
            <v>سامح السعيد عارف إبراهيم ياسين</v>
          </cell>
          <cell r="N289" t="str">
            <v>رئيس فريق عمل</v>
          </cell>
        </row>
        <row r="290">
          <cell r="K290">
            <v>641</v>
          </cell>
          <cell r="L290" t="str">
            <v>مى إبراهيم عبدالشافى السعداوى</v>
          </cell>
          <cell r="N290" t="str">
            <v>وكيل تحصيل هاتفى</v>
          </cell>
        </row>
        <row r="291">
          <cell r="K291">
            <v>644</v>
          </cell>
          <cell r="L291" t="str">
            <v>اسراء خالد عبدالرؤوف مشرف</v>
          </cell>
          <cell r="N291" t="str">
            <v xml:space="preserve">منسق بيانات </v>
          </cell>
        </row>
        <row r="292">
          <cell r="K292">
            <v>645</v>
          </cell>
          <cell r="L292" t="str">
            <v>سلمى خالد عبدالرؤوف مشرف</v>
          </cell>
          <cell r="N292" t="str">
            <v xml:space="preserve">منسق بيانات </v>
          </cell>
        </row>
        <row r="293">
          <cell r="K293">
            <v>659</v>
          </cell>
          <cell r="L293" t="str">
            <v>هناء السيد السيد رضوان</v>
          </cell>
          <cell r="N293" t="str">
            <v>خدمات معاونة</v>
          </cell>
        </row>
        <row r="294">
          <cell r="K294">
            <v>668</v>
          </cell>
          <cell r="L294" t="str">
            <v>سماء محمد المتولى عبده المتولى ملح</v>
          </cell>
          <cell r="N294" t="str">
            <v>وكيل تحصيل هاتفى</v>
          </cell>
        </row>
        <row r="295">
          <cell r="K295">
            <v>673</v>
          </cell>
          <cell r="L295" t="str">
            <v>الاء محمد المتولى عبده المتولى ملح</v>
          </cell>
          <cell r="N295" t="str">
            <v>وكيل تحصيل هاتفى</v>
          </cell>
        </row>
        <row r="296">
          <cell r="K296">
            <v>688</v>
          </cell>
          <cell r="L296" t="str">
            <v>منى محمد عبدالحميد على حسن</v>
          </cell>
          <cell r="N296" t="str">
            <v>وكيل تحصيل هاتفى</v>
          </cell>
        </row>
        <row r="297">
          <cell r="K297">
            <v>702</v>
          </cell>
          <cell r="L297" t="str">
            <v>فاطمة خالد عبدالمرضى شهاب الدين</v>
          </cell>
          <cell r="N297" t="str">
            <v>وكيل تحصيل هاتفى</v>
          </cell>
        </row>
        <row r="298">
          <cell r="K298">
            <v>703</v>
          </cell>
          <cell r="L298" t="str">
            <v>مى ناجى حسن أنور على</v>
          </cell>
          <cell r="N298" t="str">
            <v>وكيل تحصيل هاتفى</v>
          </cell>
        </row>
        <row r="299">
          <cell r="K299">
            <v>721</v>
          </cell>
          <cell r="L299" t="str">
            <v xml:space="preserve">محمد عبدالعزيز خالد </v>
          </cell>
          <cell r="N299" t="str">
            <v>وكيل تحصيل</v>
          </cell>
        </row>
        <row r="300">
          <cell r="K300">
            <v>724</v>
          </cell>
          <cell r="L300" t="str">
            <v xml:space="preserve">محمد حسن محمود  حسن </v>
          </cell>
          <cell r="N300" t="str">
            <v>كبير مشرفى تحصيل</v>
          </cell>
        </row>
        <row r="301">
          <cell r="K301">
            <v>729</v>
          </cell>
          <cell r="L301" t="str">
            <v xml:space="preserve">رانيا أنور احمد  فرج  </v>
          </cell>
          <cell r="N301" t="str">
            <v>وكيل تحصيل هاتفى</v>
          </cell>
        </row>
        <row r="302">
          <cell r="K302">
            <v>732</v>
          </cell>
          <cell r="L302" t="str">
            <v xml:space="preserve">ياسمين محمد رشاد الشحات </v>
          </cell>
          <cell r="N302" t="str">
            <v>وكيل تحصيل هاتفى</v>
          </cell>
        </row>
        <row r="303">
          <cell r="K303">
            <v>739</v>
          </cell>
          <cell r="L303" t="str">
            <v xml:space="preserve">وليد محمد عبدالرووف محمد </v>
          </cell>
          <cell r="N303" t="str">
            <v>وكيل تحصيل</v>
          </cell>
        </row>
        <row r="304">
          <cell r="K304">
            <v>742</v>
          </cell>
          <cell r="L304" t="str">
            <v xml:space="preserve">جمال محمد محمد أبو النصر </v>
          </cell>
          <cell r="N304" t="str">
            <v>وكيل تحصيل</v>
          </cell>
        </row>
        <row r="305">
          <cell r="K305">
            <v>746</v>
          </cell>
          <cell r="L305" t="str">
            <v>أسماء طه عبد العزيز عبد النبى عثمان</v>
          </cell>
          <cell r="N305" t="str">
            <v>وكيل تحصيل هاتفى</v>
          </cell>
        </row>
        <row r="306">
          <cell r="K306">
            <v>748</v>
          </cell>
          <cell r="L306" t="str">
            <v>احمد شريف عبد المحسن عبد الهادى عمران</v>
          </cell>
          <cell r="N306" t="str">
            <v>مشرف تحصيل</v>
          </cell>
        </row>
        <row r="307">
          <cell r="K307">
            <v>753</v>
          </cell>
          <cell r="L307" t="str">
            <v xml:space="preserve">سارة يوسف  السيد علي </v>
          </cell>
          <cell r="N307" t="str">
            <v>وكيل تحصيل هاتفى</v>
          </cell>
        </row>
        <row r="308">
          <cell r="K308">
            <v>755</v>
          </cell>
          <cell r="L308" t="str">
            <v xml:space="preserve">ايه عبد الناصر عبدالعظيم متولي </v>
          </cell>
          <cell r="N308" t="str">
            <v xml:space="preserve">منسق بيانات </v>
          </cell>
        </row>
        <row r="309">
          <cell r="K309">
            <v>760</v>
          </cell>
          <cell r="L309" t="str">
            <v xml:space="preserve">عبدالرحمن إسماعيل محمد </v>
          </cell>
          <cell r="N309" t="str">
            <v>وكيل تحصيل</v>
          </cell>
        </row>
        <row r="310">
          <cell r="K310">
            <v>761</v>
          </cell>
          <cell r="L310" t="str">
            <v xml:space="preserve">روان عثمان محمد </v>
          </cell>
          <cell r="N310" t="str">
            <v>وكيل تحصيل هاتفى</v>
          </cell>
        </row>
        <row r="311">
          <cell r="K311">
            <v>766</v>
          </cell>
          <cell r="L311" t="str">
            <v xml:space="preserve">روماني لطفي أبو الغيط إبراهيم </v>
          </cell>
          <cell r="N311" t="str">
            <v>وكيل تحصيل</v>
          </cell>
        </row>
        <row r="312">
          <cell r="K312">
            <v>767</v>
          </cell>
          <cell r="L312" t="str">
            <v xml:space="preserve">محمد احمد العراقي </v>
          </cell>
          <cell r="N312" t="str">
            <v>رئيس فريق عمل</v>
          </cell>
        </row>
        <row r="313">
          <cell r="K313">
            <v>782</v>
          </cell>
          <cell r="L313" t="str">
            <v xml:space="preserve">احمد إبراهيم عبدالله حموده </v>
          </cell>
          <cell r="N313" t="str">
            <v>وكيل تحصيل</v>
          </cell>
        </row>
        <row r="314">
          <cell r="K314">
            <v>783</v>
          </cell>
          <cell r="L314" t="str">
            <v>محمد احمد النبوي</v>
          </cell>
          <cell r="N314" t="str">
            <v>مشرف تحصيل</v>
          </cell>
        </row>
        <row r="315">
          <cell r="K315">
            <v>1000001</v>
          </cell>
          <cell r="L315" t="str">
            <v>امل صبرى</v>
          </cell>
          <cell r="N315" t="str">
            <v>وكيل تحصيل هاتفى</v>
          </cell>
        </row>
        <row r="316">
          <cell r="K316">
            <v>696</v>
          </cell>
          <cell r="L316" t="str">
            <v>فاطمة فرج سعد</v>
          </cell>
          <cell r="N316" t="str">
            <v>وكيل تحصيل هاتفى</v>
          </cell>
        </row>
        <row r="317">
          <cell r="K317">
            <v>697</v>
          </cell>
          <cell r="L317" t="str">
            <v>نانسى مصطفى كامل</v>
          </cell>
          <cell r="N317" t="str">
            <v>وكيل تحصيل هاتفى</v>
          </cell>
        </row>
        <row r="318">
          <cell r="K318">
            <v>802</v>
          </cell>
          <cell r="L318" t="str">
            <v>كيرلس نبيل نظير</v>
          </cell>
          <cell r="N318" t="str">
            <v>وكيل تحصيل هاتفى</v>
          </cell>
        </row>
        <row r="319">
          <cell r="K319">
            <v>6666</v>
          </cell>
          <cell r="L319" t="str">
            <v>محمد ياسر</v>
          </cell>
          <cell r="N319" t="str">
            <v>وكيل تحصيل</v>
          </cell>
        </row>
        <row r="320">
          <cell r="K320">
            <v>809</v>
          </cell>
          <cell r="L320" t="str">
            <v>كمال سيد كمال سيد</v>
          </cell>
          <cell r="N320" t="str">
            <v>وكيل تحصيل</v>
          </cell>
        </row>
        <row r="321">
          <cell r="K321">
            <v>812</v>
          </cell>
          <cell r="L321" t="str">
            <v>كريم يحي امين</v>
          </cell>
          <cell r="N321" t="str">
            <v>الشئون القانونية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قاعدة بيانات  "/>
      <sheetName val="Report "/>
      <sheetName val="الخزينه "/>
      <sheetName val="Sheet1"/>
      <sheetName val="خزينه السلف "/>
      <sheetName val="العهد "/>
      <sheetName val="فورى"/>
      <sheetName val="فوري "/>
      <sheetName val="بنك مصر  "/>
      <sheetName val="بنك كريدي "/>
      <sheetName val="الايرادات "/>
      <sheetName val="راس المال "/>
      <sheetName val="شيكات  "/>
    </sheetNames>
    <sheetDataSet>
      <sheetData sheetId="0">
        <row r="2">
          <cell r="J2" t="str">
            <v>الكود</v>
          </cell>
          <cell r="K2" t="str">
            <v>اسم الموظف</v>
          </cell>
          <cell r="L2" t="str">
            <v xml:space="preserve">رقم البطاقه </v>
          </cell>
          <cell r="M2" t="str">
            <v xml:space="preserve">الوظيفه </v>
          </cell>
          <cell r="N2" t="str">
            <v xml:space="preserve">الاداره </v>
          </cell>
          <cell r="O2" t="str">
            <v xml:space="preserve">القسم </v>
          </cell>
          <cell r="P2" t="str">
            <v xml:space="preserve">الفرع </v>
          </cell>
        </row>
        <row r="3">
          <cell r="J3">
            <v>1</v>
          </cell>
          <cell r="K3" t="str">
            <v>احمد شريف سليمان امين سليمان</v>
          </cell>
          <cell r="L3">
            <v>29903040101135</v>
          </cell>
          <cell r="M3" t="str">
            <v>مشرف تحصيل</v>
          </cell>
          <cell r="N3" t="str">
            <v>التحصيل</v>
          </cell>
          <cell r="O3" t="str">
            <v>راية</v>
          </cell>
          <cell r="P3" t="str">
            <v>القاهرة</v>
          </cell>
        </row>
        <row r="4">
          <cell r="J4">
            <v>2</v>
          </cell>
          <cell r="K4" t="str">
            <v>علاء محمد عوض جاد الله</v>
          </cell>
          <cell r="L4">
            <v>28602012105474</v>
          </cell>
          <cell r="M4" t="str">
            <v>مدير  تحصيل</v>
          </cell>
          <cell r="N4" t="str">
            <v>التحصيل</v>
          </cell>
          <cell r="O4" t="str">
            <v>التحصيل</v>
          </cell>
          <cell r="P4" t="str">
            <v>المنصورة</v>
          </cell>
        </row>
        <row r="5">
          <cell r="J5">
            <v>4</v>
          </cell>
          <cell r="K5" t="str">
            <v>وليد عبد الكريم عبد العليم</v>
          </cell>
          <cell r="L5">
            <v>28808250100593</v>
          </cell>
          <cell r="M5" t="str">
            <v>مدير  تحصيل</v>
          </cell>
          <cell r="N5" t="str">
            <v>الادارى</v>
          </cell>
          <cell r="O5" t="str">
            <v>التحصيل</v>
          </cell>
          <cell r="P5" t="str">
            <v>القاهرة</v>
          </cell>
        </row>
        <row r="6">
          <cell r="J6">
            <v>5</v>
          </cell>
          <cell r="K6" t="str">
            <v>باسم صلاح عبد الله قوشتى</v>
          </cell>
          <cell r="L6">
            <v>28303120101712</v>
          </cell>
          <cell r="M6" t="str">
            <v>المستشار القانوني</v>
          </cell>
          <cell r="N6" t="str">
            <v>الادارى</v>
          </cell>
          <cell r="O6" t="str">
            <v>الشئون القانونية</v>
          </cell>
          <cell r="P6" t="str">
            <v>القاهرة</v>
          </cell>
        </row>
        <row r="7">
          <cell r="J7">
            <v>7</v>
          </cell>
          <cell r="K7" t="str">
            <v>حازم مجدى احمد عبد السميع</v>
          </cell>
          <cell r="L7">
            <v>28707190102418</v>
          </cell>
          <cell r="M7" t="str">
            <v>نائب كبير مشرفى تحصيل</v>
          </cell>
          <cell r="N7" t="str">
            <v>التحصيل</v>
          </cell>
          <cell r="O7" t="str">
            <v>فاليو</v>
          </cell>
          <cell r="P7" t="str">
            <v>القاهرة</v>
          </cell>
        </row>
        <row r="8">
          <cell r="J8">
            <v>9</v>
          </cell>
          <cell r="K8" t="str">
            <v>عمرو عصام بدر الدين</v>
          </cell>
          <cell r="L8">
            <v>29808080106196</v>
          </cell>
          <cell r="M8" t="str">
            <v>نائب مدير الشئون القانونية</v>
          </cell>
          <cell r="N8" t="str">
            <v>الادارى</v>
          </cell>
          <cell r="O8" t="str">
            <v>الشئون القانونية</v>
          </cell>
          <cell r="P8" t="str">
            <v>القاهرة</v>
          </cell>
        </row>
        <row r="9">
          <cell r="J9">
            <v>19</v>
          </cell>
          <cell r="K9" t="str">
            <v>سحر اوسامة احمد محمد</v>
          </cell>
          <cell r="L9">
            <v>29611110104501</v>
          </cell>
          <cell r="M9" t="str">
            <v>منسق بيانات</v>
          </cell>
          <cell r="N9" t="str">
            <v>الادارى</v>
          </cell>
          <cell r="O9" t="str">
            <v>منسقى البيانات</v>
          </cell>
          <cell r="P9" t="str">
            <v>القاهرة</v>
          </cell>
        </row>
        <row r="10">
          <cell r="J10">
            <v>20</v>
          </cell>
          <cell r="K10" t="str">
            <v>عبد العزيز صلاح عبد العزيز على حسن</v>
          </cell>
          <cell r="L10">
            <v>29703150100399</v>
          </cell>
          <cell r="M10" t="str">
            <v xml:space="preserve">محامي </v>
          </cell>
          <cell r="N10" t="str">
            <v>الادارى</v>
          </cell>
          <cell r="O10" t="str">
            <v>الشئون القانونية</v>
          </cell>
          <cell r="P10" t="str">
            <v>القاهرة</v>
          </cell>
        </row>
        <row r="11">
          <cell r="J11">
            <v>25</v>
          </cell>
          <cell r="K11" t="str">
            <v>منى احمد طه احمد سعد</v>
          </cell>
          <cell r="L11">
            <v>27312250101345</v>
          </cell>
          <cell r="M11" t="str">
            <v>خدمات معاونة</v>
          </cell>
          <cell r="N11" t="str">
            <v>الادارى</v>
          </cell>
          <cell r="O11" t="str">
            <v>الخدمات المعاونة</v>
          </cell>
          <cell r="P11" t="str">
            <v>القاهرة</v>
          </cell>
        </row>
        <row r="12">
          <cell r="J12">
            <v>31</v>
          </cell>
          <cell r="K12" t="str">
            <v>محمود النادى أبو الحسن احمد</v>
          </cell>
          <cell r="L12">
            <v>28504108800236</v>
          </cell>
          <cell r="M12" t="str">
            <v>كبير مشرفى تحصيل</v>
          </cell>
          <cell r="N12" t="str">
            <v>التحصيل</v>
          </cell>
          <cell r="O12" t="str">
            <v>بنك اسكندرية</v>
          </cell>
          <cell r="P12" t="str">
            <v>القاهرة</v>
          </cell>
        </row>
        <row r="13">
          <cell r="J13">
            <v>35</v>
          </cell>
          <cell r="K13" t="str">
            <v>رحمة مصطفى خلف الله</v>
          </cell>
          <cell r="L13">
            <v>30111210101161</v>
          </cell>
          <cell r="M13" t="str">
            <v>منسق بيانات</v>
          </cell>
          <cell r="N13" t="str">
            <v>الادارى</v>
          </cell>
          <cell r="O13" t="str">
            <v>منسقى البيانات</v>
          </cell>
          <cell r="P13" t="str">
            <v>القاهرة</v>
          </cell>
        </row>
        <row r="14">
          <cell r="J14">
            <v>45</v>
          </cell>
          <cell r="K14" t="str">
            <v>محمد مجدى ربيع عبد الغنى جاد</v>
          </cell>
          <cell r="L14">
            <v>28409261402239</v>
          </cell>
          <cell r="M14" t="str">
            <v>رئيس فريق عمل</v>
          </cell>
          <cell r="N14" t="str">
            <v>التحصيل</v>
          </cell>
          <cell r="O14" t="str">
            <v>فاليو</v>
          </cell>
          <cell r="P14" t="str">
            <v>القاهرة</v>
          </cell>
        </row>
        <row r="15">
          <cell r="J15">
            <v>53</v>
          </cell>
          <cell r="K15" t="str">
            <v>احمد الحفنى احمد الجمل</v>
          </cell>
          <cell r="L15">
            <v>28609021603252</v>
          </cell>
          <cell r="M15" t="str">
            <v>وكيل تحصيل</v>
          </cell>
          <cell r="N15" t="str">
            <v>التحصيل</v>
          </cell>
          <cell r="O15" t="str">
            <v>بنك اسكندرية</v>
          </cell>
          <cell r="P15" t="str">
            <v>القاهرة</v>
          </cell>
        </row>
        <row r="16">
          <cell r="J16">
            <v>54</v>
          </cell>
          <cell r="K16" t="str">
            <v>رحاب عبد الهادى احمد بدوى</v>
          </cell>
          <cell r="L16">
            <v>28706021401264</v>
          </cell>
          <cell r="M16" t="str">
            <v>مشرف تحصيل</v>
          </cell>
          <cell r="N16" t="str">
            <v>التحصيل</v>
          </cell>
          <cell r="O16" t="str">
            <v>راية</v>
          </cell>
          <cell r="P16" t="str">
            <v>القاهرة</v>
          </cell>
        </row>
        <row r="17">
          <cell r="J17">
            <v>56</v>
          </cell>
          <cell r="K17" t="str">
            <v>احمد عبد اللطيف عبد الغنى عبد الحافظ</v>
          </cell>
          <cell r="L17">
            <v>29506060100756</v>
          </cell>
          <cell r="M17" t="str">
            <v>خدمات معاونة</v>
          </cell>
          <cell r="N17" t="str">
            <v>الادارى</v>
          </cell>
          <cell r="O17" t="str">
            <v>الخدمات المعاونة</v>
          </cell>
          <cell r="P17" t="str">
            <v>القاهرة</v>
          </cell>
        </row>
        <row r="18">
          <cell r="J18">
            <v>60</v>
          </cell>
          <cell r="K18" t="str">
            <v>مروة مصطفى على جاد</v>
          </cell>
          <cell r="L18">
            <v>29912120104665</v>
          </cell>
          <cell r="M18" t="str">
            <v>وكيل تحصيل هاتفى</v>
          </cell>
          <cell r="N18" t="str">
            <v>التحصيل</v>
          </cell>
          <cell r="O18" t="str">
            <v>راية</v>
          </cell>
          <cell r="P18" t="str">
            <v>القاهرة</v>
          </cell>
        </row>
        <row r="19">
          <cell r="J19">
            <v>62</v>
          </cell>
          <cell r="K19" t="str">
            <v>محمد مجدى السيد عبد الدايم</v>
          </cell>
          <cell r="L19">
            <v>29710280100451</v>
          </cell>
          <cell r="M19" t="str">
            <v xml:space="preserve">محامي </v>
          </cell>
          <cell r="N19" t="str">
            <v>الادارى</v>
          </cell>
          <cell r="O19" t="str">
            <v>الشئون القانونية</v>
          </cell>
          <cell r="P19" t="str">
            <v>القاهرة</v>
          </cell>
        </row>
        <row r="20">
          <cell r="J20">
            <v>64</v>
          </cell>
          <cell r="K20" t="str">
            <v>تريز سامى رزق شحاته</v>
          </cell>
          <cell r="L20">
            <v>28712200101702</v>
          </cell>
          <cell r="M20" t="str">
            <v>مدير موارد بشرية</v>
          </cell>
          <cell r="N20" t="str">
            <v>الادارى</v>
          </cell>
          <cell r="O20" t="str">
            <v>الموارد البشرية</v>
          </cell>
          <cell r="P20" t="str">
            <v>القاهرة</v>
          </cell>
        </row>
        <row r="21">
          <cell r="J21">
            <v>71</v>
          </cell>
          <cell r="K21" t="str">
            <v>ندى محمد سعد</v>
          </cell>
          <cell r="L21">
            <v>30110042101308</v>
          </cell>
          <cell r="M21" t="str">
            <v>وكيل تحصيل هاتفى</v>
          </cell>
          <cell r="N21" t="str">
            <v>التحصيل</v>
          </cell>
          <cell r="O21" t="str">
            <v>فاليو</v>
          </cell>
          <cell r="P21" t="str">
            <v>القاهرة</v>
          </cell>
        </row>
        <row r="22">
          <cell r="J22">
            <v>75</v>
          </cell>
          <cell r="K22" t="str">
            <v>رحاب مصطفى محمد</v>
          </cell>
          <cell r="L22">
            <v>30002221400566</v>
          </cell>
          <cell r="M22" t="str">
            <v>منسق بيانات</v>
          </cell>
          <cell r="N22" t="str">
            <v>الادارى</v>
          </cell>
          <cell r="O22" t="str">
            <v>الشئون الإدارية</v>
          </cell>
          <cell r="P22" t="str">
            <v>القاهرة</v>
          </cell>
        </row>
        <row r="23">
          <cell r="J23">
            <v>80</v>
          </cell>
          <cell r="K23" t="str">
            <v>محمد سيد حسن محمود</v>
          </cell>
          <cell r="L23">
            <v>30305082102132</v>
          </cell>
          <cell r="M23" t="str">
            <v>وكيل تحصيل</v>
          </cell>
          <cell r="N23" t="str">
            <v>التحصيل</v>
          </cell>
          <cell r="O23" t="str">
            <v>بنك اسكندرية</v>
          </cell>
          <cell r="P23" t="str">
            <v>القاهرة</v>
          </cell>
        </row>
        <row r="24">
          <cell r="J24">
            <v>83</v>
          </cell>
          <cell r="K24" t="str">
            <v>حبيبه احمد سلطان منصور عويس</v>
          </cell>
          <cell r="L24">
            <v>30312060105762</v>
          </cell>
          <cell r="M24" t="str">
            <v>وكيل تحصيل هاتفى</v>
          </cell>
          <cell r="N24" t="str">
            <v>التحصيل</v>
          </cell>
          <cell r="O24" t="str">
            <v>كريدى اجريكول - مانيفيلوز</v>
          </cell>
          <cell r="P24" t="str">
            <v>القاهرة</v>
          </cell>
        </row>
        <row r="25">
          <cell r="J25">
            <v>97</v>
          </cell>
          <cell r="K25" t="str">
            <v>ندى محمد محمود عبد المقصود</v>
          </cell>
          <cell r="L25">
            <v>30106051400523</v>
          </cell>
          <cell r="M25" t="str">
            <v>وكيل تحصيل هاتفى</v>
          </cell>
          <cell r="N25" t="str">
            <v>التحصيل</v>
          </cell>
          <cell r="O25" t="str">
            <v>ميد تقسيط</v>
          </cell>
          <cell r="P25" t="str">
            <v>القاهرة</v>
          </cell>
        </row>
        <row r="26">
          <cell r="J26">
            <v>115</v>
          </cell>
          <cell r="K26" t="str">
            <v>احمد عبد المقصود عبد الفضيل</v>
          </cell>
          <cell r="L26">
            <v>29704151401755</v>
          </cell>
          <cell r="M26" t="str">
            <v>وكيل تحصيل</v>
          </cell>
          <cell r="N26" t="str">
            <v>التحصيل</v>
          </cell>
          <cell r="O26" t="str">
            <v>كريدى اجريكول</v>
          </cell>
          <cell r="P26" t="str">
            <v>القاهرة</v>
          </cell>
        </row>
        <row r="27">
          <cell r="J27">
            <v>120</v>
          </cell>
          <cell r="K27" t="str">
            <v>إبراهيم محمد عوض</v>
          </cell>
          <cell r="L27">
            <v>29504012113878</v>
          </cell>
          <cell r="M27" t="str">
            <v>وكيل تحصيل</v>
          </cell>
          <cell r="N27" t="str">
            <v>التحصيل</v>
          </cell>
          <cell r="O27" t="str">
            <v>فاليو</v>
          </cell>
          <cell r="P27" t="str">
            <v>القاهرة</v>
          </cell>
        </row>
        <row r="28">
          <cell r="J28">
            <v>124</v>
          </cell>
          <cell r="K28" t="str">
            <v>حامد احمد حامد احمد</v>
          </cell>
          <cell r="L28">
            <v>29812190104196</v>
          </cell>
          <cell r="M28" t="str">
            <v>وكيل تحصيل</v>
          </cell>
          <cell r="N28" t="str">
            <v>التحصيل</v>
          </cell>
          <cell r="O28" t="str">
            <v>ميد تقسيط</v>
          </cell>
          <cell r="P28" t="str">
            <v>القاهرة</v>
          </cell>
        </row>
        <row r="29">
          <cell r="J29">
            <v>127</v>
          </cell>
          <cell r="K29" t="str">
            <v>احمد عوض عباس عوض كشك</v>
          </cell>
          <cell r="L29">
            <v>29103071200577</v>
          </cell>
          <cell r="M29" t="str">
            <v>مشرف تحصيل</v>
          </cell>
          <cell r="N29" t="str">
            <v>التحصيل</v>
          </cell>
          <cell r="O29" t="str">
            <v>بنك اسكندريه + شركة رايا</v>
          </cell>
          <cell r="P29" t="str">
            <v>المنصورة</v>
          </cell>
        </row>
        <row r="30">
          <cell r="J30">
            <v>129</v>
          </cell>
          <cell r="K30" t="str">
            <v>نانسى يوسف عزيز يوسف</v>
          </cell>
          <cell r="L30">
            <v>28908081201843</v>
          </cell>
          <cell r="M30" t="str">
            <v xml:space="preserve">محامي </v>
          </cell>
          <cell r="N30" t="str">
            <v>التحصيل</v>
          </cell>
          <cell r="O30" t="str">
            <v>المحاماه - ميد تقسيط - فاليو</v>
          </cell>
          <cell r="P30" t="str">
            <v>المنصورة</v>
          </cell>
        </row>
        <row r="31">
          <cell r="J31">
            <v>130</v>
          </cell>
          <cell r="K31" t="str">
            <v>عبد الرحمن عوض عباس عوض كشك</v>
          </cell>
          <cell r="L31">
            <v>29909131202315</v>
          </cell>
          <cell r="M31" t="str">
            <v>وكيل تحصيل</v>
          </cell>
          <cell r="N31" t="str">
            <v>التحصيل</v>
          </cell>
          <cell r="O31" t="str">
            <v>بنك اسكندريه + شركة رايا + كريدي اجريكول</v>
          </cell>
          <cell r="P31" t="str">
            <v>المنصورة</v>
          </cell>
        </row>
        <row r="32">
          <cell r="J32">
            <v>131</v>
          </cell>
          <cell r="K32" t="str">
            <v>امانى طارق إبراهيم عبد الحميد</v>
          </cell>
          <cell r="L32">
            <v>29501011262064</v>
          </cell>
          <cell r="M32" t="str">
            <v>منسق بيانات</v>
          </cell>
          <cell r="N32" t="str">
            <v>التحصيل</v>
          </cell>
          <cell r="P32" t="str">
            <v>المنصورة</v>
          </cell>
        </row>
        <row r="33">
          <cell r="J33">
            <v>133</v>
          </cell>
          <cell r="K33" t="str">
            <v>نادين عماد منصور محمد</v>
          </cell>
          <cell r="L33">
            <v>30106141202127</v>
          </cell>
          <cell r="M33" t="str">
            <v>وكيل تحصيل هاتفى</v>
          </cell>
          <cell r="N33" t="str">
            <v>التحصيل</v>
          </cell>
          <cell r="O33" t="str">
            <v>رايا - القاهره</v>
          </cell>
          <cell r="P33" t="str">
            <v>المنصورة</v>
          </cell>
        </row>
        <row r="34">
          <cell r="J34">
            <v>134</v>
          </cell>
          <cell r="K34" t="str">
            <v>اميرة النادى النادى عوض رجب</v>
          </cell>
          <cell r="L34">
            <v>29306061203843</v>
          </cell>
          <cell r="M34" t="str">
            <v>وكيل تحصيل هاتفى</v>
          </cell>
          <cell r="N34" t="str">
            <v>التحصيل</v>
          </cell>
          <cell r="O34" t="str">
            <v xml:space="preserve">بنك اسكندريه </v>
          </cell>
          <cell r="P34" t="str">
            <v>المنصورة</v>
          </cell>
        </row>
        <row r="35">
          <cell r="J35">
            <v>136</v>
          </cell>
          <cell r="K35" t="str">
            <v>بهاء محمد السيد صالح أبو حسين</v>
          </cell>
          <cell r="L35">
            <v>28403211200572</v>
          </cell>
          <cell r="M35" t="str">
            <v>وكيل تحصيل</v>
          </cell>
          <cell r="N35" t="str">
            <v>التحصيل</v>
          </cell>
          <cell r="O35" t="str">
            <v>بنك اسكندريه- رايا</v>
          </cell>
          <cell r="P35" t="str">
            <v>المنصورة</v>
          </cell>
        </row>
        <row r="36">
          <cell r="J36">
            <v>137</v>
          </cell>
          <cell r="K36" t="str">
            <v>محمد وفيق إبراهيم عبد المعطى</v>
          </cell>
          <cell r="L36">
            <v>28605211200574</v>
          </cell>
          <cell r="M36" t="str">
            <v>رئيس فريق عمل</v>
          </cell>
          <cell r="N36" t="str">
            <v>التحصيل</v>
          </cell>
          <cell r="O36" t="str">
            <v>شركة رايا</v>
          </cell>
          <cell r="P36" t="str">
            <v>المنصورة</v>
          </cell>
        </row>
        <row r="37">
          <cell r="J37">
            <v>138</v>
          </cell>
          <cell r="K37" t="str">
            <v>احمد إبراهيم المرسى زايد</v>
          </cell>
          <cell r="L37">
            <v>29007281200813</v>
          </cell>
          <cell r="M37" t="str">
            <v>وكيل تحصيل</v>
          </cell>
          <cell r="N37" t="str">
            <v>التحصيل</v>
          </cell>
          <cell r="O37" t="str">
            <v>بنك اسكندريه + شركة رايا</v>
          </cell>
          <cell r="P37" t="str">
            <v>المنصورة</v>
          </cell>
        </row>
        <row r="38">
          <cell r="J38">
            <v>139</v>
          </cell>
          <cell r="K38" t="str">
            <v>إبراهيم توكل محمد حسن</v>
          </cell>
          <cell r="L38">
            <v>29301011222331</v>
          </cell>
          <cell r="M38" t="str">
            <v>وكيل تحصيل</v>
          </cell>
          <cell r="N38" t="str">
            <v>التحصيل</v>
          </cell>
          <cell r="O38" t="str">
            <v>بنك اسكندريه- رايا</v>
          </cell>
          <cell r="P38" t="str">
            <v>المنصورة</v>
          </cell>
        </row>
        <row r="39">
          <cell r="J39">
            <v>148</v>
          </cell>
          <cell r="K39" t="str">
            <v>امال كمال عبد الله عبد الحليم</v>
          </cell>
          <cell r="L39">
            <v>29805050105684</v>
          </cell>
          <cell r="M39" t="str">
            <v>منسق بيانات</v>
          </cell>
          <cell r="N39" t="str">
            <v>الادارى</v>
          </cell>
          <cell r="O39" t="str">
            <v>منسقى البيانات</v>
          </cell>
          <cell r="P39" t="str">
            <v>القاهرة</v>
          </cell>
        </row>
        <row r="40">
          <cell r="J40">
            <v>149</v>
          </cell>
          <cell r="K40" t="str">
            <v>احمد صابر عبد الله عطية نصر</v>
          </cell>
          <cell r="L40">
            <v>29903031204134</v>
          </cell>
          <cell r="M40" t="str">
            <v>خدمات معاونة</v>
          </cell>
          <cell r="N40" t="str">
            <v>الادارى</v>
          </cell>
          <cell r="O40" t="str">
            <v>الخدمات المعاونة</v>
          </cell>
          <cell r="P40" t="str">
            <v>المنصورة</v>
          </cell>
        </row>
        <row r="41">
          <cell r="J41">
            <v>150</v>
          </cell>
          <cell r="K41" t="str">
            <v>هدى حسن السيد على الضوى</v>
          </cell>
          <cell r="L41">
            <v>30006102101386</v>
          </cell>
          <cell r="M41" t="str">
            <v>منسق بيانات</v>
          </cell>
          <cell r="N41" t="str">
            <v>الادارى</v>
          </cell>
          <cell r="O41" t="str">
            <v>منسقى البيانات</v>
          </cell>
          <cell r="P41" t="str">
            <v>القاهرة</v>
          </cell>
        </row>
        <row r="42">
          <cell r="J42">
            <v>151</v>
          </cell>
          <cell r="K42" t="str">
            <v xml:space="preserve">احمد عبد الباسط عبد السلام محمد </v>
          </cell>
          <cell r="L42">
            <v>29805101502713</v>
          </cell>
          <cell r="M42" t="str">
            <v>محاسب</v>
          </cell>
          <cell r="N42" t="str">
            <v>الادارى</v>
          </cell>
          <cell r="O42" t="str">
            <v>المالية</v>
          </cell>
          <cell r="P42" t="str">
            <v>القاهرة</v>
          </cell>
        </row>
        <row r="43">
          <cell r="J43">
            <v>155</v>
          </cell>
          <cell r="K43" t="str">
            <v>خالد محمد عبد العظيم إسماعيل</v>
          </cell>
          <cell r="L43">
            <v>29610311700911</v>
          </cell>
          <cell r="M43" t="str">
            <v>وكيل تحصيل</v>
          </cell>
          <cell r="N43" t="str">
            <v>التحصيل</v>
          </cell>
          <cell r="O43" t="str">
            <v>فاليو</v>
          </cell>
          <cell r="P43" t="str">
            <v>القاهرة</v>
          </cell>
        </row>
        <row r="44">
          <cell r="J44">
            <v>162</v>
          </cell>
          <cell r="K44" t="str">
            <v>عمرو على سليم محمد السيد</v>
          </cell>
          <cell r="L44">
            <v>28711011208851</v>
          </cell>
          <cell r="M44" t="str">
            <v>مشرف تحصيل</v>
          </cell>
          <cell r="N44" t="str">
            <v>التحصيل</v>
          </cell>
          <cell r="O44" t="str">
            <v>اسكندريه- كريدي اجريكول</v>
          </cell>
          <cell r="P44" t="str">
            <v>المنصورة</v>
          </cell>
        </row>
        <row r="45">
          <cell r="J45">
            <v>166</v>
          </cell>
          <cell r="K45" t="str">
            <v>احمد سالم عبد العظيم محمد</v>
          </cell>
          <cell r="L45">
            <v>29309241700259</v>
          </cell>
          <cell r="M45" t="str">
            <v>وكيل تحصيل</v>
          </cell>
          <cell r="N45" t="str">
            <v>التحصيل</v>
          </cell>
          <cell r="O45" t="str">
            <v>ميد تقسيط</v>
          </cell>
          <cell r="P45" t="str">
            <v>القاهرة</v>
          </cell>
        </row>
        <row r="46">
          <cell r="J46">
            <v>169</v>
          </cell>
          <cell r="K46" t="str">
            <v>احمد ممدوح احمد عباس احمد</v>
          </cell>
          <cell r="L46">
            <v>29106011202278</v>
          </cell>
          <cell r="M46" t="str">
            <v>مشرف تحصيل</v>
          </cell>
          <cell r="N46" t="str">
            <v>التحصيل</v>
          </cell>
          <cell r="O46" t="str">
            <v>كريدي اجريكول - ماني فيللوز</v>
          </cell>
          <cell r="P46" t="str">
            <v>المنصورة</v>
          </cell>
        </row>
        <row r="47">
          <cell r="J47">
            <v>170</v>
          </cell>
          <cell r="K47" t="str">
            <v>فاطمة احمد إسماعيل</v>
          </cell>
          <cell r="L47">
            <v>29310270100048</v>
          </cell>
          <cell r="M47" t="str">
            <v>مشرف تحصيل</v>
          </cell>
          <cell r="N47" t="str">
            <v>التحصيل</v>
          </cell>
          <cell r="O47" t="str">
            <v>كريدى اجريكول - مانيفيلوز</v>
          </cell>
          <cell r="P47" t="str">
            <v>القاهرة</v>
          </cell>
        </row>
        <row r="48">
          <cell r="J48">
            <v>171</v>
          </cell>
          <cell r="K48" t="str">
            <v>فاطمة احمد سيد حجازى</v>
          </cell>
          <cell r="L48">
            <v>28511011408664</v>
          </cell>
          <cell r="M48" t="str">
            <v>وكيل تحصيل هاتفى</v>
          </cell>
          <cell r="N48" t="str">
            <v>التحصيل</v>
          </cell>
          <cell r="O48" t="str">
            <v>ميد تقسيط</v>
          </cell>
          <cell r="P48" t="str">
            <v>القاهرة</v>
          </cell>
        </row>
        <row r="49">
          <cell r="J49">
            <v>177</v>
          </cell>
          <cell r="K49" t="str">
            <v>أسماء إبراهيم السيد عبد الله</v>
          </cell>
          <cell r="L49">
            <v>30001011278168</v>
          </cell>
          <cell r="M49" t="str">
            <v>وكيل تحصيل هاتفى</v>
          </cell>
          <cell r="N49" t="str">
            <v>التحصيل</v>
          </cell>
          <cell r="O49" t="str">
            <v>شركة رايا</v>
          </cell>
          <cell r="P49" t="str">
            <v>المنصورة</v>
          </cell>
        </row>
        <row r="50">
          <cell r="J50">
            <v>185</v>
          </cell>
          <cell r="K50" t="str">
            <v>ياسمين السعيد السيد أبو قورة</v>
          </cell>
          <cell r="L50">
            <v>29404081100163</v>
          </cell>
          <cell r="M50" t="str">
            <v>وكيل تحصيل هاتفى</v>
          </cell>
          <cell r="N50" t="str">
            <v>التحصيل</v>
          </cell>
          <cell r="O50" t="str">
            <v>بنك اسكندريه</v>
          </cell>
          <cell r="P50" t="str">
            <v>المنصورة</v>
          </cell>
        </row>
        <row r="51">
          <cell r="J51">
            <v>187</v>
          </cell>
          <cell r="K51" t="str">
            <v>محمد سمير إبراهيم سيد احمد والى</v>
          </cell>
          <cell r="L51">
            <v>30105061202553</v>
          </cell>
          <cell r="M51" t="str">
            <v>وكيل تحصيل</v>
          </cell>
          <cell r="N51" t="str">
            <v>التحصيل</v>
          </cell>
          <cell r="O51" t="str">
            <v>كريدي اجريكول - ماني فيللوز</v>
          </cell>
          <cell r="P51" t="str">
            <v>المنصورة</v>
          </cell>
        </row>
        <row r="52">
          <cell r="J52">
            <v>193</v>
          </cell>
          <cell r="K52" t="str">
            <v>محمود مراد محمود فهمى أبو السعود</v>
          </cell>
          <cell r="L52">
            <v>29210271202176</v>
          </cell>
          <cell r="M52" t="str">
            <v xml:space="preserve">محامي </v>
          </cell>
          <cell r="N52" t="str">
            <v>الادارى</v>
          </cell>
          <cell r="O52" t="str">
            <v>الشئون القانونية</v>
          </cell>
          <cell r="P52" t="str">
            <v>المنصورة</v>
          </cell>
        </row>
        <row r="53">
          <cell r="J53">
            <v>195</v>
          </cell>
          <cell r="K53" t="str">
            <v>سحر احمد حمدى احمد النجار</v>
          </cell>
          <cell r="L53">
            <v>29803020101746</v>
          </cell>
          <cell r="M53" t="str">
            <v>مشرف تحصيل</v>
          </cell>
          <cell r="N53" t="str">
            <v>التحصيل</v>
          </cell>
          <cell r="O53" t="str">
            <v>ميد تقسيط</v>
          </cell>
          <cell r="P53" t="str">
            <v>القاهرة</v>
          </cell>
        </row>
        <row r="54">
          <cell r="J54">
            <v>196</v>
          </cell>
          <cell r="K54" t="str">
            <v>محمد طارق عبد المجيد إبراهيم</v>
          </cell>
          <cell r="L54">
            <v>29901182102675</v>
          </cell>
          <cell r="M54" t="str">
            <v>وكيل تحصيل</v>
          </cell>
          <cell r="N54" t="str">
            <v>التحصيل</v>
          </cell>
          <cell r="O54" t="str">
            <v>ميد تقسيط</v>
          </cell>
          <cell r="P54" t="str">
            <v>القاهرة</v>
          </cell>
        </row>
        <row r="55">
          <cell r="J55">
            <v>197</v>
          </cell>
          <cell r="K55" t="str">
            <v xml:space="preserve">احمد مجدى بكر على </v>
          </cell>
          <cell r="L55">
            <v>29503120100816</v>
          </cell>
          <cell r="M55" t="str">
            <v>وكيل تحصيل</v>
          </cell>
          <cell r="N55" t="str">
            <v>التحصيل</v>
          </cell>
          <cell r="O55" t="str">
            <v>فاليو</v>
          </cell>
          <cell r="P55" t="str">
            <v>القاهرة</v>
          </cell>
        </row>
        <row r="56">
          <cell r="J56">
            <v>198</v>
          </cell>
          <cell r="K56" t="str">
            <v>صديق مروان صديق الوصيف</v>
          </cell>
          <cell r="L56">
            <v>28812191201736</v>
          </cell>
          <cell r="M56" t="str">
            <v>وكيل تحصيل</v>
          </cell>
          <cell r="N56" t="str">
            <v>التحصيل</v>
          </cell>
          <cell r="O56" t="str">
            <v>ماني فيللوز وكريدي اجريكول</v>
          </cell>
          <cell r="P56" t="str">
            <v>المنصورة</v>
          </cell>
        </row>
        <row r="57">
          <cell r="J57">
            <v>201</v>
          </cell>
          <cell r="K57" t="str">
            <v>حسام احمد عبد الفتاح حسين</v>
          </cell>
          <cell r="L57">
            <v>29306120101791</v>
          </cell>
          <cell r="M57" t="str">
            <v>وكيل تحصيل</v>
          </cell>
          <cell r="N57" t="str">
            <v>التحصيل</v>
          </cell>
          <cell r="O57" t="str">
            <v>بنك اسكندرية</v>
          </cell>
          <cell r="P57" t="str">
            <v>القاهرة</v>
          </cell>
        </row>
        <row r="58">
          <cell r="J58">
            <v>203</v>
          </cell>
          <cell r="K58" t="str">
            <v>شروق صلاح احمد السمان</v>
          </cell>
          <cell r="L58">
            <v>30305012105703</v>
          </cell>
          <cell r="M58" t="str">
            <v>وكيل تحصيل هاتفى</v>
          </cell>
          <cell r="N58" t="str">
            <v>التحصيل</v>
          </cell>
          <cell r="O58" t="str">
            <v>بنك اسكندرية</v>
          </cell>
          <cell r="P58" t="str">
            <v>القاهرة</v>
          </cell>
        </row>
        <row r="59">
          <cell r="J59">
            <v>206</v>
          </cell>
          <cell r="K59" t="str">
            <v>كريم عبد المنعم عبد العزيز السيد</v>
          </cell>
          <cell r="L59">
            <v>28603170100231</v>
          </cell>
          <cell r="M59" t="str">
            <v>مشرف تحصيل</v>
          </cell>
          <cell r="N59" t="str">
            <v>التحصيل</v>
          </cell>
          <cell r="O59" t="str">
            <v>كريدى اجريكول</v>
          </cell>
          <cell r="P59" t="str">
            <v>القاهرة</v>
          </cell>
        </row>
        <row r="60">
          <cell r="J60">
            <v>209</v>
          </cell>
          <cell r="K60" t="str">
            <v>ريم رضا سيد احمد إبراهيم المطراوى</v>
          </cell>
          <cell r="L60">
            <v>29806231401346</v>
          </cell>
          <cell r="M60" t="str">
            <v>منسق بيانات</v>
          </cell>
          <cell r="N60" t="str">
            <v>الادارى</v>
          </cell>
          <cell r="O60" t="str">
            <v>منسقى البيانات</v>
          </cell>
          <cell r="P60" t="str">
            <v>القاهرة</v>
          </cell>
        </row>
        <row r="61">
          <cell r="J61">
            <v>214</v>
          </cell>
          <cell r="K61" t="str">
            <v>مصطفى خالد حامد خليل</v>
          </cell>
          <cell r="L61">
            <v>29411100104716</v>
          </cell>
          <cell r="M61" t="str">
            <v>وكيل تحصيل</v>
          </cell>
          <cell r="N61" t="str">
            <v>التحصيل</v>
          </cell>
          <cell r="O61" t="str">
            <v>كريدى اجريكول</v>
          </cell>
          <cell r="P61" t="str">
            <v>القاهرة</v>
          </cell>
        </row>
        <row r="62">
          <cell r="J62">
            <v>215</v>
          </cell>
          <cell r="K62" t="str">
            <v>روان عادل محمد عبد الكريم</v>
          </cell>
          <cell r="L62">
            <v>30503030106403</v>
          </cell>
          <cell r="M62" t="str">
            <v>وكيل تحصيل هاتفى</v>
          </cell>
          <cell r="N62" t="str">
            <v>التحصيل</v>
          </cell>
          <cell r="O62" t="str">
            <v>فاليو</v>
          </cell>
          <cell r="P62" t="str">
            <v>القاهرة</v>
          </cell>
        </row>
        <row r="63">
          <cell r="J63">
            <v>217</v>
          </cell>
          <cell r="K63" t="str">
            <v>صباح عبد المنعم عتريس حسن</v>
          </cell>
          <cell r="L63">
            <v>288090111608</v>
          </cell>
          <cell r="M63" t="str">
            <v>خدمات معاونة</v>
          </cell>
          <cell r="N63" t="str">
            <v>الادارى</v>
          </cell>
          <cell r="O63" t="str">
            <v>الخدمات المعاونة</v>
          </cell>
          <cell r="P63" t="str">
            <v>القاهرة</v>
          </cell>
        </row>
        <row r="64">
          <cell r="J64">
            <v>219</v>
          </cell>
          <cell r="K64" t="str">
            <v>سارة محمد ممدوح مصطفى عبد اللطيف</v>
          </cell>
          <cell r="L64">
            <v>28412121200742</v>
          </cell>
          <cell r="M64" t="str">
            <v>وكيل تحصيل هاتفى</v>
          </cell>
          <cell r="N64" t="str">
            <v>التحصيل</v>
          </cell>
          <cell r="O64" t="str">
            <v>رايا - القاهره</v>
          </cell>
          <cell r="P64" t="str">
            <v>المنصورة</v>
          </cell>
        </row>
        <row r="65">
          <cell r="J65">
            <v>220</v>
          </cell>
          <cell r="K65" t="str">
            <v>اية محمد احمد سيد احمد</v>
          </cell>
          <cell r="L65">
            <v>30105022102789</v>
          </cell>
          <cell r="M65" t="str">
            <v>وكيل تحصيل هاتفى</v>
          </cell>
          <cell r="N65" t="str">
            <v>التحصيل</v>
          </cell>
          <cell r="O65" t="str">
            <v>كريدى اجريكول - مانيفيلوز</v>
          </cell>
          <cell r="P65" t="str">
            <v>القاهرة</v>
          </cell>
        </row>
        <row r="66">
          <cell r="J66">
            <v>221</v>
          </cell>
          <cell r="K66" t="str">
            <v>عمرو صابر إبراهيم سيد محمد</v>
          </cell>
          <cell r="L66">
            <v>29707060104137</v>
          </cell>
          <cell r="M66" t="str">
            <v>وكيل تحصيل</v>
          </cell>
          <cell r="N66" t="str">
            <v>التحصيل</v>
          </cell>
          <cell r="O66" t="str">
            <v>كريدى اجريكول</v>
          </cell>
          <cell r="P66" t="str">
            <v>القاهرة</v>
          </cell>
        </row>
        <row r="67">
          <cell r="J67">
            <v>222</v>
          </cell>
          <cell r="K67" t="str">
            <v>مريم محمد على سيد خطاب</v>
          </cell>
          <cell r="L67">
            <v>30403051401184</v>
          </cell>
          <cell r="M67" t="str">
            <v>وكيل تحصيل هاتفى</v>
          </cell>
          <cell r="N67" t="str">
            <v>التحصيل</v>
          </cell>
          <cell r="O67" t="str">
            <v>بنك اسكندرية</v>
          </cell>
          <cell r="P67" t="str">
            <v>القاهرة</v>
          </cell>
        </row>
        <row r="68">
          <cell r="J68">
            <v>223</v>
          </cell>
          <cell r="K68" t="str">
            <v>هبة خلف محمد احمد</v>
          </cell>
          <cell r="L68">
            <v>28107120200563</v>
          </cell>
          <cell r="M68" t="str">
            <v>وكيل تحصيل هاتفى</v>
          </cell>
          <cell r="N68" t="str">
            <v>التحصيل</v>
          </cell>
          <cell r="O68" t="str">
            <v>راية</v>
          </cell>
          <cell r="P68" t="str">
            <v>القاهرة</v>
          </cell>
        </row>
        <row r="69">
          <cell r="J69">
            <v>224</v>
          </cell>
          <cell r="K69" t="str">
            <v>إبراهيم محمود حسن السيد محفوظ</v>
          </cell>
          <cell r="L69">
            <v>29605010113511</v>
          </cell>
          <cell r="M69" t="str">
            <v>وكيل تحصيل</v>
          </cell>
          <cell r="N69" t="str">
            <v>التحصيل</v>
          </cell>
          <cell r="O69" t="str">
            <v>راية</v>
          </cell>
          <cell r="P69" t="str">
            <v>القاهرة</v>
          </cell>
        </row>
        <row r="70">
          <cell r="J70">
            <v>225</v>
          </cell>
          <cell r="K70" t="str">
            <v>شادى احمد محمد امين</v>
          </cell>
          <cell r="L70">
            <v>28302140103499</v>
          </cell>
          <cell r="M70" t="str">
            <v>وكيل تحصيل</v>
          </cell>
          <cell r="N70" t="str">
            <v>التحصيل</v>
          </cell>
          <cell r="O70" t="str">
            <v>بنك اسكندريه- رايا</v>
          </cell>
          <cell r="P70" t="str">
            <v>المنصورة</v>
          </cell>
        </row>
        <row r="71">
          <cell r="J71">
            <v>226</v>
          </cell>
          <cell r="K71" t="str">
            <v>بسمة أسامة محمد عبد الصمد</v>
          </cell>
          <cell r="L71">
            <v>29607161200442</v>
          </cell>
          <cell r="M71" t="str">
            <v>وكيل تحصيل هاتفى</v>
          </cell>
          <cell r="N71" t="str">
            <v>التحصيل</v>
          </cell>
          <cell r="O71" t="str">
            <v>رايا - القاهره</v>
          </cell>
          <cell r="P71" t="str">
            <v>المنصورة</v>
          </cell>
        </row>
        <row r="72">
          <cell r="J72">
            <v>227</v>
          </cell>
          <cell r="K72" t="str">
            <v>هدى حسين عبد الجواد عيد</v>
          </cell>
          <cell r="L72">
            <v>29412080103722</v>
          </cell>
          <cell r="M72" t="str">
            <v>وكيل تحصيل هاتفى</v>
          </cell>
          <cell r="N72" t="str">
            <v>التحصيل</v>
          </cell>
          <cell r="O72" t="str">
            <v>راية</v>
          </cell>
          <cell r="P72" t="str">
            <v>القاهرة</v>
          </cell>
        </row>
        <row r="73">
          <cell r="J73">
            <v>228</v>
          </cell>
          <cell r="K73" t="str">
            <v>نسمة منصور عوض لطفى مصطفى</v>
          </cell>
          <cell r="L73">
            <v>30506150107887</v>
          </cell>
          <cell r="M73" t="str">
            <v>وكيل تحصيل هاتفى</v>
          </cell>
          <cell r="N73" t="str">
            <v>التحصيل</v>
          </cell>
          <cell r="O73" t="str">
            <v>كريدى اجريكول - مانيفيلوز</v>
          </cell>
          <cell r="P73" t="str">
            <v>القاهرة</v>
          </cell>
        </row>
        <row r="74">
          <cell r="J74">
            <v>229</v>
          </cell>
          <cell r="K74" t="str">
            <v>سلمى عاطف احمد عبد العزيز</v>
          </cell>
          <cell r="L74">
            <v>30505070105003</v>
          </cell>
          <cell r="M74" t="str">
            <v>وكيل تحصيل هاتفى</v>
          </cell>
          <cell r="N74" t="str">
            <v>التحصيل</v>
          </cell>
          <cell r="O74" t="str">
            <v>فاليو</v>
          </cell>
          <cell r="P74" t="str">
            <v>القاهرة</v>
          </cell>
        </row>
        <row r="75">
          <cell r="J75">
            <v>230</v>
          </cell>
          <cell r="K75" t="str">
            <v>هاجر صبحى عبد الغنى محمد إبراهيم</v>
          </cell>
          <cell r="L75">
            <v>30505080104889</v>
          </cell>
          <cell r="M75" t="str">
            <v>وكيل تحصيل هاتفى</v>
          </cell>
          <cell r="N75" t="str">
            <v>التحصيل</v>
          </cell>
          <cell r="O75" t="str">
            <v>فاليو</v>
          </cell>
          <cell r="P75" t="str">
            <v>القاهرة</v>
          </cell>
        </row>
        <row r="76">
          <cell r="J76">
            <v>232</v>
          </cell>
          <cell r="K76" t="str">
            <v>نور خالد وجدى هاشم</v>
          </cell>
          <cell r="M76" t="str">
            <v>وكيل تحصيل هاتفى</v>
          </cell>
          <cell r="N76" t="str">
            <v>التحصيل</v>
          </cell>
          <cell r="O76" t="str">
            <v>ميد تقسيط</v>
          </cell>
          <cell r="P76" t="str">
            <v>القاهرة</v>
          </cell>
        </row>
        <row r="77">
          <cell r="J77">
            <v>233</v>
          </cell>
          <cell r="K77" t="str">
            <v>شيماء محمد عاشور سعد</v>
          </cell>
          <cell r="M77" t="str">
            <v>وكيل تحصيل هاتفى</v>
          </cell>
          <cell r="N77" t="str">
            <v>التحصيل</v>
          </cell>
          <cell r="O77" t="str">
            <v>كريدى اجريكول - مانيفيلوز</v>
          </cell>
          <cell r="P77" t="str">
            <v>القاهرة</v>
          </cell>
        </row>
        <row r="78">
          <cell r="J78">
            <v>234</v>
          </cell>
          <cell r="K78" t="str">
            <v>حازم عصام عبد الموجود إسماعيل</v>
          </cell>
          <cell r="M78" t="str">
            <v xml:space="preserve">محامي </v>
          </cell>
          <cell r="N78" t="str">
            <v>الادارى</v>
          </cell>
          <cell r="O78" t="str">
            <v>الشئون القانونية</v>
          </cell>
          <cell r="P78" t="str">
            <v>القاهرة</v>
          </cell>
        </row>
        <row r="79">
          <cell r="J79">
            <v>235</v>
          </cell>
          <cell r="K79" t="str">
            <v>أسماء رمضان رخا حسن</v>
          </cell>
          <cell r="M79" t="str">
            <v>وكيل تحصيل هاتفى</v>
          </cell>
          <cell r="N79" t="str">
            <v>التحصيل</v>
          </cell>
          <cell r="O79" t="str">
            <v>راية</v>
          </cell>
          <cell r="P79" t="str">
            <v>القاهرة</v>
          </cell>
        </row>
        <row r="80">
          <cell r="J80">
            <v>236</v>
          </cell>
          <cell r="K80" t="str">
            <v>إبراهيم محمود عثمان محمود</v>
          </cell>
          <cell r="L80">
            <v>29902071200232</v>
          </cell>
          <cell r="M80" t="str">
            <v>محاسب</v>
          </cell>
          <cell r="N80" t="str">
            <v>الادارى</v>
          </cell>
          <cell r="O80" t="str">
            <v>المالية</v>
          </cell>
          <cell r="P80" t="str">
            <v>المنصورة</v>
          </cell>
        </row>
        <row r="81">
          <cell r="J81">
            <v>237</v>
          </cell>
          <cell r="K81" t="str">
            <v>احمد محمد مبروك حسين</v>
          </cell>
          <cell r="M81" t="str">
            <v xml:space="preserve">وكيل تحصيل </v>
          </cell>
          <cell r="N81" t="str">
            <v>التحصيل</v>
          </cell>
          <cell r="O81" t="str">
            <v>اسكندريه</v>
          </cell>
          <cell r="P81" t="str">
            <v>القاهرة</v>
          </cell>
        </row>
        <row r="82">
          <cell r="J82">
            <v>238</v>
          </cell>
          <cell r="K82" t="str">
            <v xml:space="preserve">اشرف محمد محروس محمود </v>
          </cell>
          <cell r="M82" t="str">
            <v xml:space="preserve">وكيل تحصيل </v>
          </cell>
          <cell r="N82" t="str">
            <v>التحصيل</v>
          </cell>
          <cell r="O82" t="str">
            <v>فاليو</v>
          </cell>
          <cell r="P82" t="str">
            <v>القاهرة</v>
          </cell>
        </row>
        <row r="83">
          <cell r="J83">
            <v>239</v>
          </cell>
          <cell r="K83" t="str">
            <v xml:space="preserve">يوسف كامل  عبد الله صبحى غنيم </v>
          </cell>
          <cell r="M83" t="str">
            <v xml:space="preserve">وكيل تحصيل </v>
          </cell>
          <cell r="N83" t="str">
            <v>التحصيل</v>
          </cell>
          <cell r="O83" t="str">
            <v>راية</v>
          </cell>
          <cell r="P83" t="str">
            <v>القاهرة</v>
          </cell>
        </row>
        <row r="84">
          <cell r="J84">
            <v>240</v>
          </cell>
          <cell r="K84" t="str">
            <v xml:space="preserve">محمد عزت محمد رشاد </v>
          </cell>
          <cell r="M84" t="str">
            <v xml:space="preserve">وكيل تحصيل </v>
          </cell>
          <cell r="N84" t="str">
            <v>التحصيل</v>
          </cell>
          <cell r="O84" t="str">
            <v xml:space="preserve">فاليو </v>
          </cell>
          <cell r="P84" t="str">
            <v>القاهرة</v>
          </cell>
        </row>
        <row r="85">
          <cell r="J85">
            <v>241</v>
          </cell>
          <cell r="K85" t="str">
            <v>كريم محمود فهمى عبد الصادق احمد</v>
          </cell>
          <cell r="M85" t="str">
            <v>كبير مشرفى تحصيل</v>
          </cell>
          <cell r="N85" t="str">
            <v>التحصيل</v>
          </cell>
          <cell r="O85" t="str">
            <v>فاليو - ميد تقسيط</v>
          </cell>
          <cell r="P85" t="str">
            <v>القاهرة</v>
          </cell>
        </row>
        <row r="86">
          <cell r="J86">
            <v>242</v>
          </cell>
          <cell r="K86" t="str">
            <v xml:space="preserve">محمد احمد محمد احمد </v>
          </cell>
          <cell r="M86" t="str">
            <v xml:space="preserve">مسؤل اداري </v>
          </cell>
          <cell r="N86" t="str">
            <v>اداري</v>
          </cell>
          <cell r="O86" t="str">
            <v>شئون إدارية</v>
          </cell>
          <cell r="P86" t="str">
            <v>القاهرة</v>
          </cell>
        </row>
        <row r="87">
          <cell r="J87">
            <v>246</v>
          </cell>
          <cell r="K87" t="str">
            <v xml:space="preserve">محمد محمود عبدالحليم  محمد </v>
          </cell>
        </row>
        <row r="88">
          <cell r="J88">
            <v>333</v>
          </cell>
          <cell r="K88" t="str">
            <v>مصطفى جميل عبد الفتاح</v>
          </cell>
          <cell r="M88" t="str">
            <v>وكيل تحصيل هاتفى</v>
          </cell>
          <cell r="N88" t="str">
            <v>التحصيل</v>
          </cell>
          <cell r="O88" t="str">
            <v>فاليو</v>
          </cell>
          <cell r="P88" t="str">
            <v>القاهرة</v>
          </cell>
        </row>
        <row r="89">
          <cell r="J89">
            <v>555</v>
          </cell>
          <cell r="K89" t="str">
            <v>عبد المنعم مجدى عبد ربه</v>
          </cell>
        </row>
        <row r="90">
          <cell r="J90">
            <v>2222</v>
          </cell>
          <cell r="K90" t="str">
            <v>امل صبرى</v>
          </cell>
          <cell r="M90" t="str">
            <v>وكيل تحصيل هاتفى</v>
          </cell>
          <cell r="N90" t="str">
            <v>التحصيل</v>
          </cell>
          <cell r="O90" t="str">
            <v>بنك اسكندريه - ماني فيللوز</v>
          </cell>
          <cell r="P90" t="str">
            <v>المنصورة</v>
          </cell>
        </row>
        <row r="93">
          <cell r="J93">
            <v>255</v>
          </cell>
          <cell r="K93" t="str">
            <v>هيثم فاروق إبراهيم</v>
          </cell>
          <cell r="L93" t="str">
            <v>2800_52512_02971</v>
          </cell>
          <cell r="M93" t="str">
            <v>وكيل تحصيل</v>
          </cell>
          <cell r="N93" t="str">
            <v>التحصيل</v>
          </cell>
          <cell r="O93" t="str">
            <v>بنك اسكندريه</v>
          </cell>
          <cell r="P93" t="str">
            <v>المنصورة</v>
          </cell>
        </row>
        <row r="94">
          <cell r="J94">
            <v>172</v>
          </cell>
          <cell r="K94" t="str">
            <v>احمد جمال شحاته</v>
          </cell>
          <cell r="L94" t="str">
            <v>2970-32212-00616</v>
          </cell>
          <cell r="M94" t="str">
            <v>وكيل تحصيل</v>
          </cell>
          <cell r="N94" t="str">
            <v>التحصيل</v>
          </cell>
          <cell r="P94" t="str">
            <v>المنصورة</v>
          </cell>
        </row>
        <row r="95">
          <cell r="J95">
            <v>275</v>
          </cell>
          <cell r="K95" t="str">
            <v>خالد عبد الناصر محمد</v>
          </cell>
          <cell r="L95" t="str">
            <v>2970-32112-01631</v>
          </cell>
          <cell r="M95" t="str">
            <v>وكيل تحصيل</v>
          </cell>
          <cell r="N95" t="str">
            <v>التحصيل</v>
          </cell>
          <cell r="P95" t="str">
            <v>المنصورة</v>
          </cell>
        </row>
        <row r="96">
          <cell r="J96">
            <v>276</v>
          </cell>
          <cell r="K96" t="str">
            <v>مصطفي محمود محمد</v>
          </cell>
          <cell r="L96" t="str">
            <v>2901-02801-04218</v>
          </cell>
          <cell r="M96" t="str">
            <v>وكيل تحصيل</v>
          </cell>
          <cell r="N96" t="str">
            <v>التحصيل</v>
          </cell>
          <cell r="P96" t="str">
            <v>المنصورة</v>
          </cell>
        </row>
        <row r="97">
          <cell r="J97">
            <v>289</v>
          </cell>
          <cell r="K97" t="str">
            <v>صبري عبد الهادي عبد الهادي</v>
          </cell>
          <cell r="L97" t="str">
            <v>28509-25120-2635</v>
          </cell>
          <cell r="M97" t="str">
            <v>خدمات معاونة</v>
          </cell>
          <cell r="N97" t="str">
            <v>التحصيل</v>
          </cell>
          <cell r="O97" t="str">
            <v>اداري</v>
          </cell>
          <cell r="P97" t="str">
            <v>المنصوره</v>
          </cell>
        </row>
        <row r="98">
          <cell r="J98">
            <v>287</v>
          </cell>
          <cell r="K98" t="str">
            <v>احمد إيهاب محمد</v>
          </cell>
          <cell r="L98" t="str">
            <v>30208-021200-756</v>
          </cell>
          <cell r="M98" t="str">
            <v>وكيل تحصيل</v>
          </cell>
          <cell r="N98" t="str">
            <v>التحصيل</v>
          </cell>
          <cell r="P98" t="str">
            <v>المنصوره</v>
          </cell>
        </row>
        <row r="99">
          <cell r="J99">
            <v>53</v>
          </cell>
          <cell r="K99" t="str">
            <v>احمد الحفنى احمد الجمل</v>
          </cell>
          <cell r="M99" t="str">
            <v>وكيل تحصيل</v>
          </cell>
          <cell r="N99" t="str">
            <v>التحصيل</v>
          </cell>
        </row>
        <row r="100">
          <cell r="J100">
            <v>294</v>
          </cell>
          <cell r="K100" t="str">
            <v>باسم ناجي سعد</v>
          </cell>
          <cell r="L100" t="str">
            <v>29005-01120-1254</v>
          </cell>
          <cell r="M100" t="str">
            <v>وكيل تحصيل</v>
          </cell>
          <cell r="N100" t="str">
            <v>المالية</v>
          </cell>
          <cell r="P100" t="str">
            <v>المنصوره</v>
          </cell>
        </row>
        <row r="101">
          <cell r="J101">
            <v>302</v>
          </cell>
          <cell r="K101" t="str">
            <v>مي سيد إبراهيم</v>
          </cell>
          <cell r="L101" t="str">
            <v>3020-7051-201769</v>
          </cell>
          <cell r="M101" t="str">
            <v>وكيل تحصيل هاتفى</v>
          </cell>
          <cell r="N101" t="str">
            <v>التحصيل</v>
          </cell>
          <cell r="P101" t="str">
            <v>المنصوره</v>
          </cell>
        </row>
        <row r="102">
          <cell r="J102">
            <v>303</v>
          </cell>
          <cell r="K102" t="str">
            <v>رشا محمود مصطقي</v>
          </cell>
          <cell r="L102" t="str">
            <v>2861-20388-00583</v>
          </cell>
          <cell r="M102" t="str">
            <v>وكيل تحصيل هاتفى</v>
          </cell>
          <cell r="N102" t="str">
            <v>التحصيل</v>
          </cell>
          <cell r="P102" t="str">
            <v>المنصوره</v>
          </cell>
        </row>
        <row r="103">
          <cell r="J103">
            <v>306</v>
          </cell>
          <cell r="K103" t="str">
            <v>منه الله مرتضي</v>
          </cell>
          <cell r="M103" t="str">
            <v>وكيل تحصيل هاتفى</v>
          </cell>
          <cell r="N103" t="str">
            <v>التحصيل</v>
          </cell>
          <cell r="P103" t="str">
            <v>المنصوره</v>
          </cell>
        </row>
        <row r="104">
          <cell r="J104">
            <v>312</v>
          </cell>
          <cell r="K104" t="str">
            <v>نيره محمد يوسف</v>
          </cell>
          <cell r="M104" t="str">
            <v>وكيل تحصيل هاتفى</v>
          </cell>
          <cell r="N104" t="str">
            <v>التحصيل</v>
          </cell>
          <cell r="P104" t="str">
            <v>المنصوره</v>
          </cell>
        </row>
        <row r="105">
          <cell r="J105">
            <v>314</v>
          </cell>
          <cell r="K105" t="str">
            <v>نسرين عيد محمد</v>
          </cell>
          <cell r="M105" t="str">
            <v>وكيل تحصيل هاتفى</v>
          </cell>
          <cell r="N105" t="str">
            <v>التحصيل</v>
          </cell>
          <cell r="P105" t="str">
            <v>المنصوره</v>
          </cell>
        </row>
        <row r="106">
          <cell r="J106">
            <v>317</v>
          </cell>
          <cell r="K106" t="str">
            <v>مينا محب شلبي</v>
          </cell>
          <cell r="M106" t="str">
            <v>وكيل تحصيل</v>
          </cell>
          <cell r="N106" t="str">
            <v>التحصيل</v>
          </cell>
          <cell r="P106" t="str">
            <v>المنصوره</v>
          </cell>
        </row>
        <row r="107">
          <cell r="J107">
            <v>318</v>
          </cell>
          <cell r="K107" t="str">
            <v>احمد مصطفي كامل</v>
          </cell>
          <cell r="M107" t="str">
            <v>وكيل تحصيل</v>
          </cell>
          <cell r="N107" t="str">
            <v>التحصيل</v>
          </cell>
          <cell r="P107" t="str">
            <v>المنصوره</v>
          </cell>
        </row>
        <row r="108">
          <cell r="K108" t="str">
            <v>منار محمد احمد</v>
          </cell>
          <cell r="L108" t="str">
            <v>30406-20130-5463</v>
          </cell>
          <cell r="M108" t="str">
            <v>وكيل تحصيل هاتفى</v>
          </cell>
          <cell r="N108" t="str">
            <v>التحصيل</v>
          </cell>
          <cell r="P108" t="str">
            <v>المنصوره</v>
          </cell>
        </row>
        <row r="109">
          <cell r="J109">
            <v>324</v>
          </cell>
          <cell r="K109" t="str">
            <v>شوقيه محمد عثمان</v>
          </cell>
          <cell r="L109" t="str">
            <v>29706-1712-00384</v>
          </cell>
          <cell r="M109" t="str">
            <v>وكيل تحصيل هاتفب</v>
          </cell>
          <cell r="N109" t="str">
            <v>التحصيل</v>
          </cell>
          <cell r="O109" t="str">
            <v>سهوله</v>
          </cell>
          <cell r="P109" t="str">
            <v>المنصوره</v>
          </cell>
        </row>
        <row r="110">
          <cell r="J110">
            <v>329</v>
          </cell>
          <cell r="K110" t="str">
            <v>محمد رضا محمد سليمان</v>
          </cell>
          <cell r="L110" t="str">
            <v>2850-80612-01938</v>
          </cell>
          <cell r="M110" t="str">
            <v>وكيل تحصيل</v>
          </cell>
          <cell r="N110" t="str">
            <v>التحصيل</v>
          </cell>
          <cell r="O110" t="str">
            <v>بنك كريدي</v>
          </cell>
          <cell r="P110" t="str">
            <v>المنصوره</v>
          </cell>
        </row>
        <row r="111">
          <cell r="J111">
            <v>337</v>
          </cell>
          <cell r="K111" t="str">
            <v>ندي جمال محمد محمد زاهر</v>
          </cell>
          <cell r="L111" t="str">
            <v>303062-01203-6820</v>
          </cell>
          <cell r="M111" t="str">
            <v>وكيل تحصيل هاتفي</v>
          </cell>
          <cell r="N111" t="str">
            <v>التحصيل</v>
          </cell>
          <cell r="P111" t="str">
            <v>المنصوره</v>
          </cell>
        </row>
        <row r="112">
          <cell r="J112">
            <v>342</v>
          </cell>
          <cell r="K112" t="str">
            <v>هدير محمد علي</v>
          </cell>
          <cell r="L112" t="str">
            <v>2970-8141-200561</v>
          </cell>
          <cell r="M112" t="str">
            <v>وكيل تحصيل هاتفي</v>
          </cell>
          <cell r="N112" t="str">
            <v>التحصيل</v>
          </cell>
          <cell r="O112" t="str">
            <v>تنميه</v>
          </cell>
          <cell r="P112" t="str">
            <v>المنصوره</v>
          </cell>
        </row>
        <row r="113">
          <cell r="J113">
            <v>343</v>
          </cell>
          <cell r="K113" t="str">
            <v>احمد حسين محمد</v>
          </cell>
          <cell r="L113" t="str">
            <v>289100-81300-277</v>
          </cell>
          <cell r="M113" t="str">
            <v>وكيل تحصيل هاتفي</v>
          </cell>
          <cell r="N113" t="str">
            <v>التحصيل</v>
          </cell>
          <cell r="O113" t="str">
            <v>تنميه</v>
          </cell>
          <cell r="P113" t="str">
            <v>المنصوره</v>
          </cell>
        </row>
        <row r="114">
          <cell r="J114">
            <v>345</v>
          </cell>
          <cell r="K114" t="str">
            <v>دعاء محمد عثمان</v>
          </cell>
          <cell r="L114" t="str">
            <v>2900-2011-201905</v>
          </cell>
          <cell r="M114" t="str">
            <v>وكيل تحصيل هاتفي</v>
          </cell>
          <cell r="N114" t="str">
            <v>التحصيل</v>
          </cell>
          <cell r="O114" t="str">
            <v>شركه رايا</v>
          </cell>
          <cell r="P114" t="str">
            <v>المنصوره</v>
          </cell>
        </row>
        <row r="115">
          <cell r="J115">
            <v>351</v>
          </cell>
          <cell r="K115" t="str">
            <v>محمد عبد الجابر محمود</v>
          </cell>
          <cell r="L115" t="str">
            <v>89103-011200-357</v>
          </cell>
          <cell r="M115" t="str">
            <v>وكيل تحصيل</v>
          </cell>
          <cell r="N115" t="str">
            <v>التحصيل</v>
          </cell>
          <cell r="O115" t="str">
            <v>تنميه</v>
          </cell>
          <cell r="P115" t="str">
            <v>المنصوره</v>
          </cell>
        </row>
        <row r="116">
          <cell r="J116">
            <v>356</v>
          </cell>
          <cell r="K116" t="str">
            <v>عبدالله عماد محمد</v>
          </cell>
          <cell r="L116" t="str">
            <v>2930-2041400-591</v>
          </cell>
          <cell r="M116" t="str">
            <v>وكيل تحصيل</v>
          </cell>
          <cell r="N116" t="str">
            <v>التحصيل</v>
          </cell>
          <cell r="O116" t="str">
            <v>ميد تقسيط</v>
          </cell>
          <cell r="P116" t="str">
            <v>المنصوره</v>
          </cell>
        </row>
        <row r="117">
          <cell r="J117">
            <v>358</v>
          </cell>
          <cell r="K117" t="str">
            <v>ايمان العربي علي العربي راشده</v>
          </cell>
          <cell r="L117" t="str">
            <v>29412-051200-182</v>
          </cell>
          <cell r="M117" t="str">
            <v>وكيل تحصيل هاتفي</v>
          </cell>
          <cell r="N117" t="str">
            <v>التحصيل</v>
          </cell>
          <cell r="O117" t="str">
            <v>تنميه</v>
          </cell>
          <cell r="P117" t="str">
            <v>المنصوره</v>
          </cell>
        </row>
        <row r="118">
          <cell r="J118">
            <v>360</v>
          </cell>
          <cell r="K118" t="str">
            <v>حسام حسن إبراهيم الجندي</v>
          </cell>
          <cell r="L118" t="str">
            <v>2950-3181-202352</v>
          </cell>
          <cell r="M118" t="str">
            <v>وكيل تحصيل</v>
          </cell>
          <cell r="N118" t="str">
            <v>التحصيل</v>
          </cell>
          <cell r="O118" t="str">
            <v>تنميه</v>
          </cell>
          <cell r="P118" t="str">
            <v>المنصوره</v>
          </cell>
        </row>
        <row r="119">
          <cell r="J119">
            <v>363</v>
          </cell>
          <cell r="K119" t="str">
            <v>روان طارق إسماعيل</v>
          </cell>
          <cell r="L119" t="str">
            <v>3040-7191-201709</v>
          </cell>
          <cell r="M119" t="str">
            <v>وكيل تحصيل هاتفي</v>
          </cell>
          <cell r="N119" t="str">
            <v>التحصيل</v>
          </cell>
          <cell r="O119" t="str">
            <v>تنميه</v>
          </cell>
          <cell r="P119" t="str">
            <v>المنصوره</v>
          </cell>
        </row>
        <row r="120">
          <cell r="J120">
            <v>367</v>
          </cell>
          <cell r="K120" t="str">
            <v>عبد الرحمن يسري عبد المنعم</v>
          </cell>
          <cell r="L120" t="str">
            <v>2880-80-1121-4374</v>
          </cell>
          <cell r="M120" t="str">
            <v>وكيل تحصيل</v>
          </cell>
          <cell r="N120" t="str">
            <v>التحصيل</v>
          </cell>
          <cell r="P120" t="str">
            <v>المنصوره</v>
          </cell>
        </row>
        <row r="121">
          <cell r="J121">
            <v>369</v>
          </cell>
          <cell r="K121" t="str">
            <v>تسنيم ماهر محمد</v>
          </cell>
          <cell r="L121" t="str">
            <v>30209-2512-00662</v>
          </cell>
          <cell r="M121" t="str">
            <v>وكيل تحصيل هاتفي</v>
          </cell>
          <cell r="N121" t="str">
            <v>اداري</v>
          </cell>
          <cell r="O121" t="str">
            <v>منسقى البيانات</v>
          </cell>
          <cell r="P121" t="str">
            <v>المنصزره</v>
          </cell>
        </row>
        <row r="122">
          <cell r="J122">
            <v>382</v>
          </cell>
          <cell r="K122" t="str">
            <v>احمد عادل إبراهيم الذكي</v>
          </cell>
          <cell r="L122" t="str">
            <v>30407-068800517</v>
          </cell>
          <cell r="M122" t="str">
            <v>وكيل تحصيل</v>
          </cell>
          <cell r="N122" t="str">
            <v>التحصيل</v>
          </cell>
          <cell r="O122" t="str">
            <v>ميد تقسيط</v>
          </cell>
          <cell r="P122" t="str">
            <v>المنصوره</v>
          </cell>
        </row>
        <row r="123">
          <cell r="J123">
            <v>383</v>
          </cell>
          <cell r="K123" t="str">
            <v>ايه حمدي رجب علي</v>
          </cell>
          <cell r="L123" t="str">
            <v>3010-12012-02626</v>
          </cell>
          <cell r="M123" t="str">
            <v>وكيل تحصيل هاتفي</v>
          </cell>
          <cell r="N123" t="str">
            <v>التحصيل</v>
          </cell>
          <cell r="P123" t="str">
            <v>المنصوره</v>
          </cell>
        </row>
        <row r="124">
          <cell r="J124">
            <v>385</v>
          </cell>
          <cell r="K124" t="str">
            <v>وائل السيد إبراهيم</v>
          </cell>
          <cell r="L124" t="str">
            <v>3800-30512-03997</v>
          </cell>
          <cell r="M124" t="str">
            <v>وكيل تحصيل</v>
          </cell>
          <cell r="N124" t="str">
            <v>التحصيل</v>
          </cell>
          <cell r="P124" t="str">
            <v>المنصوره</v>
          </cell>
        </row>
        <row r="125">
          <cell r="J125">
            <v>384</v>
          </cell>
          <cell r="K125" t="str">
            <v>صلاح الدين محمد</v>
          </cell>
          <cell r="L125" t="str">
            <v>295100-1611173</v>
          </cell>
          <cell r="M125" t="str">
            <v>وكيل تحصيل</v>
          </cell>
          <cell r="N125" t="str">
            <v>التحصيل</v>
          </cell>
          <cell r="P125" t="str">
            <v>المنصوره</v>
          </cell>
        </row>
        <row r="126">
          <cell r="J126">
            <v>392</v>
          </cell>
          <cell r="K126" t="str">
            <v>حبيبه امرالله يوسف</v>
          </cell>
          <cell r="L126" t="str">
            <v>3020303-1301362</v>
          </cell>
          <cell r="M126" t="str">
            <v>وكيل تحصيل هاتفي</v>
          </cell>
          <cell r="N126" t="str">
            <v>التحصيل</v>
          </cell>
          <cell r="P126" t="str">
            <v>المنصوره</v>
          </cell>
        </row>
        <row r="127">
          <cell r="J127">
            <v>393</v>
          </cell>
          <cell r="K127" t="str">
            <v>اميره يسري عبد اللطيف</v>
          </cell>
          <cell r="L127" t="str">
            <v>28110-01120-05904</v>
          </cell>
          <cell r="M127" t="str">
            <v>وكيل تحصيل هاتفي</v>
          </cell>
          <cell r="N127" t="str">
            <v>التحصيل</v>
          </cell>
          <cell r="P127" t="str">
            <v>المنصوره</v>
          </cell>
        </row>
        <row r="128">
          <cell r="J128">
            <v>394</v>
          </cell>
          <cell r="K128" t="str">
            <v>كمال محمود كمال جزر</v>
          </cell>
          <cell r="L128" t="str">
            <v>3050-2011-200192</v>
          </cell>
          <cell r="M128" t="str">
            <v>وكيل تحصيل</v>
          </cell>
          <cell r="N128" t="str">
            <v>التحصس</v>
          </cell>
          <cell r="P128" t="str">
            <v>المنصوره</v>
          </cell>
        </row>
        <row r="129">
          <cell r="J129">
            <v>401</v>
          </cell>
          <cell r="K129" t="str">
            <v>سامح ماجد الهجرسي</v>
          </cell>
          <cell r="L129" t="str">
            <v>27301211-204771</v>
          </cell>
          <cell r="M129" t="str">
            <v>وكيل تحصيل</v>
          </cell>
          <cell r="N129" t="str">
            <v>التحصس</v>
          </cell>
          <cell r="P129" t="str">
            <v>المنصوره</v>
          </cell>
        </row>
        <row r="130">
          <cell r="J130">
            <v>402</v>
          </cell>
          <cell r="K130" t="str">
            <v xml:space="preserve">ياسر عبد الحكيم حمزه </v>
          </cell>
          <cell r="L130" t="str">
            <v>2730925170-0756</v>
          </cell>
          <cell r="M130" t="str">
            <v>وكيل تحصيل</v>
          </cell>
          <cell r="N130" t="str">
            <v>التحصس</v>
          </cell>
          <cell r="P130" t="str">
            <v>المنصوره</v>
          </cell>
        </row>
        <row r="131">
          <cell r="J131">
            <v>414</v>
          </cell>
          <cell r="K131" t="str">
            <v>احمد سمير الجمل</v>
          </cell>
          <cell r="L131" t="str">
            <v>2950-12012-01151</v>
          </cell>
          <cell r="M131" t="str">
            <v>محام</v>
          </cell>
          <cell r="N131" t="str">
            <v>التحصس</v>
          </cell>
          <cell r="P131" t="str">
            <v>المنصوره</v>
          </cell>
        </row>
        <row r="132">
          <cell r="J132">
            <v>415</v>
          </cell>
          <cell r="K132" t="str">
            <v>محمود إبراهيم حسيب كرم</v>
          </cell>
          <cell r="L132" t="str">
            <v>30102-01110-02893</v>
          </cell>
          <cell r="M132" t="str">
            <v>وكيل تحصيل</v>
          </cell>
          <cell r="N132" t="str">
            <v>التحصس</v>
          </cell>
          <cell r="P132" t="str">
            <v>المنصوره</v>
          </cell>
        </row>
        <row r="133">
          <cell r="J133">
            <v>416</v>
          </cell>
          <cell r="K133" t="str">
            <v>هاني جمعه علي</v>
          </cell>
          <cell r="L133" t="str">
            <v>27610-26120-1733</v>
          </cell>
          <cell r="M133" t="str">
            <v>وكيل تحصيل</v>
          </cell>
          <cell r="N133" t="str">
            <v>التحصس</v>
          </cell>
          <cell r="P133" t="str">
            <v>المنصوره</v>
          </cell>
        </row>
        <row r="134">
          <cell r="J134">
            <v>418</v>
          </cell>
          <cell r="K134" t="str">
            <v>احمد حمدي</v>
          </cell>
          <cell r="L134" t="str">
            <v>3830-2221-701951</v>
          </cell>
          <cell r="M134" t="str">
            <v xml:space="preserve">وكيل تحصيل </v>
          </cell>
          <cell r="N134" t="str">
            <v>التحصس</v>
          </cell>
          <cell r="P134" t="str">
            <v>المنصوره</v>
          </cell>
        </row>
        <row r="135">
          <cell r="J135">
            <v>426</v>
          </cell>
          <cell r="K135" t="str">
            <v xml:space="preserve">هدير رمضان مصطفي عبد العال </v>
          </cell>
          <cell r="L135" t="str">
            <v>3990-82012-01021</v>
          </cell>
          <cell r="M135" t="str">
            <v xml:space="preserve">وكيل تحصيل هاتفي </v>
          </cell>
          <cell r="N135" t="str">
            <v xml:space="preserve">التحصيل </v>
          </cell>
          <cell r="O135" t="str">
            <v>تنميه</v>
          </cell>
          <cell r="P135" t="str">
            <v xml:space="preserve">المنصورة </v>
          </cell>
        </row>
        <row r="136">
          <cell r="J136">
            <v>425</v>
          </cell>
          <cell r="K136" t="str">
            <v xml:space="preserve">احمد رزق طاهر أبو الفتوح </v>
          </cell>
          <cell r="L136" t="str">
            <v>2940-31712-01019</v>
          </cell>
          <cell r="M136" t="str">
            <v xml:space="preserve">وكيل تحصيل </v>
          </cell>
          <cell r="N136" t="str">
            <v xml:space="preserve">التحصيل </v>
          </cell>
          <cell r="O136" t="str">
            <v>تنميه</v>
          </cell>
          <cell r="P136" t="str">
            <v xml:space="preserve">المنصورة  </v>
          </cell>
        </row>
        <row r="137">
          <cell r="J137">
            <v>427</v>
          </cell>
          <cell r="K137" t="str">
            <v xml:space="preserve">احمد محمد حلمي الخضري </v>
          </cell>
          <cell r="L137" t="str">
            <v>2910-9241200133</v>
          </cell>
          <cell r="M137" t="str">
            <v xml:space="preserve">وكيل تحصيل </v>
          </cell>
          <cell r="N137" t="str">
            <v xml:space="preserve">التحصيل </v>
          </cell>
          <cell r="O137" t="str">
            <v xml:space="preserve">تنمية </v>
          </cell>
          <cell r="P137" t="str">
            <v xml:space="preserve">المنصورة </v>
          </cell>
        </row>
        <row r="138">
          <cell r="J138">
            <v>429</v>
          </cell>
          <cell r="K138" t="str">
            <v xml:space="preserve">أسماء محمود رجب عبدالحميد </v>
          </cell>
          <cell r="L138" t="str">
            <v>3030-3241-200644</v>
          </cell>
          <cell r="M138" t="str">
            <v xml:space="preserve">وكيل تحصيل هاتفي </v>
          </cell>
          <cell r="N138" t="str">
            <v xml:space="preserve">التحصيل </v>
          </cell>
          <cell r="O138" t="str">
            <v xml:space="preserve">تنمية </v>
          </cell>
          <cell r="P138" t="str">
            <v xml:space="preserve">المنصورة </v>
          </cell>
        </row>
        <row r="139">
          <cell r="J139">
            <v>433</v>
          </cell>
          <cell r="K139" t="str">
            <v xml:space="preserve">بسنت عوض محمد شعبان محمد </v>
          </cell>
          <cell r="L139" t="str">
            <v>30303-2612-00349</v>
          </cell>
          <cell r="M139" t="str">
            <v xml:space="preserve">وكيل تحصيل هاتفي </v>
          </cell>
          <cell r="N139" t="str">
            <v xml:space="preserve">التحصيل </v>
          </cell>
          <cell r="O139" t="str">
            <v xml:space="preserve">تنمية </v>
          </cell>
          <cell r="P139" t="str">
            <v xml:space="preserve">المنصورة </v>
          </cell>
        </row>
        <row r="140">
          <cell r="J140">
            <v>435</v>
          </cell>
          <cell r="K140" t="str">
            <v xml:space="preserve">شروق سامح محمد عبدالمنعم </v>
          </cell>
          <cell r="L140" t="str">
            <v>302010-2312-01547</v>
          </cell>
          <cell r="M140" t="str">
            <v xml:space="preserve">وكيل تحصيل هاتفي </v>
          </cell>
          <cell r="N140" t="str">
            <v xml:space="preserve">التحصيل </v>
          </cell>
          <cell r="O140" t="str">
            <v xml:space="preserve">تنمية </v>
          </cell>
          <cell r="P140" t="str">
            <v xml:space="preserve">المنصورة </v>
          </cell>
        </row>
        <row r="141">
          <cell r="J141">
            <v>436</v>
          </cell>
          <cell r="K141" t="str">
            <v xml:space="preserve">ياسين  عبدالله عرمان  </v>
          </cell>
          <cell r="L141" t="str">
            <v>3010-7081201858</v>
          </cell>
          <cell r="M141" t="str">
            <v xml:space="preserve">وكيل تحصيل </v>
          </cell>
          <cell r="N141" t="str">
            <v xml:space="preserve">التحصيل </v>
          </cell>
          <cell r="O141" t="str">
            <v>ميد تقسيط</v>
          </cell>
          <cell r="P141" t="str">
            <v xml:space="preserve">المنصورة </v>
          </cell>
        </row>
        <row r="142">
          <cell r="J142">
            <v>446</v>
          </cell>
          <cell r="K142" t="str">
            <v xml:space="preserve">السعيد أحمد محمد </v>
          </cell>
          <cell r="L142" t="str">
            <v>276111-61200299</v>
          </cell>
          <cell r="M142" t="str">
            <v xml:space="preserve">وكيل تحصيل </v>
          </cell>
          <cell r="N142" t="str">
            <v xml:space="preserve">التحصيل </v>
          </cell>
          <cell r="O142" t="str">
            <v>ميد تقسيط</v>
          </cell>
        </row>
        <row r="143">
          <cell r="J143">
            <v>452</v>
          </cell>
          <cell r="K143" t="str">
            <v xml:space="preserve">ايه عبدالمؤمن الشربيني </v>
          </cell>
          <cell r="L143" t="str">
            <v>30112-101203589</v>
          </cell>
          <cell r="M143" t="str">
            <v xml:space="preserve">وكيل تحصيل هاتفي </v>
          </cell>
          <cell r="N143" t="str">
            <v xml:space="preserve">التحصيل </v>
          </cell>
          <cell r="O143" t="str">
            <v xml:space="preserve">تنمية </v>
          </cell>
          <cell r="P143" t="str">
            <v xml:space="preserve">المنصورة </v>
          </cell>
        </row>
        <row r="144">
          <cell r="J144" t="str">
            <v>عقود انتاج</v>
          </cell>
          <cell r="K144" t="str">
            <v xml:space="preserve">جني عبدالسلام ممدوح </v>
          </cell>
          <cell r="M144" t="str">
            <v xml:space="preserve">وكيل تحصيل هاتفي </v>
          </cell>
          <cell r="N144" t="str">
            <v xml:space="preserve">التحصيل </v>
          </cell>
          <cell r="O144" t="str">
            <v xml:space="preserve">تنمية </v>
          </cell>
          <cell r="P144" t="str">
            <v xml:space="preserve">المنصورة </v>
          </cell>
        </row>
        <row r="145">
          <cell r="J145">
            <v>462</v>
          </cell>
          <cell r="K145" t="str">
            <v xml:space="preserve">رنيم إبراهيم احمد </v>
          </cell>
          <cell r="M145" t="str">
            <v xml:space="preserve">وكيل تحصيل هاتفي </v>
          </cell>
          <cell r="N145" t="str">
            <v xml:space="preserve">التحصيل </v>
          </cell>
          <cell r="O145" t="str">
            <v xml:space="preserve">تنمية </v>
          </cell>
          <cell r="P145" t="str">
            <v xml:space="preserve">المنصورة </v>
          </cell>
        </row>
        <row r="146">
          <cell r="J146">
            <v>467</v>
          </cell>
          <cell r="K146" t="str">
            <v xml:space="preserve">مي علاء السيد محمد غريب </v>
          </cell>
          <cell r="M146" t="str">
            <v xml:space="preserve">وكيل تحصيل هاتفي </v>
          </cell>
          <cell r="N146" t="str">
            <v xml:space="preserve">التحصيل </v>
          </cell>
          <cell r="O146" t="str">
            <v xml:space="preserve">تنمية </v>
          </cell>
          <cell r="P146" t="str">
            <v xml:space="preserve">المنصورة </v>
          </cell>
        </row>
        <row r="147">
          <cell r="J147">
            <v>466</v>
          </cell>
          <cell r="K147" t="str">
            <v xml:space="preserve">فاطمة محمود سلامه </v>
          </cell>
          <cell r="M147" t="str">
            <v xml:space="preserve">وكيل تحصيل هاتفي </v>
          </cell>
          <cell r="N147" t="str">
            <v xml:space="preserve">التحصيل </v>
          </cell>
          <cell r="O147" t="str">
            <v xml:space="preserve">تنمية </v>
          </cell>
          <cell r="P147" t="str">
            <v xml:space="preserve">المنصورة </v>
          </cell>
        </row>
        <row r="148">
          <cell r="J148">
            <v>469</v>
          </cell>
          <cell r="K148" t="str">
            <v xml:space="preserve">ياسمين كمال محمد شوقي </v>
          </cell>
          <cell r="L148" t="str">
            <v>297-091312-01549</v>
          </cell>
          <cell r="M148" t="str">
            <v xml:space="preserve">وكيل تحصيل هاتفي </v>
          </cell>
          <cell r="N148" t="str">
            <v xml:space="preserve">التحصيل </v>
          </cell>
          <cell r="O148" t="str">
            <v xml:space="preserve">تنمية </v>
          </cell>
          <cell r="P148" t="str">
            <v xml:space="preserve">المنصورة </v>
          </cell>
        </row>
        <row r="149">
          <cell r="J149">
            <v>478</v>
          </cell>
          <cell r="K149" t="str">
            <v xml:space="preserve">محمد السيد محمد الدسوقي </v>
          </cell>
          <cell r="L149" t="str">
            <v>2-9701011237298</v>
          </cell>
          <cell r="M149" t="str">
            <v xml:space="preserve">وكيل تحصيل </v>
          </cell>
          <cell r="N149" t="str">
            <v xml:space="preserve">التحصيل </v>
          </cell>
          <cell r="O149" t="str">
            <v xml:space="preserve">تنمية </v>
          </cell>
          <cell r="P149" t="str">
            <v xml:space="preserve">المنصورة </v>
          </cell>
        </row>
        <row r="150">
          <cell r="J150">
            <v>480</v>
          </cell>
          <cell r="K150" t="str">
            <v xml:space="preserve">شيماء محمد محمد إبراهيم </v>
          </cell>
          <cell r="L150" t="str">
            <v>30-204031202123</v>
          </cell>
          <cell r="M150" t="str">
            <v xml:space="preserve">وكيل تحصيل </v>
          </cell>
          <cell r="N150" t="str">
            <v xml:space="preserve">التحصيل </v>
          </cell>
        </row>
        <row r="151">
          <cell r="J151">
            <v>484</v>
          </cell>
          <cell r="K151" t="str">
            <v xml:space="preserve">ايمان رمضان السعيد </v>
          </cell>
          <cell r="L151" t="str">
            <v>288-07031200187</v>
          </cell>
          <cell r="M151" t="str">
            <v>منسق بيانات</v>
          </cell>
          <cell r="N151" t="str">
            <v>الادارى</v>
          </cell>
          <cell r="P151" t="str">
            <v xml:space="preserve">المنصورة </v>
          </cell>
        </row>
        <row r="152">
          <cell r="J152">
            <v>494</v>
          </cell>
          <cell r="K152" t="str">
            <v xml:space="preserve">محمود عبدالمنعم محمد إبراهيم </v>
          </cell>
          <cell r="M152" t="str">
            <v xml:space="preserve">وكيل تحصيل </v>
          </cell>
          <cell r="P152" t="str">
            <v xml:space="preserve">المنصورة </v>
          </cell>
        </row>
        <row r="153">
          <cell r="J153">
            <v>498</v>
          </cell>
          <cell r="K153" t="str">
            <v xml:space="preserve">ياسمين وائل صلاح </v>
          </cell>
          <cell r="L153" t="str">
            <v>30-410011200166</v>
          </cell>
          <cell r="M153" t="str">
            <v xml:space="preserve">وكيل تحصيل هاتفي </v>
          </cell>
          <cell r="N153" t="str">
            <v xml:space="preserve">التحصيل </v>
          </cell>
          <cell r="O153" t="str">
            <v xml:space="preserve">تنمية </v>
          </cell>
          <cell r="P153" t="str">
            <v xml:space="preserve">المنصورة </v>
          </cell>
        </row>
        <row r="154">
          <cell r="J154">
            <v>500</v>
          </cell>
          <cell r="K154" t="str">
            <v xml:space="preserve">هايدي هشام السيد امام </v>
          </cell>
          <cell r="L154" t="str">
            <v>2920-2021200043</v>
          </cell>
          <cell r="M154" t="str">
            <v xml:space="preserve">وكيل تحصيل هاتفي </v>
          </cell>
          <cell r="N154" t="str">
            <v xml:space="preserve">التحصيل </v>
          </cell>
          <cell r="O154" t="str">
            <v xml:space="preserve">تنمية </v>
          </cell>
          <cell r="P154" t="str">
            <v xml:space="preserve">المنصورة </v>
          </cell>
        </row>
        <row r="155">
          <cell r="J155">
            <v>502</v>
          </cell>
          <cell r="K155" t="str">
            <v xml:space="preserve">رحاب عثمان محمود </v>
          </cell>
          <cell r="L155" t="str">
            <v>28-101011234263</v>
          </cell>
          <cell r="M155" t="str">
            <v xml:space="preserve">وكيل تحصيل هاتفي </v>
          </cell>
          <cell r="N155" t="str">
            <v xml:space="preserve">التحصيل </v>
          </cell>
          <cell r="O155" t="str">
            <v xml:space="preserve">تنمية </v>
          </cell>
          <cell r="P155" t="str">
            <v xml:space="preserve">المنصورة </v>
          </cell>
        </row>
        <row r="156">
          <cell r="J156">
            <v>503</v>
          </cell>
          <cell r="K156" t="str">
            <v xml:space="preserve">اسلام احمد محمود </v>
          </cell>
          <cell r="L156" t="str">
            <v>2900-7171200117</v>
          </cell>
          <cell r="M156" t="str">
            <v xml:space="preserve">محام </v>
          </cell>
          <cell r="N156" t="str">
            <v>الادارى</v>
          </cell>
          <cell r="P156" t="str">
            <v xml:space="preserve">المنصورة </v>
          </cell>
        </row>
        <row r="157">
          <cell r="J157">
            <v>505</v>
          </cell>
          <cell r="K157" t="str">
            <v xml:space="preserve">لميس خالد محمد </v>
          </cell>
          <cell r="L157" t="str">
            <v>3000-9028800268</v>
          </cell>
          <cell r="M157" t="str">
            <v xml:space="preserve">وكيل تحصيل هاتفي </v>
          </cell>
          <cell r="N157" t="str">
            <v xml:space="preserve">التحصيل </v>
          </cell>
          <cell r="O157" t="str">
            <v xml:space="preserve">تنمية </v>
          </cell>
          <cell r="P157" t="str">
            <v xml:space="preserve">المنصورة </v>
          </cell>
        </row>
        <row r="158">
          <cell r="J158">
            <v>507</v>
          </cell>
          <cell r="K158" t="str">
            <v xml:space="preserve">محمد حسن علي عباس </v>
          </cell>
          <cell r="L158" t="str">
            <v>3830-9011214114</v>
          </cell>
          <cell r="M158" t="str">
            <v xml:space="preserve">محامي </v>
          </cell>
          <cell r="N158" t="str">
            <v>الادارى</v>
          </cell>
          <cell r="P158" t="str">
            <v xml:space="preserve">المنصورة </v>
          </cell>
        </row>
        <row r="159">
          <cell r="J159">
            <v>509</v>
          </cell>
          <cell r="K159" t="str">
            <v xml:space="preserve">كريم اشرف فاروق </v>
          </cell>
          <cell r="L159" t="str">
            <v>298-04181200538</v>
          </cell>
          <cell r="M159" t="str">
            <v xml:space="preserve">وكيل تحصيل </v>
          </cell>
          <cell r="N159" t="str">
            <v>التحصيل</v>
          </cell>
          <cell r="O159" t="str">
            <v xml:space="preserve">كريدي اجريكول  </v>
          </cell>
          <cell r="P159" t="str">
            <v xml:space="preserve">المنصورة </v>
          </cell>
        </row>
        <row r="160">
          <cell r="J160">
            <v>521</v>
          </cell>
          <cell r="K160" t="str">
            <v>تغريد احمد سعد محمود</v>
          </cell>
          <cell r="L160" t="str">
            <v>2940-9061201526</v>
          </cell>
          <cell r="M160" t="str">
            <v xml:space="preserve">وكيل تحصيل هاتفي </v>
          </cell>
          <cell r="N160" t="str">
            <v>التحصيل</v>
          </cell>
          <cell r="O160" t="str">
            <v xml:space="preserve">تنمية </v>
          </cell>
          <cell r="P160" t="str">
            <v xml:space="preserve">المنصورة </v>
          </cell>
        </row>
        <row r="161">
          <cell r="J161">
            <v>522</v>
          </cell>
          <cell r="K161" t="str">
            <v xml:space="preserve">محمد طلال محمد المعصراوي </v>
          </cell>
          <cell r="O161" t="str">
            <v xml:space="preserve">لم يتسلم عمل </v>
          </cell>
        </row>
        <row r="162">
          <cell r="J162">
            <v>523</v>
          </cell>
          <cell r="K162" t="str">
            <v xml:space="preserve">عفاف إبراهيم محمد عبدالمجيد </v>
          </cell>
          <cell r="L162" t="str">
            <v>2770-5291201101</v>
          </cell>
          <cell r="M162" t="str">
            <v xml:space="preserve">وكيل تحصيل هاتفي </v>
          </cell>
          <cell r="N162" t="str">
            <v xml:space="preserve">التحصيل </v>
          </cell>
          <cell r="O162" t="str">
            <v xml:space="preserve">تنمية </v>
          </cell>
          <cell r="P162" t="str">
            <v xml:space="preserve">المنصورة </v>
          </cell>
        </row>
        <row r="163">
          <cell r="J163">
            <v>532</v>
          </cell>
          <cell r="K163" t="str">
            <v xml:space="preserve">ندي نبيل محمد عبدالسلام </v>
          </cell>
          <cell r="L163" t="str">
            <v>292100-11243243</v>
          </cell>
          <cell r="M163" t="str">
            <v xml:space="preserve">وكيل تحصيل هاتفي </v>
          </cell>
          <cell r="N163" t="str">
            <v xml:space="preserve">التحصيل </v>
          </cell>
          <cell r="P163" t="str">
            <v xml:space="preserve">المنصورة </v>
          </cell>
        </row>
        <row r="164">
          <cell r="J164">
            <v>533</v>
          </cell>
          <cell r="K164" t="str">
            <v xml:space="preserve">امل زيدان فرج خيري </v>
          </cell>
          <cell r="L164" t="str">
            <v>292-09191204781</v>
          </cell>
          <cell r="M164" t="str">
            <v xml:space="preserve">وكيل تحصيل هاتفي </v>
          </cell>
          <cell r="N164" t="str">
            <v xml:space="preserve">التحصيل </v>
          </cell>
          <cell r="P164" t="str">
            <v xml:space="preserve">المنصورة </v>
          </cell>
        </row>
        <row r="165">
          <cell r="J165">
            <v>522</v>
          </cell>
          <cell r="K165" t="str">
            <v xml:space="preserve">ايمان محمد هلال </v>
          </cell>
          <cell r="L165" t="str">
            <v>291-07021200806</v>
          </cell>
          <cell r="M165" t="str">
            <v xml:space="preserve">وكيل تحصيل هاتفي </v>
          </cell>
          <cell r="N165" t="str">
            <v xml:space="preserve">التحصيل </v>
          </cell>
          <cell r="O165" t="str">
            <v xml:space="preserve">تنمية </v>
          </cell>
          <cell r="P165" t="str">
            <v xml:space="preserve">المنصورة </v>
          </cell>
        </row>
        <row r="166">
          <cell r="J166">
            <v>536</v>
          </cell>
          <cell r="K166" t="str">
            <v xml:space="preserve">امل حلمي مسعد فهيد </v>
          </cell>
          <cell r="L166" t="str">
            <v>284-05201201387</v>
          </cell>
          <cell r="M166" t="str">
            <v xml:space="preserve">وكيل تحصيل هاتفي </v>
          </cell>
          <cell r="N166" t="str">
            <v xml:space="preserve">التحصيل </v>
          </cell>
          <cell r="O166" t="str">
            <v xml:space="preserve">تنمية </v>
          </cell>
          <cell r="P166" t="str">
            <v xml:space="preserve">المنصورة </v>
          </cell>
        </row>
        <row r="167">
          <cell r="J167">
            <v>541</v>
          </cell>
          <cell r="K167" t="str">
            <v xml:space="preserve">شيماء السيد السيد شلبي </v>
          </cell>
          <cell r="L167" t="str">
            <v>294-03301201521</v>
          </cell>
          <cell r="M167" t="str">
            <v xml:space="preserve">وكيل تحصيل هاتفي </v>
          </cell>
          <cell r="N167" t="str">
            <v xml:space="preserve">التحصيل </v>
          </cell>
          <cell r="O167" t="str">
            <v xml:space="preserve">تنمية </v>
          </cell>
          <cell r="P167" t="str">
            <v xml:space="preserve">المنصورة </v>
          </cell>
        </row>
        <row r="168">
          <cell r="J168">
            <v>128</v>
          </cell>
          <cell r="K168" t="str">
            <v xml:space="preserve">محمد احمد مرسي خليل </v>
          </cell>
          <cell r="L168" t="str">
            <v>284-07011200735</v>
          </cell>
          <cell r="M168" t="str">
            <v>مشرف تحصيل</v>
          </cell>
          <cell r="N168" t="str">
            <v xml:space="preserve">التحصيل </v>
          </cell>
          <cell r="P168" t="str">
            <v xml:space="preserve">المنصورة </v>
          </cell>
        </row>
        <row r="169">
          <cell r="J169">
            <v>549</v>
          </cell>
          <cell r="K169" t="str">
            <v xml:space="preserve">مازن احمد عبدالحليم عبدالحميد </v>
          </cell>
          <cell r="L169" t="str">
            <v>293-11271203173</v>
          </cell>
          <cell r="M169" t="str">
            <v xml:space="preserve">وكيل تحصيل </v>
          </cell>
          <cell r="N169" t="str">
            <v xml:space="preserve">التحصيل </v>
          </cell>
          <cell r="P169" t="str">
            <v xml:space="preserve">المنصورة </v>
          </cell>
        </row>
        <row r="170">
          <cell r="J170">
            <v>550</v>
          </cell>
          <cell r="K170" t="str">
            <v xml:space="preserve">اريج خالد العوضي </v>
          </cell>
          <cell r="L170" t="str">
            <v>3000-8201203703</v>
          </cell>
          <cell r="M170" t="str">
            <v xml:space="preserve">وكيل تحصيل هاتفي </v>
          </cell>
          <cell r="N170" t="str">
            <v xml:space="preserve">التحصيل </v>
          </cell>
          <cell r="P170" t="str">
            <v xml:space="preserve">المنصورة </v>
          </cell>
        </row>
        <row r="171">
          <cell r="J171">
            <v>551</v>
          </cell>
          <cell r="K171" t="str">
            <v xml:space="preserve">عاطف السيد شحاته </v>
          </cell>
          <cell r="L171" t="str">
            <v>2980620-12004538</v>
          </cell>
          <cell r="M171" t="str">
            <v xml:space="preserve">وكيل تحصيل </v>
          </cell>
          <cell r="N171" t="str">
            <v xml:space="preserve">التحصيل </v>
          </cell>
          <cell r="P171" t="str">
            <v xml:space="preserve">المنصورة </v>
          </cell>
        </row>
        <row r="172">
          <cell r="J172">
            <v>552</v>
          </cell>
          <cell r="K172" t="str">
            <v xml:space="preserve">صافيناز عبدالقادر علام </v>
          </cell>
          <cell r="L172" t="str">
            <v>30-103231201201</v>
          </cell>
          <cell r="M172" t="str">
            <v xml:space="preserve">وكيل تحصيل هاتفي </v>
          </cell>
          <cell r="N172" t="str">
            <v xml:space="preserve">التحصيل </v>
          </cell>
          <cell r="P172" t="str">
            <v xml:space="preserve">المنصورة </v>
          </cell>
        </row>
        <row r="173">
          <cell r="J173">
            <v>554</v>
          </cell>
          <cell r="K173" t="str">
            <v xml:space="preserve">نيرة عادل محمد حسين </v>
          </cell>
          <cell r="L173" t="str">
            <v>30-201271201842</v>
          </cell>
          <cell r="M173" t="str">
            <v xml:space="preserve">وكيل تحصيل هاتفي </v>
          </cell>
          <cell r="N173" t="str">
            <v xml:space="preserve">التحصيل </v>
          </cell>
          <cell r="O173" t="str">
            <v xml:space="preserve">تنمية </v>
          </cell>
          <cell r="P173" t="str">
            <v xml:space="preserve">المنصورة </v>
          </cell>
        </row>
        <row r="174">
          <cell r="J174">
            <v>141</v>
          </cell>
          <cell r="K174" t="str">
            <v xml:space="preserve">محمد جمال شحاته </v>
          </cell>
          <cell r="L174" t="str">
            <v>29-206251202491</v>
          </cell>
          <cell r="M174" t="str">
            <v xml:space="preserve">وكيل تحصيل </v>
          </cell>
          <cell r="N174" t="str">
            <v xml:space="preserve">التحصيل </v>
          </cell>
          <cell r="O174" t="str">
            <v xml:space="preserve">اسكندرية - سهولة </v>
          </cell>
          <cell r="P174" t="str">
            <v xml:space="preserve">المنصورة </v>
          </cell>
        </row>
        <row r="175">
          <cell r="J175">
            <v>559</v>
          </cell>
          <cell r="K175" t="str">
            <v xml:space="preserve">كريمة خليل محمد خليل </v>
          </cell>
          <cell r="L175" t="str">
            <v>3-0309151207389</v>
          </cell>
          <cell r="M175" t="str">
            <v xml:space="preserve">وكيل تحصيل هاتفي </v>
          </cell>
          <cell r="N175" t="str">
            <v xml:space="preserve">التحصيل </v>
          </cell>
          <cell r="O175" t="str">
            <v xml:space="preserve">تنمية </v>
          </cell>
          <cell r="P175" t="str">
            <v xml:space="preserve">المنصورة </v>
          </cell>
        </row>
        <row r="176">
          <cell r="J176">
            <v>562</v>
          </cell>
          <cell r="K176" t="str">
            <v xml:space="preserve">عبدالله جابر عبدالمجيد </v>
          </cell>
          <cell r="L176" t="str">
            <v>30-505061200117</v>
          </cell>
          <cell r="M176" t="str">
            <v xml:space="preserve">وكيل تحصيل </v>
          </cell>
          <cell r="N176" t="str">
            <v xml:space="preserve">التحصيل </v>
          </cell>
          <cell r="O176" t="str">
            <v xml:space="preserve">تنمية </v>
          </cell>
          <cell r="P176" t="str">
            <v xml:space="preserve">المنصورة </v>
          </cell>
        </row>
        <row r="177">
          <cell r="J177">
            <v>563</v>
          </cell>
          <cell r="K177" t="str">
            <v xml:space="preserve">رقية إبراهيم كمال  محرم </v>
          </cell>
          <cell r="L177" t="str">
            <v>299-12090105327</v>
          </cell>
          <cell r="M177" t="str">
            <v>منسق بيانات</v>
          </cell>
          <cell r="N177" t="str">
            <v>الادارى</v>
          </cell>
          <cell r="P177" t="str">
            <v xml:space="preserve">المنصورة </v>
          </cell>
        </row>
        <row r="178">
          <cell r="J178">
            <v>565</v>
          </cell>
          <cell r="K178" t="str">
            <v xml:space="preserve">سلمي هلال محمود </v>
          </cell>
          <cell r="L178" t="str">
            <v>30-308101205087</v>
          </cell>
          <cell r="M178" t="str">
            <v xml:space="preserve">وكيل تحصيل هاتفي </v>
          </cell>
          <cell r="N178" t="str">
            <v xml:space="preserve">التحصيل </v>
          </cell>
          <cell r="P178" t="str">
            <v xml:space="preserve">المنصورة </v>
          </cell>
        </row>
        <row r="179">
          <cell r="J179">
            <v>580</v>
          </cell>
          <cell r="K179" t="str">
            <v xml:space="preserve">عمر حسن إسماعيل </v>
          </cell>
          <cell r="L179" t="str">
            <v>297-12111200032</v>
          </cell>
          <cell r="M179" t="str">
            <v xml:space="preserve">وكيل تحصيل </v>
          </cell>
          <cell r="N179" t="str">
            <v xml:space="preserve">التحصيل </v>
          </cell>
          <cell r="O179" t="str">
            <v xml:space="preserve">تنمية </v>
          </cell>
          <cell r="P179" t="str">
            <v xml:space="preserve">المنصورة </v>
          </cell>
        </row>
        <row r="180">
          <cell r="J180">
            <v>585</v>
          </cell>
          <cell r="K180" t="str">
            <v xml:space="preserve">ندا ايسم  محمد محمد البشير </v>
          </cell>
          <cell r="L180" t="str">
            <v>30-311181201401</v>
          </cell>
          <cell r="M180" t="str">
            <v xml:space="preserve">وكيل تحصيل هاتفي </v>
          </cell>
          <cell r="N180" t="str">
            <v xml:space="preserve">التحصيل </v>
          </cell>
          <cell r="O180" t="str">
            <v xml:space="preserve">تنمية </v>
          </cell>
          <cell r="P180" t="str">
            <v xml:space="preserve">المنصورة </v>
          </cell>
        </row>
        <row r="181">
          <cell r="J181">
            <v>586</v>
          </cell>
          <cell r="K181" t="str">
            <v xml:space="preserve">كريم محمود محمد عبدالعزيز </v>
          </cell>
          <cell r="L181" t="str">
            <v>2920-9011326353</v>
          </cell>
          <cell r="M181" t="str">
            <v xml:space="preserve">وكيل تحصيل </v>
          </cell>
          <cell r="N181" t="str">
            <v xml:space="preserve">التحصيل </v>
          </cell>
          <cell r="O181" t="str">
            <v xml:space="preserve">تنمية </v>
          </cell>
          <cell r="P181" t="str">
            <v xml:space="preserve">المنصورة </v>
          </cell>
        </row>
        <row r="182">
          <cell r="J182">
            <v>597</v>
          </cell>
          <cell r="K182" t="str">
            <v xml:space="preserve">إيهاب هارون عبدالرازق </v>
          </cell>
          <cell r="L182" t="str">
            <v>2750303-12006130</v>
          </cell>
          <cell r="M182" t="str">
            <v xml:space="preserve">وكيل تحصيل </v>
          </cell>
          <cell r="N182" t="str">
            <v xml:space="preserve">التحصيل </v>
          </cell>
          <cell r="O182" t="str">
            <v xml:space="preserve">بنك اسكندرية </v>
          </cell>
          <cell r="P182" t="str">
            <v xml:space="preserve">المنصورة </v>
          </cell>
        </row>
        <row r="183">
          <cell r="J183">
            <v>599</v>
          </cell>
          <cell r="K183" t="str">
            <v xml:space="preserve">رشا إبراهيم حافظ </v>
          </cell>
          <cell r="L183" t="str">
            <v>3000-7031202328</v>
          </cell>
          <cell r="M183" t="str">
            <v xml:space="preserve">وكيل تحصيل هاتفي </v>
          </cell>
          <cell r="N183" t="str">
            <v xml:space="preserve">التحصيل </v>
          </cell>
          <cell r="O183" t="str">
            <v>سهوله</v>
          </cell>
          <cell r="P183" t="str">
            <v xml:space="preserve">المنصورة </v>
          </cell>
        </row>
        <row r="184">
          <cell r="J184">
            <v>600</v>
          </cell>
          <cell r="K184" t="str">
            <v xml:space="preserve">زينب خيري محمد سالم </v>
          </cell>
          <cell r="L184" t="str">
            <v>30502-101202682</v>
          </cell>
          <cell r="M184" t="str">
            <v xml:space="preserve">وكيل تحصيل هاتفي </v>
          </cell>
          <cell r="N184" t="str">
            <v xml:space="preserve">التحصيل </v>
          </cell>
          <cell r="O184" t="str">
            <v xml:space="preserve">تنمية </v>
          </cell>
          <cell r="P184" t="str">
            <v xml:space="preserve">المنصورة </v>
          </cell>
        </row>
        <row r="185">
          <cell r="J185">
            <v>603</v>
          </cell>
          <cell r="K185" t="str">
            <v xml:space="preserve">السيد محمد السيد بدوي </v>
          </cell>
          <cell r="M185" t="str">
            <v>مشرف تحصيل</v>
          </cell>
          <cell r="N185" t="str">
            <v xml:space="preserve">التحصيل </v>
          </cell>
          <cell r="P185" t="str">
            <v xml:space="preserve">المنصورة </v>
          </cell>
        </row>
        <row r="186">
          <cell r="J186">
            <v>605</v>
          </cell>
          <cell r="K186" t="str">
            <v xml:space="preserve">عبدالمنعم عبدالمنعم سعد معوض </v>
          </cell>
          <cell r="L186" t="str">
            <v>3020-6031200956</v>
          </cell>
          <cell r="M186" t="str">
            <v xml:space="preserve">وكيل تحصيل </v>
          </cell>
          <cell r="N186" t="str">
            <v xml:space="preserve">التحصيل </v>
          </cell>
          <cell r="P186" t="str">
            <v xml:space="preserve">المنصورة </v>
          </cell>
        </row>
        <row r="187">
          <cell r="J187">
            <v>606</v>
          </cell>
          <cell r="K187" t="str">
            <v xml:space="preserve">فارس عبدالمنعم عبدالمنعم </v>
          </cell>
          <cell r="L187" t="str">
            <v>3020-7041201574</v>
          </cell>
          <cell r="M187" t="str">
            <v xml:space="preserve">وكيل تحصيل </v>
          </cell>
          <cell r="N187" t="str">
            <v xml:space="preserve">التحصيل </v>
          </cell>
          <cell r="P187" t="str">
            <v xml:space="preserve">المنصورة </v>
          </cell>
        </row>
        <row r="188">
          <cell r="J188">
            <v>607</v>
          </cell>
          <cell r="K188" t="str">
            <v xml:space="preserve">احمد محمد علي جاد </v>
          </cell>
          <cell r="M188" t="str">
            <v xml:space="preserve">وكيل تحصيل </v>
          </cell>
          <cell r="N188" t="str">
            <v xml:space="preserve">التحصيل </v>
          </cell>
          <cell r="P188" t="str">
            <v xml:space="preserve">المنصورة </v>
          </cell>
        </row>
        <row r="189">
          <cell r="J189">
            <v>610</v>
          </cell>
          <cell r="K189" t="str">
            <v xml:space="preserve">هدي محمد السيد إبراهيم </v>
          </cell>
          <cell r="M189" t="str">
            <v xml:space="preserve">وكيل تحصيل هاتفي </v>
          </cell>
          <cell r="N189" t="str">
            <v xml:space="preserve">التحصيل </v>
          </cell>
          <cell r="P189" t="str">
            <v xml:space="preserve">المنصورة </v>
          </cell>
        </row>
        <row r="190">
          <cell r="J190">
            <v>613</v>
          </cell>
          <cell r="K190" t="str">
            <v xml:space="preserve">محمد عبدالله منتصر </v>
          </cell>
          <cell r="M190" t="str">
            <v xml:space="preserve">وكيل تحصيل </v>
          </cell>
          <cell r="N190" t="str">
            <v xml:space="preserve">التحصيل </v>
          </cell>
          <cell r="P190" t="str">
            <v xml:space="preserve">المنصورة </v>
          </cell>
        </row>
        <row r="191">
          <cell r="J191">
            <v>626</v>
          </cell>
          <cell r="K191" t="str">
            <v xml:space="preserve">محمود رزق صابر محمد </v>
          </cell>
          <cell r="M191" t="str">
            <v>رئيس فريق عمل</v>
          </cell>
          <cell r="N191" t="str">
            <v xml:space="preserve">التحصيل </v>
          </cell>
          <cell r="O191" t="str">
            <v>متعدد</v>
          </cell>
          <cell r="P191" t="str">
            <v xml:space="preserve">المنصورة </v>
          </cell>
        </row>
        <row r="192">
          <cell r="J192">
            <v>629</v>
          </cell>
          <cell r="K192" t="str">
            <v xml:space="preserve">فاتن عبده مصطفي </v>
          </cell>
          <cell r="M192" t="str">
            <v xml:space="preserve">وكيل تحصيل هاتفي </v>
          </cell>
          <cell r="N192" t="str">
            <v xml:space="preserve">التحصيل </v>
          </cell>
          <cell r="P192" t="str">
            <v xml:space="preserve">المنصورة </v>
          </cell>
        </row>
        <row r="193">
          <cell r="J193">
            <v>630</v>
          </cell>
          <cell r="K193" t="str">
            <v xml:space="preserve">احمد السيد علي عبدالقادر </v>
          </cell>
          <cell r="M193" t="str">
            <v xml:space="preserve">وكيل تحصيل </v>
          </cell>
          <cell r="N193" t="str">
            <v xml:space="preserve">التحصيل </v>
          </cell>
          <cell r="P193" t="str">
            <v xml:space="preserve">المنصورة </v>
          </cell>
        </row>
        <row r="194">
          <cell r="J194">
            <v>640</v>
          </cell>
          <cell r="K194" t="str">
            <v xml:space="preserve">سامح السيد عارف إبراهيم </v>
          </cell>
          <cell r="M194" t="str">
            <v>مشرف تحصيل</v>
          </cell>
          <cell r="N194" t="str">
            <v xml:space="preserve">التحصيل </v>
          </cell>
          <cell r="O194" t="str">
            <v xml:space="preserve">بنك اسكندرية </v>
          </cell>
          <cell r="P194" t="str">
            <v xml:space="preserve">المنصورة </v>
          </cell>
        </row>
        <row r="195">
          <cell r="J195">
            <v>641</v>
          </cell>
          <cell r="K195" t="str">
            <v xml:space="preserve">مي إبراهيم عبدالشافي السعداوي </v>
          </cell>
          <cell r="M195" t="str">
            <v xml:space="preserve">وكيل تحصيل هاتفي </v>
          </cell>
          <cell r="N195" t="str">
            <v xml:space="preserve">التحصيل </v>
          </cell>
          <cell r="O195" t="str">
            <v xml:space="preserve">تنمية </v>
          </cell>
          <cell r="P195" t="str">
            <v xml:space="preserve">المنصورة </v>
          </cell>
        </row>
        <row r="196">
          <cell r="J196">
            <v>647</v>
          </cell>
          <cell r="K196" t="str">
            <v xml:space="preserve">سهام سعد متولي </v>
          </cell>
          <cell r="M196" t="str">
            <v xml:space="preserve">وكيل تحصيل هاتفي </v>
          </cell>
          <cell r="N196" t="str">
            <v xml:space="preserve">التحصيل </v>
          </cell>
          <cell r="O196" t="str">
            <v>متعدد</v>
          </cell>
          <cell r="P196" t="str">
            <v xml:space="preserve">المنصورة </v>
          </cell>
        </row>
        <row r="197">
          <cell r="J197">
            <v>653</v>
          </cell>
          <cell r="K197" t="str">
            <v xml:space="preserve">محمد محمد مسعد النيلي </v>
          </cell>
          <cell r="M197" t="str">
            <v xml:space="preserve">وكيل تحصيل ميداني </v>
          </cell>
          <cell r="N197" t="str">
            <v xml:space="preserve">التحصيل </v>
          </cell>
          <cell r="O197" t="str">
            <v>متعدد</v>
          </cell>
          <cell r="P197" t="str">
            <v xml:space="preserve">المنصورة </v>
          </cell>
        </row>
        <row r="198">
          <cell r="J198">
            <v>660</v>
          </cell>
          <cell r="K198" t="str">
            <v xml:space="preserve">عصام محمد حسين يوسف </v>
          </cell>
          <cell r="M198" t="str">
            <v xml:space="preserve">وكيل تحصيل ميداني </v>
          </cell>
          <cell r="N198" t="str">
            <v xml:space="preserve">التحصيل </v>
          </cell>
          <cell r="P198" t="str">
            <v xml:space="preserve">المنصورة </v>
          </cell>
        </row>
        <row r="199">
          <cell r="J199">
            <v>659</v>
          </cell>
          <cell r="K199" t="str">
            <v xml:space="preserve">هناء السيد السيد رضوان </v>
          </cell>
          <cell r="M199" t="str">
            <v>خدمات معاونة</v>
          </cell>
          <cell r="N199" t="str">
            <v>الادارى</v>
          </cell>
          <cell r="P199" t="str">
            <v>المنصورة</v>
          </cell>
        </row>
        <row r="200">
          <cell r="J200">
            <v>661</v>
          </cell>
          <cell r="K200" t="str">
            <v xml:space="preserve">ايمان المرشدي حسنين منتصر </v>
          </cell>
          <cell r="M200" t="str">
            <v>مشرف تحصيل</v>
          </cell>
          <cell r="N200" t="str">
            <v xml:space="preserve">التحصيل </v>
          </cell>
          <cell r="O200" t="str">
            <v xml:space="preserve">بنك اسكندرية </v>
          </cell>
          <cell r="P200" t="str">
            <v xml:space="preserve">المنصورة </v>
          </cell>
        </row>
        <row r="201">
          <cell r="J201">
            <v>662</v>
          </cell>
          <cell r="K201" t="str">
            <v xml:space="preserve">محمد ربيع محمد إسماعيل </v>
          </cell>
          <cell r="M201" t="str">
            <v xml:space="preserve">وكيل تحصيل ميداني </v>
          </cell>
          <cell r="N201" t="str">
            <v xml:space="preserve">التحصيل </v>
          </cell>
          <cell r="P201" t="str">
            <v xml:space="preserve">المنصورة </v>
          </cell>
        </row>
        <row r="202">
          <cell r="J202">
            <v>668</v>
          </cell>
          <cell r="K202" t="str">
            <v xml:space="preserve">سما محمد المتولي عبده </v>
          </cell>
          <cell r="M202" t="str">
            <v xml:space="preserve">وكيل تحصيل هاتفي </v>
          </cell>
          <cell r="N202" t="str">
            <v xml:space="preserve">التحصيل </v>
          </cell>
          <cell r="P202" t="str">
            <v xml:space="preserve">المنصورة </v>
          </cell>
        </row>
        <row r="203">
          <cell r="J203">
            <v>671</v>
          </cell>
          <cell r="K203" t="str">
            <v xml:space="preserve">هبه صلاح محمدعبدالسلام </v>
          </cell>
          <cell r="M203" t="str">
            <v xml:space="preserve">وكيل تحصيل هاتفي </v>
          </cell>
          <cell r="N203" t="str">
            <v xml:space="preserve">التحصيل </v>
          </cell>
          <cell r="P203" t="str">
            <v>المنصورة</v>
          </cell>
        </row>
        <row r="204">
          <cell r="J204">
            <v>672</v>
          </cell>
          <cell r="K204" t="str">
            <v xml:space="preserve">احمد عوض محمد السيد جلال </v>
          </cell>
          <cell r="M204" t="str">
            <v xml:space="preserve">وكيل تحصيل ميداني </v>
          </cell>
          <cell r="N204" t="str">
            <v xml:space="preserve">التحصيل </v>
          </cell>
          <cell r="O204" t="str">
            <v>متعدد</v>
          </cell>
          <cell r="P204" t="str">
            <v>المنصورة</v>
          </cell>
        </row>
        <row r="205">
          <cell r="J205">
            <v>673</v>
          </cell>
          <cell r="K205" t="str">
            <v xml:space="preserve">الاء محمد المتولي عبده </v>
          </cell>
          <cell r="M205" t="str">
            <v xml:space="preserve">وكيل تحصيل هاتفي </v>
          </cell>
          <cell r="N205" t="str">
            <v xml:space="preserve">التحصيل </v>
          </cell>
          <cell r="P205" t="str">
            <v>المنصورة</v>
          </cell>
        </row>
        <row r="206">
          <cell r="J206">
            <v>683</v>
          </cell>
          <cell r="K206" t="str">
            <v xml:space="preserve">اسلام مصطفي صادق </v>
          </cell>
          <cell r="M206" t="str">
            <v>رئيس فريق عمل</v>
          </cell>
          <cell r="N206" t="str">
            <v>التحصيل</v>
          </cell>
          <cell r="O206" t="str">
            <v>بنك اسكندرية</v>
          </cell>
          <cell r="P206" t="str">
            <v xml:space="preserve">المنصورة </v>
          </cell>
        </row>
        <row r="207">
          <cell r="J207">
            <v>685</v>
          </cell>
          <cell r="K207" t="str">
            <v xml:space="preserve">تسنيم فتحي السيد الغازي </v>
          </cell>
          <cell r="M207" t="str">
            <v xml:space="preserve">وكيل تحصيل هاتفي </v>
          </cell>
          <cell r="N207" t="str">
            <v>التحصيل</v>
          </cell>
          <cell r="O207" t="str">
            <v xml:space="preserve">تنمية </v>
          </cell>
          <cell r="P207" t="str">
            <v xml:space="preserve">المنصورة </v>
          </cell>
        </row>
        <row r="208">
          <cell r="J208">
            <v>686</v>
          </cell>
          <cell r="K208" t="str">
            <v xml:space="preserve">سالي محمد محمد حسن بدوي </v>
          </cell>
          <cell r="M208" t="str">
            <v xml:space="preserve">وكيل تحصيل هاتفي </v>
          </cell>
          <cell r="N208" t="str">
            <v>التحصيل</v>
          </cell>
          <cell r="O208" t="str">
            <v xml:space="preserve">تنمية </v>
          </cell>
          <cell r="P208" t="str">
            <v xml:space="preserve">المنصورة </v>
          </cell>
        </row>
        <row r="209">
          <cell r="J209">
            <v>688</v>
          </cell>
          <cell r="K209" t="str">
            <v xml:space="preserve">مني محمد عبدالحميد </v>
          </cell>
          <cell r="M209" t="str">
            <v xml:space="preserve">وكيل تحصيل هاتفي </v>
          </cell>
          <cell r="N209" t="str">
            <v>التحصيل</v>
          </cell>
          <cell r="O209" t="str">
            <v xml:space="preserve">تنمية </v>
          </cell>
          <cell r="P209" t="str">
            <v xml:space="preserve">المنصورة </v>
          </cell>
        </row>
        <row r="210">
          <cell r="J210">
            <v>658</v>
          </cell>
          <cell r="K210" t="str">
            <v xml:space="preserve">مصطفي احمد الشيخ </v>
          </cell>
          <cell r="M210" t="str">
            <v xml:space="preserve">وكيل تحصيل ميداني </v>
          </cell>
          <cell r="N210" t="str">
            <v>التحصيل</v>
          </cell>
          <cell r="O210" t="str">
            <v>متعدد</v>
          </cell>
          <cell r="P210" t="str">
            <v xml:space="preserve">المنصورة </v>
          </cell>
        </row>
        <row r="211">
          <cell r="J211">
            <v>694</v>
          </cell>
          <cell r="K211" t="str">
            <v xml:space="preserve">توفيق عبدالغني عبدالجواد </v>
          </cell>
          <cell r="M211" t="str">
            <v xml:space="preserve">وكيل تحصيل ميداني </v>
          </cell>
          <cell r="N211" t="str">
            <v>التحصيل</v>
          </cell>
          <cell r="P211" t="str">
            <v xml:space="preserve">المنصورة </v>
          </cell>
        </row>
        <row r="212">
          <cell r="J212">
            <v>698</v>
          </cell>
          <cell r="K212" t="str">
            <v xml:space="preserve">عبدالرحمن إيهاب عباس </v>
          </cell>
          <cell r="M212" t="str">
            <v xml:space="preserve">وكيل تحصيل ميداني </v>
          </cell>
          <cell r="N212" t="str">
            <v>التحصيل</v>
          </cell>
          <cell r="P212" t="str">
            <v xml:space="preserve">المنصورة </v>
          </cell>
        </row>
        <row r="213">
          <cell r="J213">
            <v>703</v>
          </cell>
          <cell r="K213" t="str">
            <v xml:space="preserve">مي ناجي حسن </v>
          </cell>
          <cell r="M213" t="str">
            <v xml:space="preserve">وكيل تحصيل هاتفي </v>
          </cell>
          <cell r="N213" t="str">
            <v>التحصيل</v>
          </cell>
          <cell r="P213" t="str">
            <v xml:space="preserve">المنصورة </v>
          </cell>
        </row>
        <row r="214">
          <cell r="J214">
            <v>706</v>
          </cell>
          <cell r="K214" t="str">
            <v xml:space="preserve">ناريمان محمد فريد </v>
          </cell>
          <cell r="M214" t="str">
            <v xml:space="preserve">وكيل تحصيل هاتفي </v>
          </cell>
          <cell r="N214" t="str">
            <v>التحصيل</v>
          </cell>
          <cell r="P214" t="str">
            <v xml:space="preserve">المنصورة </v>
          </cell>
        </row>
        <row r="215">
          <cell r="J215">
            <v>716</v>
          </cell>
          <cell r="K215" t="str">
            <v xml:space="preserve">خالد زكي السيد </v>
          </cell>
          <cell r="M215" t="str">
            <v xml:space="preserve">وكيل تحصيل ميداني </v>
          </cell>
          <cell r="N215" t="str">
            <v xml:space="preserve">التحصيل </v>
          </cell>
          <cell r="P215" t="str">
            <v xml:space="preserve">المنصورة </v>
          </cell>
        </row>
        <row r="216">
          <cell r="J216">
            <v>717</v>
          </cell>
          <cell r="K216" t="str">
            <v xml:space="preserve">محمود إبراهيم إبراهيم </v>
          </cell>
          <cell r="M216" t="str">
            <v>منسق بيانات</v>
          </cell>
          <cell r="N216" t="str">
            <v>الادارى</v>
          </cell>
          <cell r="P216" t="str">
            <v xml:space="preserve">المنصورة </v>
          </cell>
        </row>
        <row r="217">
          <cell r="J217">
            <v>718</v>
          </cell>
          <cell r="K217" t="str">
            <v xml:space="preserve">نورهان عباس المنسي </v>
          </cell>
          <cell r="M217" t="str">
            <v xml:space="preserve">وكيل تحصيل هاتفي </v>
          </cell>
          <cell r="N217" t="str">
            <v xml:space="preserve">التحصيل </v>
          </cell>
          <cell r="P217" t="str">
            <v xml:space="preserve">المنصورة </v>
          </cell>
        </row>
        <row r="218">
          <cell r="J218">
            <v>720</v>
          </cell>
          <cell r="K218" t="str">
            <v xml:space="preserve">محمد السيد أبو مصطفي </v>
          </cell>
          <cell r="M218" t="str">
            <v xml:space="preserve">وكيل تحصيل ميداني </v>
          </cell>
          <cell r="N218" t="str">
            <v xml:space="preserve">التحصيل </v>
          </cell>
          <cell r="P218" t="str">
            <v xml:space="preserve">المنصورة </v>
          </cell>
        </row>
        <row r="219">
          <cell r="J219">
            <v>721</v>
          </cell>
          <cell r="K219" t="str">
            <v xml:space="preserve">محمد عبدالعزيز خالد </v>
          </cell>
          <cell r="M219" t="str">
            <v xml:space="preserve">وكيل تحصيل ميداني </v>
          </cell>
          <cell r="N219" t="str">
            <v xml:space="preserve">التحصيل </v>
          </cell>
          <cell r="P219" t="str">
            <v xml:space="preserve">المنصورة </v>
          </cell>
        </row>
        <row r="220">
          <cell r="J220">
            <v>724</v>
          </cell>
          <cell r="K220" t="str">
            <v xml:space="preserve">محمد حسن محمود حسن </v>
          </cell>
          <cell r="M220" t="str">
            <v>كبير مشرفى تحصيل</v>
          </cell>
          <cell r="N220" t="str">
            <v xml:space="preserve">التحصيل </v>
          </cell>
          <cell r="P220" t="str">
            <v xml:space="preserve">المنصورة </v>
          </cell>
        </row>
        <row r="221">
          <cell r="J221">
            <v>739</v>
          </cell>
          <cell r="K221" t="str">
            <v xml:space="preserve">وليد محمد عبدالرؤوف </v>
          </cell>
          <cell r="M221" t="str">
            <v xml:space="preserve">وكيل تحصيل ميداني </v>
          </cell>
          <cell r="N221" t="str">
            <v xml:space="preserve">التحصيل </v>
          </cell>
          <cell r="P221" t="str">
            <v xml:space="preserve">المنصورة </v>
          </cell>
        </row>
        <row r="222">
          <cell r="J222">
            <v>742</v>
          </cell>
          <cell r="K222" t="str">
            <v xml:space="preserve">جمال محمد محمد أبو النصر </v>
          </cell>
          <cell r="M222" t="str">
            <v xml:space="preserve">وكيل تحصيل ميداني </v>
          </cell>
          <cell r="N222" t="str">
            <v xml:space="preserve">التحصيل </v>
          </cell>
          <cell r="P222" t="str">
            <v xml:space="preserve">المنصورة </v>
          </cell>
        </row>
        <row r="223">
          <cell r="J223">
            <v>748</v>
          </cell>
          <cell r="K223" t="str">
            <v xml:space="preserve">احمد شريف عبدالمحسن </v>
          </cell>
          <cell r="M223" t="str">
            <v>مشرف تحصيل</v>
          </cell>
          <cell r="N223" t="str">
            <v xml:space="preserve">التحصيل </v>
          </cell>
          <cell r="P223" t="str">
            <v xml:space="preserve">المنصورة </v>
          </cell>
        </row>
        <row r="224">
          <cell r="J224">
            <v>751</v>
          </cell>
          <cell r="K224" t="str">
            <v xml:space="preserve">محمد علي حسن محمد </v>
          </cell>
          <cell r="M224" t="str">
            <v xml:space="preserve">وكيل تحصيل ميداني </v>
          </cell>
          <cell r="N224" t="str">
            <v xml:space="preserve">التحصيل </v>
          </cell>
          <cell r="P224" t="str">
            <v xml:space="preserve">المنصورة </v>
          </cell>
        </row>
        <row r="225">
          <cell r="J225">
            <v>753</v>
          </cell>
          <cell r="K225" t="str">
            <v xml:space="preserve">سارة يوسف السيد </v>
          </cell>
          <cell r="M225" t="str">
            <v xml:space="preserve">وكيل تحصيل هاتفي </v>
          </cell>
          <cell r="N225" t="str">
            <v xml:space="preserve">التحصيل </v>
          </cell>
          <cell r="P225" t="str">
            <v xml:space="preserve">المنصورة </v>
          </cell>
        </row>
        <row r="226">
          <cell r="J226">
            <v>760</v>
          </cell>
          <cell r="K226" t="str">
            <v xml:space="preserve">عبدالرحمن إسماعيل محمد </v>
          </cell>
          <cell r="M226" t="str">
            <v xml:space="preserve">وكيل تحصيل ميداني </v>
          </cell>
          <cell r="N226" t="str">
            <v xml:space="preserve">التحصيل </v>
          </cell>
          <cell r="P226" t="str">
            <v xml:space="preserve">المنصورة </v>
          </cell>
        </row>
        <row r="227">
          <cell r="J227">
            <v>761</v>
          </cell>
          <cell r="K227" t="str">
            <v xml:space="preserve">روان عثمان محمد </v>
          </cell>
          <cell r="M227" t="str">
            <v xml:space="preserve">وكيل تحصيل هاتفي </v>
          </cell>
          <cell r="N227" t="str">
            <v xml:space="preserve">التحصيل </v>
          </cell>
          <cell r="P227" t="str">
            <v xml:space="preserve">المنصورة </v>
          </cell>
        </row>
        <row r="228">
          <cell r="J228">
            <v>766</v>
          </cell>
          <cell r="K228" t="str">
            <v xml:space="preserve">روماني لطفي أبو الغيط </v>
          </cell>
          <cell r="M228" t="str">
            <v xml:space="preserve">وكيل تحصيل ميداني </v>
          </cell>
          <cell r="N228" t="str">
            <v xml:space="preserve">التحصيل </v>
          </cell>
          <cell r="P228" t="str">
            <v xml:space="preserve">المنصورة </v>
          </cell>
        </row>
        <row r="229">
          <cell r="J229">
            <v>767</v>
          </cell>
          <cell r="K229" t="str">
            <v xml:space="preserve">محمد احمد العراقي </v>
          </cell>
          <cell r="M229" t="str">
            <v>رئيس فريق عمل</v>
          </cell>
          <cell r="N229" t="str">
            <v xml:space="preserve">التحصيل </v>
          </cell>
          <cell r="P229" t="str">
            <v xml:space="preserve">المنصورة </v>
          </cell>
        </row>
        <row r="230">
          <cell r="J230">
            <v>775</v>
          </cell>
          <cell r="K230" t="str">
            <v xml:space="preserve">نورسين عبدالغفار علي </v>
          </cell>
          <cell r="M230" t="str">
            <v>منسق بيانات</v>
          </cell>
          <cell r="N230" t="str">
            <v>الادارى</v>
          </cell>
          <cell r="P230" t="str">
            <v xml:space="preserve">المنصورة </v>
          </cell>
        </row>
        <row r="231">
          <cell r="J231">
            <v>783</v>
          </cell>
          <cell r="K231" t="str">
            <v xml:space="preserve">محمد احمد النبوي </v>
          </cell>
          <cell r="M231" t="str">
            <v>مشرف تحصيل</v>
          </cell>
          <cell r="N231" t="str">
            <v xml:space="preserve">التحصيل </v>
          </cell>
          <cell r="P231" t="str">
            <v xml:space="preserve">المنصورة </v>
          </cell>
        </row>
        <row r="232">
          <cell r="J232">
            <v>786</v>
          </cell>
          <cell r="K232" t="str">
            <v xml:space="preserve">محمد اسامه لطفي </v>
          </cell>
          <cell r="M232" t="str">
            <v xml:space="preserve">وكيل تحصيل ميداني </v>
          </cell>
          <cell r="N232" t="str">
            <v xml:space="preserve">التحصيل </v>
          </cell>
          <cell r="P232" t="str">
            <v xml:space="preserve">المنصورة </v>
          </cell>
        </row>
        <row r="233">
          <cell r="J233">
            <v>787</v>
          </cell>
          <cell r="K233" t="str">
            <v xml:space="preserve">هبه عبدالبديع </v>
          </cell>
          <cell r="M233" t="str">
            <v xml:space="preserve">وكيل تحصيل ميداني </v>
          </cell>
          <cell r="N233" t="str">
            <v xml:space="preserve">التحصيل </v>
          </cell>
          <cell r="P233" t="str">
            <v xml:space="preserve">المنصورة </v>
          </cell>
        </row>
        <row r="234">
          <cell r="J234">
            <v>788</v>
          </cell>
          <cell r="K234" t="str">
            <v xml:space="preserve">محمد رضا السيد </v>
          </cell>
          <cell r="M234" t="str">
            <v xml:space="preserve">وكيل تحصيل ميداني </v>
          </cell>
          <cell r="N234" t="str">
            <v xml:space="preserve">التحصيل </v>
          </cell>
          <cell r="P234" t="str">
            <v xml:space="preserve">المنصورة </v>
          </cell>
        </row>
        <row r="235">
          <cell r="J235">
            <v>796</v>
          </cell>
          <cell r="K235" t="str">
            <v xml:space="preserve">روان مجدي محمد </v>
          </cell>
          <cell r="M235" t="str">
            <v>منسق بيانات</v>
          </cell>
          <cell r="N235" t="str">
            <v>الادارى</v>
          </cell>
          <cell r="P235" t="str">
            <v xml:space="preserve">المنصورة </v>
          </cell>
        </row>
        <row r="236">
          <cell r="J236">
            <v>794</v>
          </cell>
          <cell r="K236" t="str">
            <v xml:space="preserve">محمد اشرف مصطفي أبو زيد </v>
          </cell>
          <cell r="M236" t="str">
            <v xml:space="preserve">وكيل تحصيل ميداني </v>
          </cell>
          <cell r="N236" t="str">
            <v xml:space="preserve">التحصيل </v>
          </cell>
          <cell r="P236" t="str">
            <v xml:space="preserve">المنصورة </v>
          </cell>
        </row>
        <row r="237">
          <cell r="J237">
            <v>793</v>
          </cell>
          <cell r="K237" t="str">
            <v xml:space="preserve">عبدالله عيدالسيد ربيع </v>
          </cell>
          <cell r="M237" t="str">
            <v xml:space="preserve">وكيل تحصيل ميداني </v>
          </cell>
          <cell r="N237" t="str">
            <v xml:space="preserve">التحصيل </v>
          </cell>
          <cell r="P237" t="str">
            <v xml:space="preserve">المنصورة </v>
          </cell>
        </row>
        <row r="238">
          <cell r="J238">
            <v>800</v>
          </cell>
          <cell r="K238" t="str">
            <v xml:space="preserve">احمد سمير محمد محمد </v>
          </cell>
          <cell r="M238" t="str">
            <v xml:space="preserve">وكيل تحصيل ميداني </v>
          </cell>
          <cell r="N238" t="str">
            <v xml:space="preserve">التحصيل </v>
          </cell>
          <cell r="P238" t="str">
            <v xml:space="preserve">المنصورة </v>
          </cell>
        </row>
        <row r="239">
          <cell r="J239">
            <v>762</v>
          </cell>
          <cell r="K239" t="str">
            <v xml:space="preserve">عبدالسلام ممدوح </v>
          </cell>
          <cell r="M239" t="str">
            <v>رئيس فريق عمل</v>
          </cell>
          <cell r="N239" t="str">
            <v xml:space="preserve">التحصيل </v>
          </cell>
          <cell r="P239" t="str">
            <v xml:space="preserve">المنصورة </v>
          </cell>
        </row>
        <row r="240">
          <cell r="J240">
            <v>804</v>
          </cell>
          <cell r="K240" t="str">
            <v xml:space="preserve">فهد محمود عمر احمد </v>
          </cell>
          <cell r="M240" t="str">
            <v xml:space="preserve">وكيل تحصيل ميداني </v>
          </cell>
          <cell r="N240" t="str">
            <v xml:space="preserve">التحصيل </v>
          </cell>
          <cell r="P240" t="str">
            <v xml:space="preserve">المنصورة </v>
          </cell>
        </row>
        <row r="241">
          <cell r="J241">
            <v>807</v>
          </cell>
          <cell r="K241" t="str">
            <v xml:space="preserve">محمد عبد القادر جاب الله </v>
          </cell>
          <cell r="M241" t="str">
            <v>رئيس فريق عمل</v>
          </cell>
          <cell r="N241" t="str">
            <v xml:space="preserve">التحصيل </v>
          </cell>
          <cell r="P241" t="str">
            <v xml:space="preserve">المنصورة </v>
          </cell>
        </row>
        <row r="242">
          <cell r="J242">
            <v>808</v>
          </cell>
          <cell r="K242" t="str">
            <v xml:space="preserve">محمود احمد محمود محمد </v>
          </cell>
          <cell r="M242" t="str">
            <v>نائب كبير مشرفى تحصيل</v>
          </cell>
          <cell r="N242" t="str">
            <v xml:space="preserve">التحصيل </v>
          </cell>
          <cell r="P242" t="str">
            <v xml:space="preserve">المنصورة </v>
          </cell>
        </row>
        <row r="243">
          <cell r="J243">
            <v>810</v>
          </cell>
          <cell r="K243" t="str">
            <v xml:space="preserve">نجلاء فتحي عبدالحليم </v>
          </cell>
          <cell r="M243" t="str">
            <v xml:space="preserve">وكيل تحصيل هاتفي </v>
          </cell>
          <cell r="N243" t="str">
            <v xml:space="preserve">التحصيل </v>
          </cell>
          <cell r="P243" t="str">
            <v xml:space="preserve">المنصورة </v>
          </cell>
        </row>
        <row r="244">
          <cell r="J244">
            <v>811</v>
          </cell>
          <cell r="K244" t="str">
            <v xml:space="preserve">داليا محمد الوهيدي المغاوري </v>
          </cell>
          <cell r="M244" t="str">
            <v xml:space="preserve">وكيل تحصيل هاتفي </v>
          </cell>
          <cell r="N244" t="str">
            <v xml:space="preserve">التحصيل </v>
          </cell>
          <cell r="P244" t="str">
            <v xml:space="preserve">المنصورة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fin/AppData/Local/Microsoft/Windows/INetCache/Content.Outlook/MTRTU20W/&#1605;&#1589;&#1585;&#1608;&#1601;&#1575;&#1578;%20&#1575;&#1604;&#1605;&#1606;&#1589;&#1608;&#1585;&#1607;%20&#1575;&#1603;&#1578;&#1608;&#1576;&#1585;%202025_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88.564249537034" createdVersion="8" refreshedVersion="8" minRefreshableVersion="3" recordCount="187" xr:uid="{1E0993A0-175D-44DC-8E33-D270999C1FC3}">
  <cacheSource type="worksheet">
    <worksheetSource name="Table4"/>
  </cacheSource>
  <cacheFields count="11">
    <cacheField name="التاريخ " numFmtId="168">
      <sharedItems containsNonDate="0" containsDate="1" containsString="0" containsBlank="1" minDate="2024-04-18T00:00:00" maxDate="2025-11-27T00:00:00"/>
    </cacheField>
    <cacheField name="الشهر " numFmtId="0">
      <sharedItems/>
    </cacheField>
    <cacheField name="الكود" numFmtId="0">
      <sharedItems containsString="0" containsBlank="1" containsNumber="1" containsInteger="1" minValue="31" maxValue="789" count="50">
        <n v="281"/>
        <n v="266"/>
        <n v="339"/>
        <n v="574"/>
        <n v="527"/>
        <n v="340"/>
        <n v="515"/>
        <n v="701"/>
        <n v="119"/>
        <n v="284"/>
        <n v="223"/>
        <n v="731"/>
        <n v="657"/>
        <n v="544"/>
        <n v="242"/>
        <n v="655"/>
        <n v="197"/>
        <n v="378"/>
        <n v="723"/>
        <n v="705"/>
        <n v="215"/>
        <n v="512"/>
        <n v="45"/>
        <n v="734"/>
        <n v="756"/>
        <n v="332"/>
        <n v="642"/>
        <n v="31"/>
        <n v="612"/>
        <n v="738"/>
        <n v="60"/>
        <n v="710"/>
        <n v="238"/>
        <n v="675"/>
        <n v="97"/>
        <n v="71"/>
        <n v="621"/>
        <n v="749"/>
        <n v="492"/>
        <n v="744"/>
        <n v="789"/>
        <n v="747"/>
        <n v="594"/>
        <n v="774"/>
        <n v="54"/>
        <n v="702"/>
        <n v="707"/>
        <n v="759"/>
        <n v="239"/>
        <m/>
      </sharedItems>
    </cacheField>
    <cacheField name="اسم الموظف" numFmtId="0">
      <sharedItems count="50">
        <s v="احمد عاطف محمد محمود"/>
        <s v="عبد الرحمن خالد عبد الفتاح محمد الرياش"/>
        <s v="كريم مجدى ربيع"/>
        <s v="عادل الادهم امين احمد"/>
        <s v="محمد محمود حسين محمود"/>
        <s v="اميرة شعراوى ابراهيم  حامد على"/>
        <s v="محمد عبدالمنعم عبدالحليم إبراهيم"/>
        <s v="احمد سيد عبد المنعم"/>
        <s v="مصطفى جميل عبد الفتاح محمد شاهين"/>
        <s v="زياد كرم عبد الفضيل عبد المجيد"/>
        <s v="هبة خلف محمد احمد"/>
        <s v="يوسف تامر محمد"/>
        <s v="محمود فوزى بخيت"/>
        <s v="احمد منصور سليم منصور سليم"/>
        <s v="محمد احمد محمد"/>
        <s v="احمد عبدالعزيز إبراهيم عبدالعزيز"/>
        <s v="احمد مجدى بكر على "/>
        <s v="عبد الحميد نبوى فهيم محمد"/>
        <s v="هاجر عبدالنبي علي"/>
        <s v="محمود مصطفى محمود"/>
        <s v="روان عادل محمد عبد الكريم"/>
        <s v="شريهان كمال شفيق حسب الله"/>
        <s v="محمد مجدى ربيع عبد الغنى جاد"/>
        <s v="شيروت محمود محمد توفيق "/>
        <s v="عبدالله هاني عبد المنعم عيد "/>
        <s v="إسماعيل سلامه إسماعيل بركات "/>
        <s v="سلمى محمد محمد السيد"/>
        <s v="محمود النادى أبو الحسن احمد"/>
        <s v="احمد محمد حسنى"/>
        <s v="محمد حسن تقى دشناوى"/>
        <s v="مروة مصطفى على جاد"/>
        <s v="عبد الله محمد عزت"/>
        <s v="اشرف محمد محروس محمود "/>
        <s v="كريم خالد محمد محمود"/>
        <s v="ندى محمد محمود عبد المقصود"/>
        <s v="ندى محمد سعد محمد"/>
        <s v="بسنت نصر سالم محمد سالم"/>
        <s v="احمد محمد مصطفى عبد الغفار"/>
        <s v="اسامه محمد احمد عبد الحميد"/>
        <s v="الهام حسن عبدالمولي"/>
        <s v="فاطمه سيد محمد البعرور "/>
        <s v="هاله محمد موسى"/>
        <s v="امنيه وليد احمد توفيق"/>
        <s v="احمد سعيد محمود"/>
        <s v="رحاب عبد الهادى احمد بدوى"/>
        <s v="فاطمة خالد عبدالمرضى شهاب الدين"/>
        <s v="شهد احمد عبد الله"/>
        <s v="احمد خالد زغلول إبراهيم"/>
        <s v="يوسف كامل  عبد الله صبحى غنيم "/>
        <e v="#N/A"/>
      </sharedItems>
    </cacheField>
    <cacheField name="القسم " numFmtId="0">
      <sharedItems containsMixedTypes="1" containsNumber="1" containsInteger="1" minValue="0" maxValue="0"/>
    </cacheField>
    <cacheField name="الفرع " numFmtId="0">
      <sharedItems/>
    </cacheField>
    <cacheField name="سلفه / سداد" numFmtId="0">
      <sharedItems/>
    </cacheField>
    <cacheField name="السلفه " numFmtId="43">
      <sharedItems containsString="0" containsBlank="1" containsNumber="1" containsInteger="1" minValue="200" maxValue="4000"/>
    </cacheField>
    <cacheField name="طريق السداد" numFmtId="0">
      <sharedItems containsBlank="1"/>
    </cacheField>
    <cacheField name="Column1" numFmtId="0">
      <sharedItems containsNonDate="0" containsString="0" containsBlank="1"/>
    </cacheField>
    <cacheField name="Column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5988.779461111109" createdVersion="8" refreshedVersion="8" minRefreshableVersion="3" recordCount="48" xr:uid="{402AB6CE-3465-40CE-AE8B-F60738182093}">
  <cacheSource type="worksheet">
    <worksheetSource name="Table4" r:id="rId2"/>
  </cacheSource>
  <cacheFields count="11">
    <cacheField name="التاريخ " numFmtId="168">
      <sharedItems containsNonDate="0" containsDate="1" containsString="0" containsBlank="1" minDate="2025-02-17T00:00:00" maxDate="2025-11-28T00:00:00"/>
    </cacheField>
    <cacheField name="الشهر " numFmtId="0">
      <sharedItems/>
    </cacheField>
    <cacheField name="الكود" numFmtId="0">
      <sharedItems containsString="0" containsBlank="1" containsNumber="1" containsInteger="1" minValue="1" maxValue="787" count="64">
        <n v="509"/>
        <n v="162"/>
        <n v="289"/>
        <n v="724"/>
        <m/>
        <n v="294"/>
        <n v="603"/>
        <n v="302"/>
        <n v="466"/>
        <n v="787"/>
        <n v="554"/>
        <n v="662" u="1"/>
        <n v="324" u="1"/>
        <n v="751" u="1"/>
        <n v="133" u="1"/>
        <n v="630" u="1"/>
        <n v="660" u="1"/>
        <n v="706" u="1"/>
        <n v="640" u="1"/>
        <n v="661" u="1"/>
        <n v="136" u="1"/>
        <n v="716" u="1"/>
        <n v="7" u="1"/>
        <n v="53" u="1"/>
        <n v="169" u="1"/>
        <n v="222" u="1"/>
        <n v="401" u="1"/>
        <n v="195" u="1"/>
        <n v="141" u="1"/>
        <n v="345" u="1"/>
        <n v="166" u="1"/>
        <n v="1" u="1"/>
        <n v="45" u="1"/>
        <n v="217" u="1"/>
        <n v="137" u="1"/>
        <n v="25" u="1"/>
        <n v="494" u="1"/>
        <n v="241" u="1"/>
        <n v="187" u="1"/>
        <n v="240" u="1"/>
        <n v="276" u="1"/>
        <n v="329" u="1"/>
        <n v="212" u="1"/>
        <n v="31" u="1"/>
        <n v="130" u="1"/>
        <n v="613" u="1"/>
        <n v="155" u="1"/>
        <n v="128" u="1"/>
        <n v="234" u="1"/>
        <n v="478" u="1"/>
        <n v="318" u="1"/>
        <n v="317" u="1"/>
        <n v="548" u="1"/>
        <n v="206" u="1"/>
        <n v="127" u="1"/>
        <n v="232" u="1"/>
        <n v="255" u="1"/>
        <n v="201" u="1"/>
        <n v="71" u="1"/>
        <n v="54" u="1"/>
        <n v="356" u="1"/>
        <n v="97" u="1"/>
        <n v="171" u="1"/>
        <n v="224" u="1"/>
      </sharedItems>
    </cacheField>
    <cacheField name="اسم الموظف" numFmtId="0">
      <sharedItems containsBlank="1" count="65">
        <s v="كريم اشرف فاروق "/>
        <s v="عمرو على سليم محمد السيد"/>
        <s v="صبري عبد الهادي عبد الهادي"/>
        <s v="محمد حسن محمود حسن "/>
        <s v=""/>
        <s v="باسم ناجي سعد"/>
        <s v="السيد محمد السيد بدوي "/>
        <s v="مي سيد إبراهيم"/>
        <s v="فاطمة محمود سلامه "/>
        <s v="هبه عبدالبديع "/>
        <s v="نيرة عادل محمد حسين "/>
        <s v="محمد ربيع محمد إسماعيل " u="1"/>
        <s v="شوقيه محمد عثمان" u="1"/>
        <s v="محمد علي حسن محمد " u="1"/>
        <s v="نادين عماد منصور محمد" u="1"/>
        <s v="احمد السيد علي عبدالقادر " u="1"/>
        <s v="عصام محمد حسين يوسف " u="1"/>
        <s v="ناريمان محمد فريد " u="1"/>
        <s v="سامح السيد عارف إبراهيم " u="1"/>
        <s v="ايمان المرشدي حسنين منتصر " u="1"/>
        <s v="بهاء محمد السيد صالح أبو حسين" u="1"/>
        <s v="خالد زكي السيد " u="1"/>
        <m u="1"/>
        <s v="مريم محمد على سيد خطاب" u="1"/>
        <s v="احمد مصطفي كامل" u="1"/>
        <e v="#N/A" u="1"/>
        <s v="محمود النادى أبو الحسن احمد" u="1"/>
        <s v="محمد جمال شحاته " u="1"/>
        <s v="احمد ممدوح احمد عباس احمد" u="1"/>
        <s v="مينا محب شلبي" u="1"/>
        <s v="محمد وفيق إبراهيم عبد المعطى" u="1"/>
        <s v="محمد السيد محمد الدسوقي " u="1"/>
        <s v="رحاب عبد الهادى احمد بدوى" u="1"/>
        <s v="مصطفي محمود محمد" u="1"/>
        <s v="فاطمة احمد سيد حجازى" u="1"/>
        <s v="منى احمد طه احمد سعد" u="1"/>
        <s v="حازم مجدى احمد عبد السميع" u="1"/>
        <s v="دعاء محمد عثمان" u="1"/>
        <s v="عبدالله عماد محمد" u="1"/>
        <s v="سحر احمد حمدى احمد النجار" u="1"/>
        <s v="نور خالد وجدى هاشم" u="1"/>
        <s v="كريم عبد المنعم عبد العزيز السيد" u="1"/>
        <s v="صباح عبد المنعم عتريس حسن" u="1"/>
        <s v="محمد مجدى ربيع عبد الغنى جاد" u="1"/>
        <s v="هيثم فاروق إبراهيم" u="1"/>
        <s v="عبد الرحمن عوض عباس عوض كشك" u="1"/>
        <s v="ندى محمد محمود عبد المقصود" u="1"/>
        <s v="محمود عبدالمنعم محمد إبراهيم " u="1"/>
        <s v="محمد رضا محمد سليمان" u="1"/>
        <s v="محمد عبدالله منتصر " u="1"/>
        <s v="ندى محمد سعد" u="1"/>
        <s v="احمد الحفنى احمد الجمل" u="1"/>
        <s v="محمد احمد مرسي خليل " u="1"/>
        <s v="سامح ماجد الهجرسي" u="1"/>
        <s v="إبراهيم محمود حسن السيد محفوظ" u="1"/>
        <s v="محمد سمير إبراهيم سيد احمد والى" u="1"/>
        <s v="احمد سالم عبد العظيم محمد" u="1"/>
        <s v="احمد عوض عباس عوض كشك" u="1"/>
        <s v="حازم عصام عبد الموجود إسماعيل" u="1"/>
        <s v="خالد محمد عبد العظيم إسماعيل" u="1"/>
        <s v="اسلام" u="1"/>
        <s v="حسام احمد عبد الفتاح حسين" u="1"/>
        <s v="مازن احمد عبدالحليم عبدالحميد " u="1"/>
        <s v="محمد عزت محمد رشاد " u="1"/>
        <s v="كريم محمود فهمى عبد الصادق احمد" u="1"/>
      </sharedItems>
    </cacheField>
    <cacheField name="القسم " numFmtId="0">
      <sharedItems/>
    </cacheField>
    <cacheField name="الفرع " numFmtId="0">
      <sharedItems/>
    </cacheField>
    <cacheField name="سلفه / سداد" numFmtId="0">
      <sharedItems containsNonDate="0" containsString="0" containsBlank="1"/>
    </cacheField>
    <cacheField name="السلفه " numFmtId="43">
      <sharedItems containsString="0" containsBlank="1" containsNumber="1" containsInteger="1" minValue="200" maxValue="4500"/>
    </cacheField>
    <cacheField name="طريق السداد" numFmtId="0">
      <sharedItems containsBlank="1"/>
    </cacheField>
    <cacheField name="ملاحظات " numFmtId="0">
      <sharedItems containsBlank="1"/>
    </cacheField>
    <cacheField name="Column1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7">
  <r>
    <d v="2024-04-21T00:00:00"/>
    <s v="Apr"/>
    <x v="0"/>
    <x v="0"/>
    <s v="وكيل تحصيل "/>
    <s v="سهولة"/>
    <s v="سلفه "/>
    <m/>
    <s v="مبلغ معلق"/>
    <m/>
    <m/>
  </r>
  <r>
    <d v="2024-04-18T00:00:00"/>
    <s v="Apr"/>
    <x v="1"/>
    <x v="1"/>
    <s v="وكيل تحصيل "/>
    <s v="فاليو"/>
    <s v="سلفه "/>
    <m/>
    <s v="مبلغ معلق"/>
    <m/>
    <m/>
  </r>
  <r>
    <d v="2024-07-28T00:00:00"/>
    <s v="Jul"/>
    <x v="2"/>
    <x v="2"/>
    <s v="كبير مشرفى تحصيل"/>
    <s v="كريدى اجريكول"/>
    <s v="سلفه "/>
    <m/>
    <s v="مبلغ معلق"/>
    <m/>
    <m/>
  </r>
  <r>
    <d v="2025-03-22T00:00:00"/>
    <s v="Mar"/>
    <x v="3"/>
    <x v="3"/>
    <s v="بنك كريدى اجريكول"/>
    <s v="مشرف تحصيل"/>
    <s v="سلفه "/>
    <m/>
    <s v="مبلغ معلق"/>
    <m/>
    <m/>
  </r>
  <r>
    <d v="2025-08-06T00:00:00"/>
    <s v="Aug"/>
    <x v="4"/>
    <x v="4"/>
    <s v="مشرف تحصيل"/>
    <s v="بنك الاسكندرية"/>
    <s v="سلفه "/>
    <m/>
    <s v="إيصال امانة تخصم على 3 شهور "/>
    <m/>
    <m/>
  </r>
  <r>
    <d v="2025-05-15T00:00:00"/>
    <s v="May"/>
    <x v="5"/>
    <x v="5"/>
    <s v="كبير مشرفى تحصيل"/>
    <s v="شركة فاليو"/>
    <s v="سلفه "/>
    <n v="1500"/>
    <s v="إيصال امانة 500 كل شهر"/>
    <m/>
    <m/>
  </r>
  <r>
    <d v="2025-06-23T00:00:00"/>
    <s v="Jun"/>
    <x v="6"/>
    <x v="6"/>
    <s v="خدمات معاونة"/>
    <s v="الخدمات المعاونة"/>
    <s v="سلفه "/>
    <n v="500"/>
    <s v="إيصال امانة تخصم 500 كل شهر"/>
    <m/>
    <m/>
  </r>
  <r>
    <d v="2025-07-15T00:00:00"/>
    <s v="Jul"/>
    <x v="7"/>
    <x v="7"/>
    <s v="كبير مشرفى تحصيل"/>
    <e v="#N/A"/>
    <s v="سلفه "/>
    <n v="1000"/>
    <s v="إيصال امانة"/>
    <m/>
    <m/>
  </r>
  <r>
    <d v="2025-07-30T00:00:00"/>
    <s v="Jul"/>
    <x v="8"/>
    <x v="8"/>
    <s v="وكيل تحصيل"/>
    <s v="بنك كريدى اجريكول"/>
    <s v="سلفه "/>
    <m/>
    <s v="مرحل"/>
    <m/>
    <m/>
  </r>
  <r>
    <d v="2025-08-18T00:00:00"/>
    <s v="Aug"/>
    <x v="9"/>
    <x v="9"/>
    <s v="وكيل تحصيل"/>
    <s v="شركة فاليو"/>
    <s v="سلفه "/>
    <m/>
    <m/>
    <m/>
    <m/>
  </r>
  <r>
    <d v="2025-08-26T00:00:00"/>
    <s v="Aug"/>
    <x v="6"/>
    <x v="6"/>
    <s v="خدمات معاونة"/>
    <s v="الخدمات المعاونة"/>
    <s v="سلفه "/>
    <m/>
    <s v="500 كل شهر"/>
    <m/>
    <m/>
  </r>
  <r>
    <d v="2025-08-26T00:00:00"/>
    <s v="Aug"/>
    <x v="10"/>
    <x v="10"/>
    <s v="وكيل تحصيل هاتفى"/>
    <s v="شركة راية"/>
    <s v="سلفه "/>
    <m/>
    <s v="إيصال امانة (تخصم على 3 شهور )"/>
    <m/>
    <m/>
  </r>
  <r>
    <d v="2025-09-03T00:00:00"/>
    <s v="Sep"/>
    <x v="11"/>
    <x v="11"/>
    <s v="وكيل تحصيل"/>
    <e v="#N/A"/>
    <s v="سلفه "/>
    <m/>
    <m/>
    <m/>
    <m/>
  </r>
  <r>
    <d v="2025-09-17T00:00:00"/>
    <s v="Sep"/>
    <x v="5"/>
    <x v="5"/>
    <s v="كبير مشرفى تحصيل"/>
    <s v="شركة فاليو"/>
    <s v="سلفه "/>
    <m/>
    <m/>
    <m/>
    <m/>
  </r>
  <r>
    <d v="2025-09-18T00:00:00"/>
    <s v="Sep"/>
    <x v="8"/>
    <x v="8"/>
    <s v="وكيل تحصيل"/>
    <s v="بنك كريدى اجريكول"/>
    <s v="سلفه "/>
    <m/>
    <m/>
    <m/>
    <m/>
  </r>
  <r>
    <d v="2025-09-20T00:00:00"/>
    <s v="Sep"/>
    <x v="6"/>
    <x v="6"/>
    <s v="خدمات معاونة"/>
    <s v="الخدمات المعاونة"/>
    <s v="سلفه "/>
    <m/>
    <s v="علاج ابنه"/>
    <m/>
    <m/>
  </r>
  <r>
    <d v="2025-09-21T00:00:00"/>
    <s v="Sep"/>
    <x v="12"/>
    <x v="12"/>
    <s v="مشرف تحصيل"/>
    <e v="#N/A"/>
    <s v="سلفه "/>
    <m/>
    <s v="راتب شهر 10"/>
    <m/>
    <m/>
  </r>
  <r>
    <d v="2025-09-21T00:00:00"/>
    <s v="Sep"/>
    <x v="9"/>
    <x v="9"/>
    <s v="وكيل تحصيل"/>
    <s v="شركة فاليو"/>
    <s v="سلفه "/>
    <n v="500"/>
    <m/>
    <m/>
    <m/>
  </r>
  <r>
    <d v="2025-09-25T00:00:00"/>
    <s v="Sep"/>
    <x v="8"/>
    <x v="8"/>
    <s v="وكيل تحصيل"/>
    <s v="بنك كريدى اجريكول"/>
    <s v="سلفه "/>
    <m/>
    <m/>
    <m/>
    <m/>
  </r>
  <r>
    <d v="2025-10-06T00:00:00"/>
    <s v="Oct"/>
    <x v="13"/>
    <x v="13"/>
    <s v="الشئون القانونية"/>
    <s v="محامى"/>
    <s v="سلفه "/>
    <n v="1500"/>
    <s v="ايصال امانة يخصم علي مرتين"/>
    <m/>
    <m/>
  </r>
  <r>
    <d v="2025-10-11T00:00:00"/>
    <s v="Oct"/>
    <x v="14"/>
    <x v="14"/>
    <s v="مسئول ادارى"/>
    <e v="#N/A"/>
    <s v="سلفه "/>
    <m/>
    <m/>
    <m/>
    <m/>
  </r>
  <r>
    <d v="2025-10-13T00:00:00"/>
    <s v="Oct"/>
    <x v="15"/>
    <x v="15"/>
    <s v="وكيل تحصيل"/>
    <e v="#N/A"/>
    <s v="سلفه "/>
    <m/>
    <s v="علي مرة من المرتب"/>
    <m/>
    <m/>
  </r>
  <r>
    <d v="2025-10-13T00:00:00"/>
    <s v="Oct"/>
    <x v="16"/>
    <x v="16"/>
    <s v="وكيل تحصيل"/>
    <s v="شركة فاليو"/>
    <s v="سلفه "/>
    <m/>
    <m/>
    <m/>
    <m/>
  </r>
  <r>
    <d v="2025-10-14T00:00:00"/>
    <s v="Oct"/>
    <x v="17"/>
    <x v="17"/>
    <s v="رئيس فريق عمل"/>
    <s v="بنك كريدى اجريكول"/>
    <s v="سلفه "/>
    <m/>
    <m/>
    <m/>
    <m/>
  </r>
  <r>
    <d v="2025-10-14T00:00:00"/>
    <s v="Oct"/>
    <x v="18"/>
    <x v="18"/>
    <s v="وكيل تحصيل هاتفى"/>
    <e v="#N/A"/>
    <s v="سلفه "/>
    <m/>
    <m/>
    <m/>
    <m/>
  </r>
  <r>
    <d v="2025-10-14T00:00:00"/>
    <s v="Oct"/>
    <x v="9"/>
    <x v="9"/>
    <s v="وكيل تحصيل"/>
    <s v="شركة فاليو"/>
    <s v="سلفه "/>
    <n v="500"/>
    <m/>
    <m/>
    <m/>
  </r>
  <r>
    <d v="2025-10-15T00:00:00"/>
    <s v="Oct"/>
    <x v="19"/>
    <x v="19"/>
    <n v="0"/>
    <e v="#N/A"/>
    <s v="سلفه "/>
    <m/>
    <m/>
    <m/>
    <m/>
  </r>
  <r>
    <d v="2025-10-15T00:00:00"/>
    <s v="Oct"/>
    <x v="20"/>
    <x v="20"/>
    <s v="وكيل تحصيل هاتفى"/>
    <s v="شركة فاليو"/>
    <s v="سلفه "/>
    <m/>
    <m/>
    <m/>
    <m/>
  </r>
  <r>
    <d v="2025-10-15T00:00:00"/>
    <s v="Oct"/>
    <x v="12"/>
    <x v="12"/>
    <s v="مشرف تحصيل"/>
    <e v="#N/A"/>
    <s v="سلفه "/>
    <m/>
    <m/>
    <m/>
    <m/>
  </r>
  <r>
    <d v="2025-10-15T00:00:00"/>
    <s v="Oct"/>
    <x v="21"/>
    <x v="21"/>
    <s v="وكيل تحصيل هاتفى"/>
    <s v="بنك الإسكندرية "/>
    <s v="سلفه "/>
    <m/>
    <m/>
    <m/>
    <m/>
  </r>
  <r>
    <d v="2025-10-15T00:00:00"/>
    <s v="Oct"/>
    <x v="22"/>
    <x v="22"/>
    <s v="مشرف تحصيل"/>
    <s v="شركة فاليو"/>
    <s v="سلفه "/>
    <m/>
    <m/>
    <m/>
    <m/>
  </r>
  <r>
    <d v="2025-10-15T00:00:00"/>
    <s v="Oct"/>
    <x v="23"/>
    <x v="23"/>
    <s v="وكيل تحصيل هاتفى"/>
    <e v="#N/A"/>
    <s v="سلفه "/>
    <m/>
    <m/>
    <m/>
    <m/>
  </r>
  <r>
    <d v="2025-10-15T00:00:00"/>
    <s v="Oct"/>
    <x v="8"/>
    <x v="8"/>
    <s v="وكيل تحصيل"/>
    <s v="بنك كريدى اجريكول"/>
    <s v="سلفه "/>
    <m/>
    <m/>
    <m/>
    <m/>
  </r>
  <r>
    <d v="2025-10-16T00:00:00"/>
    <s v="Oct"/>
    <x v="24"/>
    <x v="24"/>
    <s v="وكيل تحصيل"/>
    <e v="#N/A"/>
    <s v="سلفه "/>
    <m/>
    <m/>
    <m/>
    <m/>
  </r>
  <r>
    <d v="2025-10-16T00:00:00"/>
    <s v="Oct"/>
    <x v="25"/>
    <x v="25"/>
    <s v="وكيل تحصيل"/>
    <s v="شركة ميد تقسيط"/>
    <s v="سلفه "/>
    <m/>
    <m/>
    <m/>
    <m/>
  </r>
  <r>
    <d v="2025-10-16T00:00:00"/>
    <s v="Oct"/>
    <x v="11"/>
    <x v="11"/>
    <s v="وكيل تحصيل"/>
    <e v="#N/A"/>
    <s v="سلفه "/>
    <m/>
    <m/>
    <m/>
    <m/>
  </r>
  <r>
    <d v="2025-10-16T00:00:00"/>
    <s v="Oct"/>
    <x v="26"/>
    <x v="26"/>
    <s v="وكيل تحصيل هاتفى"/>
    <e v="#N/A"/>
    <s v="سلفه "/>
    <m/>
    <m/>
    <m/>
    <m/>
  </r>
  <r>
    <d v="2025-10-16T00:00:00"/>
    <s v="Oct"/>
    <x v="27"/>
    <x v="27"/>
    <s v="كبير مشرفى تحصيل"/>
    <s v="بنك الإسكندرية / شركة سهولة"/>
    <s v="سلفه "/>
    <m/>
    <m/>
    <m/>
    <m/>
  </r>
  <r>
    <d v="2025-10-16T00:00:00"/>
    <s v="Oct"/>
    <x v="28"/>
    <x v="28"/>
    <s v="الشئون القانونية"/>
    <e v="#N/A"/>
    <s v="سلفه "/>
    <m/>
    <m/>
    <m/>
    <m/>
  </r>
  <r>
    <d v="2025-10-16T00:00:00"/>
    <s v="Oct"/>
    <x v="29"/>
    <x v="29"/>
    <s v="الشئون القانونية"/>
    <e v="#N/A"/>
    <s v="سلفه "/>
    <m/>
    <m/>
    <m/>
    <m/>
  </r>
  <r>
    <d v="2025-10-16T00:00:00"/>
    <s v="Oct"/>
    <x v="6"/>
    <x v="6"/>
    <s v="خدمات معاونة"/>
    <s v="الخدمات المعاونة"/>
    <s v="سلفه "/>
    <m/>
    <m/>
    <m/>
    <m/>
  </r>
  <r>
    <d v="2025-10-16T00:00:00"/>
    <s v="Oct"/>
    <x v="4"/>
    <x v="4"/>
    <s v="مشرف تحصيل"/>
    <s v="بنك الاسكندرية"/>
    <s v="سلفه "/>
    <m/>
    <m/>
    <m/>
    <m/>
  </r>
  <r>
    <d v="2025-10-16T00:00:00"/>
    <s v="Oct"/>
    <x v="30"/>
    <x v="30"/>
    <s v="مشرف تحصيل"/>
    <s v="شركة راية"/>
    <s v="سلفه "/>
    <m/>
    <m/>
    <m/>
    <m/>
  </r>
  <r>
    <d v="2025-10-19T00:00:00"/>
    <s v="Oct"/>
    <x v="31"/>
    <x v="31"/>
    <s v="وكيل تحصيل"/>
    <e v="#N/A"/>
    <s v="سلفه "/>
    <m/>
    <m/>
    <m/>
    <m/>
  </r>
  <r>
    <d v="2025-10-20T00:00:00"/>
    <s v="Oct"/>
    <x v="12"/>
    <x v="12"/>
    <s v="مشرف تحصيل"/>
    <e v="#N/A"/>
    <s v="سلفه "/>
    <m/>
    <m/>
    <m/>
    <m/>
  </r>
  <r>
    <d v="2025-10-20T00:00:00"/>
    <s v="Oct"/>
    <x v="9"/>
    <x v="9"/>
    <s v="وكيل تحصيل"/>
    <s v="شركة فاليو"/>
    <s v="سلفه "/>
    <m/>
    <m/>
    <m/>
    <m/>
  </r>
  <r>
    <d v="2025-10-20T00:00:00"/>
    <s v="Oct"/>
    <x v="32"/>
    <x v="32"/>
    <s v="وكيل تحصيل "/>
    <s v="بنك الإسكندرية"/>
    <s v="سلفه "/>
    <m/>
    <m/>
    <m/>
    <m/>
  </r>
  <r>
    <d v="2025-10-20T00:00:00"/>
    <s v="Oct"/>
    <x v="33"/>
    <x v="33"/>
    <s v="الشئون القانونية"/>
    <e v="#N/A"/>
    <s v="سلفه "/>
    <m/>
    <m/>
    <m/>
    <m/>
  </r>
  <r>
    <d v="2025-10-20T00:00:00"/>
    <s v="Oct"/>
    <x v="6"/>
    <x v="6"/>
    <s v="خدمات معاونة"/>
    <s v="الخدمات المعاونة"/>
    <s v="سلفه "/>
    <m/>
    <s v="علاج ابنه"/>
    <m/>
    <m/>
  </r>
  <r>
    <d v="2025-10-20T00:00:00"/>
    <s v="Oct"/>
    <x v="21"/>
    <x v="21"/>
    <s v="وكيل تحصيل هاتفى"/>
    <s v="بنك الإسكندرية "/>
    <s v="سلفه "/>
    <m/>
    <m/>
    <m/>
    <m/>
  </r>
  <r>
    <d v="2025-10-20T00:00:00"/>
    <s v="Oct"/>
    <x v="34"/>
    <x v="34"/>
    <s v="وكيل تحصيل هاتفى"/>
    <s v=" شركة ميد تقسيط"/>
    <s v="سلفه "/>
    <m/>
    <m/>
    <m/>
    <m/>
  </r>
  <r>
    <d v="2025-10-20T00:00:00"/>
    <s v="Oct"/>
    <x v="8"/>
    <x v="8"/>
    <s v="وكيل تحصيل"/>
    <s v="بنك كريدى اجريكول"/>
    <s v="سلفه "/>
    <m/>
    <m/>
    <m/>
    <m/>
  </r>
  <r>
    <d v="2025-10-20T00:00:00"/>
    <s v="Oct"/>
    <x v="27"/>
    <x v="27"/>
    <s v="كبير مشرفى تحصيل"/>
    <s v="بنك الإسكندرية / شركة سهولة"/>
    <s v="سلفه "/>
    <m/>
    <m/>
    <m/>
    <m/>
  </r>
  <r>
    <d v="2025-10-21T00:00:00"/>
    <s v="Oct"/>
    <x v="24"/>
    <x v="24"/>
    <s v="وكيل تحصيل"/>
    <e v="#N/A"/>
    <s v="سلفه "/>
    <m/>
    <m/>
    <m/>
    <m/>
  </r>
  <r>
    <d v="2025-10-21T00:00:00"/>
    <s v="Oct"/>
    <x v="35"/>
    <x v="35"/>
    <s v="وكيل تحصيل هاتفى"/>
    <s v="بنك كريدى اجريكول"/>
    <s v="سلفه "/>
    <m/>
    <m/>
    <m/>
    <m/>
  </r>
  <r>
    <d v="2025-10-22T00:00:00"/>
    <s v="Oct"/>
    <x v="4"/>
    <x v="4"/>
    <s v="مشرف تحصيل"/>
    <s v="بنك الاسكندرية"/>
    <s v="سلفه "/>
    <m/>
    <m/>
    <m/>
    <m/>
  </r>
  <r>
    <d v="2025-10-22T00:00:00"/>
    <s v="Oct"/>
    <x v="22"/>
    <x v="22"/>
    <s v="مشرف تحصيل"/>
    <s v="شركة فاليو"/>
    <s v="سلفه "/>
    <m/>
    <m/>
    <m/>
    <m/>
  </r>
  <r>
    <d v="2025-10-22T00:00:00"/>
    <s v="Oct"/>
    <x v="36"/>
    <x v="36"/>
    <s v="وكيل تحصيل هاتفى"/>
    <e v="#N/A"/>
    <s v="سلفه "/>
    <m/>
    <m/>
    <m/>
    <m/>
  </r>
  <r>
    <d v="2025-10-23T00:00:00"/>
    <s v="Oct"/>
    <x v="37"/>
    <x v="37"/>
    <s v="وكيل تحصيل"/>
    <e v="#N/A"/>
    <s v="سلفه "/>
    <m/>
    <m/>
    <m/>
    <m/>
  </r>
  <r>
    <d v="2025-10-23T00:00:00"/>
    <s v="Oct"/>
    <x v="5"/>
    <x v="5"/>
    <s v="كبير مشرفى تحصيل"/>
    <s v="شركة فاليو"/>
    <s v="سلفه "/>
    <m/>
    <m/>
    <m/>
    <m/>
  </r>
  <r>
    <d v="2025-10-23T00:00:00"/>
    <s v="Oct"/>
    <x v="27"/>
    <x v="27"/>
    <s v="كبير مشرفى تحصيل"/>
    <s v="بنك الإسكندرية / شركة سهولة"/>
    <s v="سلفه "/>
    <m/>
    <m/>
    <m/>
    <m/>
  </r>
  <r>
    <d v="2025-10-25T00:00:00"/>
    <s v="Oct"/>
    <x v="38"/>
    <x v="38"/>
    <s v="الشئون القانونية"/>
    <s v="تحصيل / شئون قانونية"/>
    <s v="سلفه "/>
    <m/>
    <m/>
    <m/>
    <m/>
  </r>
  <r>
    <d v="2025-10-25T00:00:00"/>
    <s v="Oct"/>
    <x v="39"/>
    <x v="39"/>
    <s v="الشئون القانونية"/>
    <e v="#N/A"/>
    <s v="سلفه "/>
    <n v="500"/>
    <s v="تخصم من شهر نوفمبر"/>
    <m/>
    <m/>
  </r>
  <r>
    <d v="2025-10-25T00:00:00"/>
    <s v="Oct"/>
    <x v="37"/>
    <x v="37"/>
    <s v="وكيل تحصيل"/>
    <e v="#N/A"/>
    <s v="سلفه "/>
    <m/>
    <m/>
    <m/>
    <m/>
  </r>
  <r>
    <d v="2025-10-27T00:00:00"/>
    <s v="Oct"/>
    <x v="40"/>
    <x v="40"/>
    <s v="خدمات معاونة"/>
    <e v="#N/A"/>
    <s v="سلفه "/>
    <m/>
    <m/>
    <m/>
    <m/>
  </r>
  <r>
    <d v="2025-10-27T00:00:00"/>
    <s v="Oct"/>
    <x v="27"/>
    <x v="27"/>
    <s v="كبير مشرفى تحصيل"/>
    <s v="بنك الإسكندرية / شركة سهولة"/>
    <s v="سلفه "/>
    <m/>
    <m/>
    <m/>
    <m/>
  </r>
  <r>
    <d v="2025-11-04T00:00:00"/>
    <s v="Nov"/>
    <x v="16"/>
    <x v="16"/>
    <s v="وكيل تحصيل"/>
    <s v="شركة فاليو"/>
    <s v="سلفه "/>
    <n v="3000"/>
    <s v="إيصال امانة"/>
    <m/>
    <m/>
  </r>
  <r>
    <d v="2025-11-08T00:00:00"/>
    <s v="Nov"/>
    <x v="12"/>
    <x v="12"/>
    <s v="مشرف تحصيل"/>
    <e v="#N/A"/>
    <s v="سلفه "/>
    <n v="500"/>
    <m/>
    <m/>
    <m/>
  </r>
  <r>
    <d v="2025-11-08T00:00:00"/>
    <s v="Nov"/>
    <x v="8"/>
    <x v="8"/>
    <s v="وكيل تحصيل"/>
    <s v="بنك كريدى اجريكول"/>
    <s v="سلفه "/>
    <n v="3000"/>
    <s v="إيصال امانة 2500 و 500 سلفة "/>
    <m/>
    <m/>
  </r>
  <r>
    <d v="2025-11-08T00:00:00"/>
    <s v="Nov"/>
    <x v="6"/>
    <x v="6"/>
    <s v="خدمات معاونة"/>
    <s v="الخدمات المعاونة"/>
    <s v="سلفه "/>
    <n v="2000"/>
    <m/>
    <m/>
    <m/>
  </r>
  <r>
    <d v="2025-11-08T00:00:00"/>
    <s v="Nov"/>
    <x v="4"/>
    <x v="4"/>
    <s v="مشرف تحصيل"/>
    <s v="بنك الاسكندرية"/>
    <s v="سلفه "/>
    <n v="4000"/>
    <s v="عن ايصالات موجودة فالخزينة"/>
    <m/>
    <m/>
  </r>
  <r>
    <d v="2025-11-09T00:00:00"/>
    <s v="Nov"/>
    <x v="15"/>
    <x v="15"/>
    <s v="الشئون القانونية"/>
    <e v="#N/A"/>
    <s v="سلفه "/>
    <n v="1000"/>
    <s v="تخصم من اقرب مرتب او المكافاة"/>
    <m/>
    <m/>
  </r>
  <r>
    <d v="2025-11-10T00:00:00"/>
    <s v="Nov"/>
    <x v="25"/>
    <x v="25"/>
    <s v="وكيل تحصيل"/>
    <s v="شركة ميد تقسيط"/>
    <s v="سلفه "/>
    <n v="1000"/>
    <m/>
    <m/>
    <m/>
  </r>
  <r>
    <d v="2025-11-10T00:00:00"/>
    <s v="Nov"/>
    <x v="11"/>
    <x v="11"/>
    <s v="وكيل تحصيل"/>
    <e v="#N/A"/>
    <s v="سلفه "/>
    <n v="1500"/>
    <m/>
    <m/>
    <m/>
  </r>
  <r>
    <d v="2025-11-11T00:00:00"/>
    <s v="Nov"/>
    <x v="37"/>
    <x v="37"/>
    <s v="وكيل تحصيل"/>
    <e v="#N/A"/>
    <s v="سلفه "/>
    <n v="1000"/>
    <m/>
    <m/>
    <m/>
  </r>
  <r>
    <d v="2025-11-11T00:00:00"/>
    <s v="Nov"/>
    <x v="41"/>
    <x v="41"/>
    <s v="خدمات معاونة"/>
    <e v="#N/A"/>
    <s v="سلفه "/>
    <n v="500"/>
    <s v="علي مرتين من المرتب"/>
    <m/>
    <m/>
  </r>
  <r>
    <d v="2025-11-11T00:00:00"/>
    <s v="Nov"/>
    <x v="42"/>
    <x v="42"/>
    <s v="وكيل تحصيل هاتفى"/>
    <e v="#N/A"/>
    <s v="سلفه "/>
    <n v="600"/>
    <m/>
    <m/>
    <m/>
  </r>
  <r>
    <d v="2025-11-11T00:00:00"/>
    <s v="Nov"/>
    <x v="27"/>
    <x v="27"/>
    <s v="كبير مشرفى تحصيل"/>
    <s v="بنك الإسكندرية / شركة سهولة"/>
    <s v="سلفه "/>
    <n v="1000"/>
    <m/>
    <m/>
    <m/>
  </r>
  <r>
    <d v="2025-11-12T00:00:00"/>
    <s v="Nov"/>
    <x v="22"/>
    <x v="22"/>
    <s v="مشرف تحصيل"/>
    <s v="شركة فاليو"/>
    <s v="سلفه "/>
    <n v="3000"/>
    <s v="إيصال امانة"/>
    <m/>
    <m/>
  </r>
  <r>
    <d v="2025-11-13T00:00:00"/>
    <s v="Nov"/>
    <x v="43"/>
    <x v="43"/>
    <s v="وكيل تحصيل"/>
    <e v="#N/A"/>
    <s v="سلفه "/>
    <n v="300"/>
    <m/>
    <m/>
    <m/>
  </r>
  <r>
    <d v="2025-11-13T00:00:00"/>
    <s v="Nov"/>
    <x v="24"/>
    <x v="24"/>
    <s v="وكيل تحصيل"/>
    <e v="#N/A"/>
    <s v="سلفه "/>
    <n v="300"/>
    <m/>
    <m/>
    <m/>
  </r>
  <r>
    <d v="2025-11-16T00:00:00"/>
    <s v="Nov"/>
    <x v="36"/>
    <x v="36"/>
    <s v="وكيل تحصيل هاتفى"/>
    <e v="#N/A"/>
    <s v="سلفه "/>
    <n v="500"/>
    <m/>
    <m/>
    <m/>
  </r>
  <r>
    <d v="2025-11-16T00:00:00"/>
    <s v="Nov"/>
    <x v="21"/>
    <x v="21"/>
    <s v="وكيل تحصيل هاتفى"/>
    <s v="بنك الإسكندرية "/>
    <s v="سلفه "/>
    <n v="300"/>
    <m/>
    <m/>
    <m/>
  </r>
  <r>
    <d v="2025-11-16T00:00:00"/>
    <s v="Nov"/>
    <x v="12"/>
    <x v="12"/>
    <s v="مشرف تحصيل"/>
    <e v="#N/A"/>
    <s v="سلفه "/>
    <n v="500"/>
    <m/>
    <m/>
    <m/>
  </r>
  <r>
    <d v="2025-11-17T00:00:00"/>
    <s v="Nov"/>
    <x v="44"/>
    <x v="44"/>
    <s v="مشرف تحصيل"/>
    <s v="بنك الإسكندرية / شركة سهولة"/>
    <s v="سلفه "/>
    <n v="500"/>
    <m/>
    <m/>
    <m/>
  </r>
  <r>
    <d v="2025-11-17T00:00:00"/>
    <s v="Nov"/>
    <x v="8"/>
    <x v="8"/>
    <s v="وكيل تحصيل"/>
    <s v="بنك كريدى اجريكول"/>
    <s v="سلفه "/>
    <n v="500"/>
    <m/>
    <m/>
    <m/>
  </r>
  <r>
    <d v="2025-11-17T00:00:00"/>
    <s v="Nov"/>
    <x v="35"/>
    <x v="35"/>
    <s v="وكيل تحصيل هاتفى"/>
    <s v="بنك كريدى اجريكول"/>
    <s v="سلفه "/>
    <n v="500"/>
    <m/>
    <m/>
    <m/>
  </r>
  <r>
    <d v="2025-11-17T00:00:00"/>
    <s v="Nov"/>
    <x v="27"/>
    <x v="27"/>
    <s v="كبير مشرفى تحصيل"/>
    <s v="بنك الإسكندرية / شركة سهولة"/>
    <s v="سلفه "/>
    <n v="500"/>
    <m/>
    <m/>
    <m/>
  </r>
  <r>
    <d v="2025-11-17T00:00:00"/>
    <s v="Nov"/>
    <x v="16"/>
    <x v="16"/>
    <s v="وكيل تحصيل"/>
    <s v="شركة فاليو"/>
    <s v="سلفه "/>
    <n v="2000"/>
    <s v="إيصال امانة"/>
    <m/>
    <m/>
  </r>
  <r>
    <d v="2025-11-18T00:00:00"/>
    <s v="Nov"/>
    <x v="19"/>
    <x v="19"/>
    <s v="وكيل تحصيل"/>
    <e v="#N/A"/>
    <s v="سلفه "/>
    <n v="500"/>
    <m/>
    <m/>
    <m/>
  </r>
  <r>
    <d v="2025-11-18T00:00:00"/>
    <s v="Nov"/>
    <x v="37"/>
    <x v="37"/>
    <s v="وكيل تحصيل"/>
    <e v="#N/A"/>
    <s v="سلفه "/>
    <n v="1000"/>
    <m/>
    <m/>
    <m/>
  </r>
  <r>
    <d v="2025-11-19T00:00:00"/>
    <s v="Nov"/>
    <x v="24"/>
    <x v="24"/>
    <s v="وكيل تحصيل"/>
    <e v="#N/A"/>
    <s v="سلفه "/>
    <n v="200"/>
    <m/>
    <m/>
    <m/>
  </r>
  <r>
    <d v="2025-11-19T00:00:00"/>
    <s v="Nov"/>
    <x v="45"/>
    <x v="45"/>
    <s v="وكيل تحصيل هاتفى"/>
    <e v="#N/A"/>
    <s v="سلفه "/>
    <n v="500"/>
    <m/>
    <m/>
    <m/>
  </r>
  <r>
    <d v="2025-11-19T00:00:00"/>
    <s v="Nov"/>
    <x v="6"/>
    <x v="6"/>
    <s v="خدمات معاونة"/>
    <s v="الخدمات المعاونة"/>
    <s v="سلفه "/>
    <n v="200"/>
    <m/>
    <m/>
    <m/>
  </r>
  <r>
    <d v="2025-11-19T00:00:00"/>
    <s v="Nov"/>
    <x v="12"/>
    <x v="12"/>
    <s v="مشرف تحصيل"/>
    <e v="#N/A"/>
    <s v="سلفه "/>
    <m/>
    <s v="تخصم من شهر ديسمبر"/>
    <m/>
    <m/>
  </r>
  <r>
    <d v="2025-11-19T00:00:00"/>
    <s v="Nov"/>
    <x v="21"/>
    <x v="21"/>
    <s v="وكيل تحصيل هاتفى"/>
    <s v="بنك الإسكندرية "/>
    <s v="سلفه "/>
    <n v="200"/>
    <m/>
    <m/>
    <m/>
  </r>
  <r>
    <d v="2025-11-19T00:00:00"/>
    <s v="Nov"/>
    <x v="46"/>
    <x v="46"/>
    <s v="وكيل تحصيل هاتفى"/>
    <e v="#N/A"/>
    <s v="سلفه "/>
    <n v="200"/>
    <m/>
    <m/>
    <m/>
  </r>
  <r>
    <m/>
    <s v="Jan"/>
    <x v="47"/>
    <x v="47"/>
    <s v="محاسب"/>
    <e v="#N/A"/>
    <s v="سلفه "/>
    <m/>
    <m/>
    <m/>
    <m/>
  </r>
  <r>
    <d v="2025-11-20T00:00:00"/>
    <s v="Nov"/>
    <x v="27"/>
    <x v="27"/>
    <s v="كبير مشرفى تحصيل"/>
    <s v="بنك الإسكندرية / شركة سهولة"/>
    <s v="سلفه "/>
    <n v="500"/>
    <m/>
    <m/>
    <m/>
  </r>
  <r>
    <d v="2025-11-20T00:00:00"/>
    <s v="Nov"/>
    <x v="35"/>
    <x v="35"/>
    <s v="وكيل تحصيل هاتفى"/>
    <s v="بنك كريدى اجريكول"/>
    <s v="سلفه "/>
    <n v="1000"/>
    <m/>
    <m/>
    <m/>
  </r>
  <r>
    <d v="2025-11-20T00:00:00"/>
    <s v="Nov"/>
    <x v="48"/>
    <x v="48"/>
    <s v="وكيل تحصيل "/>
    <s v="شركة ميد تقسيط"/>
    <s v="سلفه "/>
    <n v="200"/>
    <m/>
    <m/>
    <m/>
  </r>
  <r>
    <d v="2025-11-23T00:00:00"/>
    <s v="Nov"/>
    <x v="32"/>
    <x v="32"/>
    <s v="وكيل تحصيل "/>
    <s v="بنك الإسكندرية"/>
    <s v="سلفه "/>
    <n v="500"/>
    <m/>
    <m/>
    <m/>
  </r>
  <r>
    <d v="2025-11-23T00:00:00"/>
    <s v="Nov"/>
    <x v="26"/>
    <x v="26"/>
    <s v="وكيل تحصيل هاتفى"/>
    <e v="#N/A"/>
    <s v="سلفه "/>
    <n v="500"/>
    <m/>
    <m/>
    <m/>
  </r>
  <r>
    <d v="2025-11-23T00:00:00"/>
    <s v="Nov"/>
    <x v="8"/>
    <x v="8"/>
    <s v="وكيل تحصيل"/>
    <s v="بنك كريدى اجريكول"/>
    <s v="سلفه "/>
    <n v="500"/>
    <m/>
    <m/>
    <m/>
  </r>
  <r>
    <d v="2025-11-23T00:00:00"/>
    <s v="Nov"/>
    <x v="27"/>
    <x v="27"/>
    <s v="كبير مشرفى تحصيل"/>
    <s v="بنك الإسكندرية / شركة سهولة"/>
    <s v="سلفه "/>
    <n v="500"/>
    <m/>
    <m/>
    <m/>
  </r>
  <r>
    <d v="2025-11-24T00:00:00"/>
    <s v="Nov"/>
    <x v="28"/>
    <x v="28"/>
    <s v="الشئون القانونية"/>
    <e v="#N/A"/>
    <s v="سلفه "/>
    <n v="500"/>
    <m/>
    <m/>
    <m/>
  </r>
  <r>
    <d v="2025-11-25T00:00:00"/>
    <s v="Nov"/>
    <x v="5"/>
    <x v="5"/>
    <s v="كبير مشرفى تحصيل"/>
    <s v="شركة فاليو"/>
    <s v="سلفه "/>
    <n v="1000"/>
    <m/>
    <m/>
    <m/>
  </r>
  <r>
    <d v="2025-11-26T00:00:00"/>
    <s v="Nov"/>
    <x v="27"/>
    <x v="27"/>
    <s v="كبير مشرفى تحصيل"/>
    <s v="بنك الإسكندرية / شركة سهولة"/>
    <s v="سلفه "/>
    <n v="500"/>
    <m/>
    <m/>
    <m/>
  </r>
  <r>
    <d v="2025-11-26T00:00:00"/>
    <s v="Nov"/>
    <x v="4"/>
    <x v="4"/>
    <s v="مشرف تحصيل"/>
    <s v="بنك الاسكندرية"/>
    <s v="سلفه "/>
    <n v="500"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  <r>
    <m/>
    <s v="Jan"/>
    <x v="49"/>
    <x v="49"/>
    <e v="#N/A"/>
    <e v="#N/A"/>
    <s v="سلفه 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d v="2025-02-17T00:00:00"/>
    <s v="February"/>
    <x v="0"/>
    <x v="0"/>
    <s v="وكيل تحصيل "/>
    <s v="التحصيل"/>
    <m/>
    <n v="4000"/>
    <s v="الايصال "/>
    <m/>
    <m/>
  </r>
  <r>
    <d v="2025-06-18T00:00:00"/>
    <s v="June"/>
    <x v="1"/>
    <x v="1"/>
    <s v="مشرف تحصيل"/>
    <s v="التحصيل"/>
    <m/>
    <n v="1500"/>
    <m/>
    <m/>
    <m/>
  </r>
  <r>
    <d v="2025-07-15T00:00:00"/>
    <s v="July"/>
    <x v="2"/>
    <x v="2"/>
    <s v="خدمات معاونة"/>
    <s v="التحصيل"/>
    <m/>
    <n v="2500"/>
    <m/>
    <m/>
    <m/>
  </r>
  <r>
    <d v="2025-08-10T00:00:00"/>
    <s v="August"/>
    <x v="3"/>
    <x v="3"/>
    <s v="كبير مشرفى تحصيل"/>
    <s v="التحصيل "/>
    <m/>
    <m/>
    <m/>
    <m/>
    <m/>
  </r>
  <r>
    <d v="2025-08-17T00:00:00"/>
    <s v="August"/>
    <x v="4"/>
    <x v="4"/>
    <s v=""/>
    <s v=""/>
    <m/>
    <m/>
    <m/>
    <m/>
    <m/>
  </r>
  <r>
    <d v="2025-08-30T00:00:00"/>
    <s v="August"/>
    <x v="5"/>
    <x v="5"/>
    <s v="وكيل تحصيل"/>
    <s v="المالية"/>
    <m/>
    <n v="300"/>
    <m/>
    <m/>
    <m/>
  </r>
  <r>
    <d v="2025-08-31T00:00:00"/>
    <s v="August"/>
    <x v="4"/>
    <x v="4"/>
    <s v=""/>
    <s v=""/>
    <m/>
    <m/>
    <m/>
    <m/>
    <m/>
  </r>
  <r>
    <d v="2025-09-09T00:00:00"/>
    <s v="September"/>
    <x v="4"/>
    <x v="4"/>
    <s v=""/>
    <s v=""/>
    <m/>
    <m/>
    <m/>
    <m/>
    <m/>
  </r>
  <r>
    <m/>
    <s v="January"/>
    <x v="6"/>
    <x v="6"/>
    <s v="مشرف تحصيل"/>
    <s v="التحصيل "/>
    <m/>
    <n v="4500"/>
    <s v="إيصال امانه "/>
    <m/>
    <m/>
  </r>
  <r>
    <d v="2025-09-11T00:00:00"/>
    <s v="September"/>
    <x v="5"/>
    <x v="5"/>
    <s v="وكيل تحصيل"/>
    <s v="المالية"/>
    <m/>
    <n v="300"/>
    <m/>
    <m/>
    <m/>
  </r>
  <r>
    <d v="2025-09-13T00:00:00"/>
    <s v="September"/>
    <x v="1"/>
    <x v="1"/>
    <s v="مشرف تحصيل"/>
    <s v="التحصيل"/>
    <m/>
    <n v="2000"/>
    <m/>
    <m/>
    <m/>
  </r>
  <r>
    <d v="2025-09-14T00:00:00"/>
    <s v="September"/>
    <x v="2"/>
    <x v="2"/>
    <s v="خدمات معاونة"/>
    <s v="التحصيل"/>
    <m/>
    <m/>
    <m/>
    <m/>
    <m/>
  </r>
  <r>
    <d v="2025-09-14T00:00:00"/>
    <s v="September"/>
    <x v="4"/>
    <x v="4"/>
    <s v=""/>
    <s v=""/>
    <m/>
    <m/>
    <m/>
    <m/>
    <m/>
  </r>
  <r>
    <d v="2025-09-15T00:00:00"/>
    <s v="September"/>
    <x v="4"/>
    <x v="4"/>
    <s v=""/>
    <s v=""/>
    <m/>
    <m/>
    <m/>
    <m/>
    <m/>
  </r>
  <r>
    <d v="2025-09-17T00:00:00"/>
    <s v="September"/>
    <x v="4"/>
    <x v="4"/>
    <s v=""/>
    <s v=""/>
    <m/>
    <m/>
    <m/>
    <m/>
    <m/>
  </r>
  <r>
    <d v="2025-09-17T00:00:00"/>
    <s v="September"/>
    <x v="4"/>
    <x v="4"/>
    <s v=""/>
    <s v=""/>
    <m/>
    <m/>
    <m/>
    <m/>
    <m/>
  </r>
  <r>
    <d v="2025-09-24T00:00:00"/>
    <s v="September"/>
    <x v="5"/>
    <x v="5"/>
    <s v="وكيل تحصيل"/>
    <s v="المالية"/>
    <m/>
    <n v="2000"/>
    <m/>
    <m/>
    <m/>
  </r>
  <r>
    <d v="2025-09-24T00:00:00"/>
    <s v="September"/>
    <x v="3"/>
    <x v="3"/>
    <s v="كبير مشرفى تحصيل"/>
    <s v="التحصيل "/>
    <m/>
    <m/>
    <m/>
    <m/>
    <m/>
  </r>
  <r>
    <d v="2025-09-27T00:00:00"/>
    <s v="September"/>
    <x v="1"/>
    <x v="1"/>
    <s v="مشرف تحصيل"/>
    <s v="التحصيل"/>
    <m/>
    <n v="500"/>
    <m/>
    <m/>
    <m/>
  </r>
  <r>
    <d v="2025-10-08T00:00:00"/>
    <s v="October"/>
    <x v="2"/>
    <x v="2"/>
    <s v="خدمات معاونة"/>
    <s v="التحصيل"/>
    <m/>
    <m/>
    <m/>
    <m/>
    <m/>
  </r>
  <r>
    <d v="2025-10-15T00:00:00"/>
    <s v="October"/>
    <x v="3"/>
    <x v="3"/>
    <s v="كبير مشرفى تحصيل"/>
    <s v="التحصيل "/>
    <m/>
    <n v="500"/>
    <m/>
    <m/>
    <m/>
  </r>
  <r>
    <d v="2025-10-15T00:00:00"/>
    <s v="October"/>
    <x v="1"/>
    <x v="1"/>
    <s v="مشرف تحصيل"/>
    <s v="التحصيل"/>
    <m/>
    <m/>
    <m/>
    <m/>
    <m/>
  </r>
  <r>
    <d v="2025-10-15T00:00:00"/>
    <s v="October"/>
    <x v="6"/>
    <x v="6"/>
    <s v="مشرف تحصيل"/>
    <s v="التحصيل "/>
    <m/>
    <m/>
    <m/>
    <m/>
    <m/>
  </r>
  <r>
    <d v="2025-10-16T00:00:00"/>
    <s v="October"/>
    <x v="0"/>
    <x v="0"/>
    <s v="وكيل تحصيل "/>
    <s v="التحصيل"/>
    <m/>
    <m/>
    <m/>
    <m/>
    <m/>
  </r>
  <r>
    <d v="2025-10-16T00:00:00"/>
    <s v="October"/>
    <x v="5"/>
    <x v="5"/>
    <s v="وكيل تحصيل"/>
    <s v="المالية"/>
    <m/>
    <m/>
    <m/>
    <m/>
    <m/>
  </r>
  <r>
    <d v="2025-10-21T00:00:00"/>
    <s v="October"/>
    <x v="2"/>
    <x v="2"/>
    <s v="خدمات معاونة"/>
    <s v="التحصيل"/>
    <m/>
    <m/>
    <m/>
    <m/>
    <m/>
  </r>
  <r>
    <d v="2025-10-21T00:00:00"/>
    <s v="October"/>
    <x v="6"/>
    <x v="6"/>
    <s v="مشرف تحصيل"/>
    <s v="التحصيل "/>
    <m/>
    <m/>
    <m/>
    <m/>
    <m/>
  </r>
  <r>
    <d v="2025-10-21T00:00:00"/>
    <s v="October"/>
    <x v="5"/>
    <x v="5"/>
    <s v="وكيل تحصيل"/>
    <s v="المالية"/>
    <m/>
    <m/>
    <m/>
    <m/>
    <m/>
  </r>
  <r>
    <d v="2025-10-22T00:00:00"/>
    <s v="October"/>
    <x v="3"/>
    <x v="3"/>
    <s v="كبير مشرفى تحصيل"/>
    <s v="التحصيل "/>
    <m/>
    <n v="500"/>
    <m/>
    <m/>
    <m/>
  </r>
  <r>
    <d v="2025-10-23T00:00:00"/>
    <s v="October"/>
    <x v="2"/>
    <x v="2"/>
    <s v="خدمات معاونة"/>
    <s v="التحصيل"/>
    <m/>
    <m/>
    <m/>
    <m/>
    <m/>
  </r>
  <r>
    <d v="2025-10-27T00:00:00"/>
    <s v="October"/>
    <x v="0"/>
    <x v="0"/>
    <s v="وكيل تحصيل "/>
    <s v="التحصيل"/>
    <m/>
    <m/>
    <m/>
    <m/>
    <m/>
  </r>
  <r>
    <d v="2025-10-27T00:00:00"/>
    <s v="October"/>
    <x v="1"/>
    <x v="1"/>
    <s v="مشرف تحصيل"/>
    <s v="التحصيل"/>
    <m/>
    <m/>
    <m/>
    <m/>
    <m/>
  </r>
  <r>
    <d v="2025-10-26T00:00:00"/>
    <s v="October"/>
    <x v="7"/>
    <x v="7"/>
    <s v="وكيل تحصيل هاتفى"/>
    <s v="التحصيل"/>
    <m/>
    <m/>
    <m/>
    <m/>
    <m/>
  </r>
  <r>
    <d v="2025-10-27T00:00:00"/>
    <s v="October"/>
    <x v="5"/>
    <x v="5"/>
    <s v="وكيل تحصيل"/>
    <s v="المالية"/>
    <m/>
    <n v="200"/>
    <m/>
    <m/>
    <m/>
  </r>
  <r>
    <d v="2025-10-29T00:00:00"/>
    <s v="October"/>
    <x v="8"/>
    <x v="8"/>
    <s v="وكيل تحصيل هاتفي "/>
    <s v="التحصيل "/>
    <m/>
    <n v="4000"/>
    <m/>
    <s v="إيصال امانه "/>
    <m/>
  </r>
  <r>
    <d v="2025-11-11T00:00:00"/>
    <s v="November"/>
    <x v="3"/>
    <x v="3"/>
    <s v="كبير مشرفى تحصيل"/>
    <s v="التحصيل "/>
    <m/>
    <n v="500"/>
    <m/>
    <m/>
    <m/>
  </r>
  <r>
    <d v="2025-11-18T00:00:00"/>
    <s v="November"/>
    <x v="6"/>
    <x v="6"/>
    <s v="مشرف تحصيل"/>
    <s v="التحصيل "/>
    <m/>
    <n v="1000"/>
    <m/>
    <m/>
    <m/>
  </r>
  <r>
    <d v="2025-11-18T00:00:00"/>
    <s v="November"/>
    <x v="2"/>
    <x v="2"/>
    <s v="خدمات معاونة"/>
    <s v="التحصيل"/>
    <m/>
    <n v="500"/>
    <m/>
    <m/>
    <m/>
  </r>
  <r>
    <d v="2025-11-19T00:00:00"/>
    <s v="November"/>
    <x v="3"/>
    <x v="3"/>
    <s v="كبير مشرفى تحصيل"/>
    <s v="التحصيل "/>
    <m/>
    <n v="1500"/>
    <m/>
    <m/>
    <m/>
  </r>
  <r>
    <d v="2025-11-23T00:00:00"/>
    <s v="November"/>
    <x v="2"/>
    <x v="2"/>
    <s v="خدمات معاونة"/>
    <s v="التحصيل"/>
    <m/>
    <n v="200"/>
    <m/>
    <m/>
    <m/>
  </r>
  <r>
    <d v="2025-11-23T00:00:00"/>
    <s v="November"/>
    <x v="7"/>
    <x v="7"/>
    <s v="وكيل تحصيل هاتفى"/>
    <s v="التحصيل"/>
    <m/>
    <n v="300"/>
    <m/>
    <m/>
    <m/>
  </r>
  <r>
    <d v="2025-11-24T00:00:00"/>
    <s v="November"/>
    <x v="9"/>
    <x v="9"/>
    <s v="وكيل تحصيل ميداني "/>
    <s v="التحصيل "/>
    <m/>
    <n v="300"/>
    <m/>
    <m/>
    <m/>
  </r>
  <r>
    <d v="2025-11-25T00:00:00"/>
    <s v="November"/>
    <x v="5"/>
    <x v="5"/>
    <s v="وكيل تحصيل"/>
    <s v="المالية"/>
    <m/>
    <n v="300"/>
    <m/>
    <m/>
    <m/>
  </r>
  <r>
    <d v="2025-11-26T00:00:00"/>
    <s v="November"/>
    <x v="2"/>
    <x v="2"/>
    <s v="خدمات معاونة"/>
    <s v="التحصيل"/>
    <m/>
    <n v="300"/>
    <m/>
    <m/>
    <m/>
  </r>
  <r>
    <d v="2025-11-27T00:00:00"/>
    <s v="November"/>
    <x v="1"/>
    <x v="1"/>
    <s v="مشرف تحصيل"/>
    <s v="التحصيل"/>
    <m/>
    <n v="500"/>
    <m/>
    <m/>
    <m/>
  </r>
  <r>
    <d v="2025-11-27T00:00:00"/>
    <s v="November"/>
    <x v="10"/>
    <x v="10"/>
    <s v="وكيل تحصيل هاتفي "/>
    <s v="التحصيل "/>
    <m/>
    <n v="200"/>
    <m/>
    <m/>
    <m/>
  </r>
  <r>
    <m/>
    <s v="January"/>
    <x v="4"/>
    <x v="4"/>
    <s v=""/>
    <s v=""/>
    <m/>
    <m/>
    <m/>
    <m/>
    <m/>
  </r>
  <r>
    <m/>
    <s v="January"/>
    <x v="4"/>
    <x v="4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11216-6685-49D3-86D7-18FD21BDCF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4:N105" firstHeaderRow="1" firstDataRow="1" firstDataCol="1"/>
  <pivotFields count="11">
    <pivotField showAll="0"/>
    <pivotField showAll="0"/>
    <pivotField axis="axisRow" showAll="0">
      <items count="51">
        <item x="27"/>
        <item x="22"/>
        <item x="44"/>
        <item x="30"/>
        <item x="35"/>
        <item x="34"/>
        <item x="8"/>
        <item x="16"/>
        <item x="20"/>
        <item x="10"/>
        <item x="32"/>
        <item x="48"/>
        <item x="14"/>
        <item x="1"/>
        <item x="0"/>
        <item x="9"/>
        <item x="25"/>
        <item x="2"/>
        <item x="5"/>
        <item x="17"/>
        <item x="38"/>
        <item x="21"/>
        <item x="6"/>
        <item x="4"/>
        <item x="13"/>
        <item x="3"/>
        <item x="42"/>
        <item x="28"/>
        <item x="36"/>
        <item x="26"/>
        <item x="15"/>
        <item x="12"/>
        <item x="33"/>
        <item x="7"/>
        <item x="45"/>
        <item x="19"/>
        <item x="46"/>
        <item x="31"/>
        <item x="18"/>
        <item x="11"/>
        <item x="23"/>
        <item x="29"/>
        <item x="39"/>
        <item x="41"/>
        <item x="37"/>
        <item x="24"/>
        <item x="47"/>
        <item x="43"/>
        <item x="40"/>
        <item x="49"/>
        <item t="default"/>
      </items>
    </pivotField>
    <pivotField axis="axisRow" showAll="0">
      <items count="51">
        <item x="47"/>
        <item x="43"/>
        <item x="7"/>
        <item x="0"/>
        <item x="15"/>
        <item x="16"/>
        <item x="28"/>
        <item x="37"/>
        <item x="13"/>
        <item x="38"/>
        <item x="25"/>
        <item x="32"/>
        <item x="39"/>
        <item x="42"/>
        <item x="5"/>
        <item x="36"/>
        <item x="44"/>
        <item x="20"/>
        <item x="9"/>
        <item x="26"/>
        <item x="21"/>
        <item x="46"/>
        <item x="23"/>
        <item x="3"/>
        <item x="17"/>
        <item x="1"/>
        <item x="31"/>
        <item x="24"/>
        <item x="45"/>
        <item x="40"/>
        <item x="33"/>
        <item x="2"/>
        <item x="14"/>
        <item x="29"/>
        <item x="6"/>
        <item x="22"/>
        <item x="4"/>
        <item x="27"/>
        <item x="12"/>
        <item x="19"/>
        <item x="30"/>
        <item x="8"/>
        <item x="35"/>
        <item x="34"/>
        <item x="18"/>
        <item x="41"/>
        <item x="10"/>
        <item x="11"/>
        <item x="48"/>
        <item x="4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2">
    <field x="2"/>
    <field x="3"/>
  </rowFields>
  <rowItems count="101">
    <i>
      <x/>
    </i>
    <i r="1">
      <x v="37"/>
    </i>
    <i>
      <x v="1"/>
    </i>
    <i r="1">
      <x v="35"/>
    </i>
    <i>
      <x v="2"/>
    </i>
    <i r="1">
      <x v="16"/>
    </i>
    <i>
      <x v="3"/>
    </i>
    <i r="1">
      <x v="40"/>
    </i>
    <i>
      <x v="4"/>
    </i>
    <i r="1">
      <x v="42"/>
    </i>
    <i>
      <x v="5"/>
    </i>
    <i r="1">
      <x v="43"/>
    </i>
    <i>
      <x v="6"/>
    </i>
    <i r="1">
      <x v="41"/>
    </i>
    <i>
      <x v="7"/>
    </i>
    <i r="1">
      <x v="5"/>
    </i>
    <i>
      <x v="8"/>
    </i>
    <i r="1">
      <x v="17"/>
    </i>
    <i>
      <x v="9"/>
    </i>
    <i r="1">
      <x v="46"/>
    </i>
    <i>
      <x v="10"/>
    </i>
    <i r="1">
      <x v="11"/>
    </i>
    <i>
      <x v="11"/>
    </i>
    <i r="1">
      <x v="48"/>
    </i>
    <i>
      <x v="12"/>
    </i>
    <i r="1">
      <x v="32"/>
    </i>
    <i>
      <x v="13"/>
    </i>
    <i r="1">
      <x v="25"/>
    </i>
    <i>
      <x v="14"/>
    </i>
    <i r="1">
      <x v="3"/>
    </i>
    <i>
      <x v="15"/>
    </i>
    <i r="1">
      <x v="18"/>
    </i>
    <i>
      <x v="16"/>
    </i>
    <i r="1">
      <x v="10"/>
    </i>
    <i>
      <x v="17"/>
    </i>
    <i r="1">
      <x v="31"/>
    </i>
    <i>
      <x v="18"/>
    </i>
    <i r="1">
      <x v="14"/>
    </i>
    <i>
      <x v="19"/>
    </i>
    <i r="1">
      <x v="24"/>
    </i>
    <i>
      <x v="20"/>
    </i>
    <i r="1">
      <x v="9"/>
    </i>
    <i>
      <x v="21"/>
    </i>
    <i r="1">
      <x v="20"/>
    </i>
    <i>
      <x v="22"/>
    </i>
    <i r="1">
      <x v="34"/>
    </i>
    <i>
      <x v="23"/>
    </i>
    <i r="1">
      <x v="36"/>
    </i>
    <i>
      <x v="24"/>
    </i>
    <i r="1">
      <x v="8"/>
    </i>
    <i>
      <x v="25"/>
    </i>
    <i r="1">
      <x v="23"/>
    </i>
    <i>
      <x v="26"/>
    </i>
    <i r="1">
      <x v="13"/>
    </i>
    <i>
      <x v="27"/>
    </i>
    <i r="1">
      <x v="6"/>
    </i>
    <i>
      <x v="28"/>
    </i>
    <i r="1">
      <x v="15"/>
    </i>
    <i>
      <x v="29"/>
    </i>
    <i r="1">
      <x v="19"/>
    </i>
    <i>
      <x v="30"/>
    </i>
    <i r="1">
      <x v="4"/>
    </i>
    <i>
      <x v="31"/>
    </i>
    <i r="1">
      <x v="38"/>
    </i>
    <i>
      <x v="32"/>
    </i>
    <i r="1">
      <x v="30"/>
    </i>
    <i>
      <x v="33"/>
    </i>
    <i r="1">
      <x v="2"/>
    </i>
    <i>
      <x v="34"/>
    </i>
    <i r="1">
      <x v="28"/>
    </i>
    <i>
      <x v="35"/>
    </i>
    <i r="1">
      <x v="39"/>
    </i>
    <i>
      <x v="36"/>
    </i>
    <i r="1">
      <x v="21"/>
    </i>
    <i>
      <x v="37"/>
    </i>
    <i r="1">
      <x v="26"/>
    </i>
    <i>
      <x v="38"/>
    </i>
    <i r="1">
      <x v="44"/>
    </i>
    <i>
      <x v="39"/>
    </i>
    <i r="1">
      <x v="47"/>
    </i>
    <i>
      <x v="40"/>
    </i>
    <i r="1">
      <x v="22"/>
    </i>
    <i>
      <x v="41"/>
    </i>
    <i r="1">
      <x v="33"/>
    </i>
    <i>
      <x v="42"/>
    </i>
    <i r="1">
      <x v="12"/>
    </i>
    <i>
      <x v="43"/>
    </i>
    <i r="1">
      <x v="45"/>
    </i>
    <i>
      <x v="44"/>
    </i>
    <i r="1">
      <x v="7"/>
    </i>
    <i>
      <x v="45"/>
    </i>
    <i r="1">
      <x v="27"/>
    </i>
    <i>
      <x v="46"/>
    </i>
    <i r="1">
      <x/>
    </i>
    <i>
      <x v="47"/>
    </i>
    <i r="1">
      <x v="1"/>
    </i>
    <i>
      <x v="48"/>
    </i>
    <i r="1">
      <x v="29"/>
    </i>
    <i>
      <x v="49"/>
    </i>
    <i r="1">
      <x v="49"/>
    </i>
    <i t="grand">
      <x/>
    </i>
  </rowItems>
  <colItems count="1">
    <i/>
  </colItems>
  <dataFields count="1">
    <dataField name="Sum of السلفه " fld="7" baseField="0" baseItem="0"/>
  </dataField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4BABB-4F82-442D-84FF-D85ED1CB6679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2:N14" firstHeaderRow="1" firstDataRow="1" firstDataCol="2"/>
  <pivotFields count="11">
    <pivotField compact="0" outline="0" showAll="0" defaultSubtotal="0"/>
    <pivotField compact="0" outline="0" showAll="0" defaultSubtotal="0"/>
    <pivotField axis="axisRow" compact="0" outline="0" showAll="0" defaultSubtotal="0">
      <items count="64">
        <item m="1" x="31"/>
        <item m="1" x="35"/>
        <item m="1" x="43"/>
        <item m="1" x="32"/>
        <item m="1" x="42"/>
        <item m="1" x="24"/>
        <item m="1" x="46"/>
        <item m="1" x="63"/>
        <item m="1" x="27"/>
        <item m="1" x="57"/>
        <item m="1" x="53"/>
        <item m="1" x="55"/>
        <item m="1" x="33"/>
        <item m="1" x="48"/>
        <item m="1" x="39"/>
        <item m="1" x="61"/>
        <item m="1" x="59"/>
        <item m="1" x="25"/>
        <item m="1" x="22"/>
        <item m="1" x="58"/>
        <item m="1" x="23"/>
        <item m="1" x="37"/>
        <item m="1" x="62"/>
        <item m="1" x="30"/>
        <item m="1" x="38"/>
        <item m="1" x="44"/>
        <item m="1" x="56"/>
        <item m="1" x="54"/>
        <item m="1" x="20"/>
        <item m="1" x="40"/>
        <item x="2"/>
        <item m="1" x="51"/>
        <item m="1" x="50"/>
        <item m="1" x="41"/>
        <item m="1" x="60"/>
        <item x="5"/>
        <item m="1" x="29"/>
        <item x="8"/>
        <item m="1" x="36"/>
        <item x="0"/>
        <item m="1" x="47"/>
        <item m="1" x="26"/>
        <item m="1" x="28"/>
        <item m="1" x="12"/>
        <item m="1" x="49"/>
        <item m="1" x="34"/>
        <item x="6"/>
        <item x="1"/>
        <item m="1" x="18"/>
        <item m="1" x="45"/>
        <item m="1" x="52"/>
        <item m="1" x="15"/>
        <item m="1" x="19"/>
        <item m="1" x="16"/>
        <item x="4"/>
        <item x="10"/>
        <item m="1" x="17"/>
        <item x="3"/>
        <item m="1" x="11"/>
        <item m="1" x="21"/>
        <item x="7"/>
        <item m="1" x="13"/>
        <item m="1" x="14"/>
        <item x="9"/>
      </items>
    </pivotField>
    <pivotField axis="axisRow" compact="0" outline="0" showAll="0" defaultSubtotal="0">
      <items count="65">
        <item m="1" x="22"/>
        <item m="1" x="60"/>
        <item m="1" x="25"/>
        <item m="1" x="35"/>
        <item m="1" x="26"/>
        <item m="1" x="41"/>
        <item m="1" x="43"/>
        <item m="1" x="59"/>
        <item m="1" x="54"/>
        <item m="1" x="39"/>
        <item m="1" x="61"/>
        <item m="1" x="28"/>
        <item m="1" x="40"/>
        <item m="1" x="42"/>
        <item m="1" x="58"/>
        <item m="1" x="63"/>
        <item m="1" x="46"/>
        <item m="1" x="32"/>
        <item m="1" x="23"/>
        <item m="1" x="36"/>
        <item m="1" x="50"/>
        <item m="1" x="51"/>
        <item m="1" x="64"/>
        <item m="1" x="34"/>
        <item m="1" x="56"/>
        <item m="1" x="55"/>
        <item m="1" x="45"/>
        <item m="1" x="44"/>
        <item m="1" x="57"/>
        <item m="1" x="20"/>
        <item m="1" x="33"/>
        <item x="2"/>
        <item m="1" x="29"/>
        <item x="4"/>
        <item m="1" x="24"/>
        <item m="1" x="48"/>
        <item m="1" x="38"/>
        <item x="5"/>
        <item m="1" x="37"/>
        <item x="8"/>
        <item m="1" x="47"/>
        <item x="0"/>
        <item m="1" x="52"/>
        <item m="1" x="53"/>
        <item m="1" x="27"/>
        <item m="1" x="12"/>
        <item m="1" x="31"/>
        <item m="1" x="30"/>
        <item x="6"/>
        <item x="1"/>
        <item m="1" x="49"/>
        <item m="1" x="62"/>
        <item m="1" x="18"/>
        <item m="1" x="15"/>
        <item m="1" x="19"/>
        <item m="1" x="16"/>
        <item x="10"/>
        <item m="1" x="17"/>
        <item x="3"/>
        <item m="1" x="11"/>
        <item m="1" x="21"/>
        <item x="7"/>
        <item m="1" x="13"/>
        <item m="1" x="14"/>
        <item x="9"/>
      </items>
    </pivotField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2"/>
    <field x="3"/>
  </rowFields>
  <rowItems count="12">
    <i>
      <x v="30"/>
      <x v="31"/>
    </i>
    <i>
      <x v="35"/>
      <x v="37"/>
    </i>
    <i>
      <x v="37"/>
      <x v="39"/>
    </i>
    <i>
      <x v="39"/>
      <x v="41"/>
    </i>
    <i>
      <x v="46"/>
      <x v="48"/>
    </i>
    <i>
      <x v="47"/>
      <x v="49"/>
    </i>
    <i>
      <x v="54"/>
      <x v="33"/>
    </i>
    <i>
      <x v="55"/>
      <x v="56"/>
    </i>
    <i>
      <x v="57"/>
      <x v="58"/>
    </i>
    <i>
      <x v="60"/>
      <x v="61"/>
    </i>
    <i>
      <x v="63"/>
      <x v="64"/>
    </i>
    <i t="grand">
      <x/>
    </i>
  </rowItems>
  <colItems count="1">
    <i/>
  </colItems>
  <dataFields count="1">
    <dataField name=" السلفه " fld="7" baseField="3" baseItem="2" numFmtId="3"/>
  </dataFields>
  <formats count="36">
    <format dxfId="68">
      <pivotArea dataOnly="0" labelOnly="1" outline="0" fieldPosition="0">
        <references count="2">
          <reference field="2" count="1" selected="0">
            <x v="5"/>
          </reference>
          <reference field="3" count="1">
            <x v="2"/>
          </reference>
        </references>
      </pivotArea>
    </format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2" type="button" dataOnly="0" labelOnly="1" outline="0" axis="axisRow" fieldPosition="0"/>
    </format>
    <format dxfId="64">
      <pivotArea field="3" type="button" dataOnly="0" labelOnly="1" outline="0" axis="axisRow" fieldPosition="1"/>
    </format>
    <format dxfId="63">
      <pivotArea dataOnly="0" labelOnly="1" outline="0" fieldPosition="0">
        <references count="1">
          <reference field="2" count="0"/>
        </references>
      </pivotArea>
    </format>
    <format dxfId="62">
      <pivotArea dataOnly="0" labelOnly="1" grandRow="1" outline="0" fieldPosition="0"/>
    </format>
    <format dxfId="61">
      <pivotArea dataOnly="0" labelOnly="1" outline="0" fieldPosition="0">
        <references count="2">
          <reference field="2" count="1" selected="0">
            <x v="1"/>
          </reference>
          <reference field="3" count="1">
            <x v="3"/>
          </reference>
        </references>
      </pivotArea>
    </format>
    <format dxfId="60">
      <pivotArea dataOnly="0" labelOnly="1" outline="0" fieldPosition="0">
        <references count="2">
          <reference field="2" count="1" selected="0">
            <x v="2"/>
          </reference>
          <reference field="3" count="1">
            <x v="4"/>
          </reference>
        </references>
      </pivotArea>
    </format>
    <format dxfId="59">
      <pivotArea dataOnly="0" labelOnly="1" outline="0" fieldPosition="0">
        <references count="2">
          <reference field="2" count="1" selected="0">
            <x v="3"/>
          </reference>
          <reference field="3" count="1">
            <x v="6"/>
          </reference>
        </references>
      </pivotArea>
    </format>
    <format dxfId="58">
      <pivotArea dataOnly="0" labelOnly="1" outline="0" fieldPosition="0">
        <references count="2">
          <reference field="2" count="1" selected="0">
            <x v="5"/>
          </reference>
          <reference field="3" count="1">
            <x v="11"/>
          </reference>
        </references>
      </pivotArea>
    </format>
    <format dxfId="57">
      <pivotArea dataOnly="0" labelOnly="1" outline="0" fieldPosition="0">
        <references count="2">
          <reference field="2" count="1" selected="0">
            <x v="6"/>
          </reference>
          <reference field="3" count="1">
            <x v="7"/>
          </reference>
        </references>
      </pivotArea>
    </format>
    <format dxfId="56">
      <pivotArea dataOnly="0" labelOnly="1" outline="0" fieldPosition="0">
        <references count="2">
          <reference field="2" count="1" selected="0">
            <x v="7"/>
          </reference>
          <reference field="3" count="1">
            <x v="8"/>
          </reference>
        </references>
      </pivotArea>
    </format>
    <format dxfId="55">
      <pivotArea dataOnly="0" labelOnly="1" outline="0" fieldPosition="0">
        <references count="2">
          <reference field="2" count="1" selected="0">
            <x v="8"/>
          </reference>
          <reference field="3" count="1">
            <x v="9"/>
          </reference>
        </references>
      </pivotArea>
    </format>
    <format dxfId="54">
      <pivotArea dataOnly="0" labelOnly="1" outline="0" fieldPosition="0">
        <references count="2">
          <reference field="2" count="1" selected="0">
            <x v="9"/>
          </reference>
          <reference field="3" count="1">
            <x v="10"/>
          </reference>
        </references>
      </pivotArea>
    </format>
    <format dxfId="53">
      <pivotArea dataOnly="0" labelOnly="1" outline="0" fieldPosition="0">
        <references count="2">
          <reference field="2" count="1" selected="0">
            <x v="10"/>
          </reference>
          <reference field="3" count="1">
            <x v="5"/>
          </reference>
        </references>
      </pivotArea>
    </format>
    <format dxfId="52">
      <pivotArea dataOnly="0" labelOnly="1" outline="0" fieldPosition="0">
        <references count="2">
          <reference field="2" count="1" selected="0">
            <x v="11"/>
          </reference>
          <reference field="3" count="1">
            <x v="12"/>
          </reference>
        </references>
      </pivotArea>
    </format>
    <format dxfId="51">
      <pivotArea dataOnly="0" labelOnly="1" outline="0" fieldPosition="0">
        <references count="2">
          <reference field="2" count="1" selected="0">
            <x v="12"/>
          </reference>
          <reference field="3" count="1">
            <x v="13"/>
          </reference>
        </references>
      </pivotArea>
    </format>
    <format dxfId="50">
      <pivotArea dataOnly="0" labelOnly="1" outline="0" fieldPosition="0">
        <references count="2">
          <reference field="2" count="1" selected="0">
            <x v="13"/>
          </reference>
          <reference field="3" count="1">
            <x v="14"/>
          </reference>
        </references>
      </pivotArea>
    </format>
    <format dxfId="49">
      <pivotArea dataOnly="0" labelOnly="1" outline="0" fieldPosition="0">
        <references count="2">
          <reference field="2" count="1" selected="0">
            <x v="14"/>
          </reference>
          <reference field="3" count="1">
            <x v="15"/>
          </reference>
        </references>
      </pivotArea>
    </format>
    <format dxfId="48">
      <pivotArea dataOnly="0" labelOnly="1" outline="0" fieldPosition="0">
        <references count="2">
          <reference field="2" count="1" selected="0">
            <x v="15"/>
          </reference>
          <reference field="3" count="1">
            <x v="16"/>
          </reference>
        </references>
      </pivotArea>
    </format>
    <format dxfId="47">
      <pivotArea dataOnly="0" labelOnly="1" outline="0" fieldPosition="0">
        <references count="2">
          <reference field="2" count="1" selected="0">
            <x v="16"/>
          </reference>
          <reference field="3" count="1">
            <x v="17"/>
          </reference>
        </references>
      </pivotArea>
    </format>
    <format dxfId="46">
      <pivotArea dataOnly="0" labelOnly="1" outline="0" fieldPosition="0">
        <references count="2">
          <reference field="2" count="1" selected="0">
            <x v="17"/>
          </reference>
          <reference field="3" count="1">
            <x v="18"/>
          </reference>
        </references>
      </pivotArea>
    </format>
    <format dxfId="45">
      <pivotArea dataOnly="0" labelOnly="1" outline="0" fieldPosition="0">
        <references count="2">
          <reference field="2" count="1" selected="0">
            <x v="18"/>
          </reference>
          <reference field="3" count="1">
            <x v="19"/>
          </reference>
        </references>
      </pivotArea>
    </format>
    <format dxfId="44">
      <pivotArea dataOnly="0" labelOnly="1" outline="0" fieldPosition="0">
        <references count="2">
          <reference field="2" count="1" selected="0">
            <x v="19"/>
          </reference>
          <reference field="3" count="1">
            <x v="20"/>
          </reference>
        </references>
      </pivotArea>
    </format>
    <format dxfId="43">
      <pivotArea dataOnly="0" labelOnly="1" outline="0" fieldPosition="0">
        <references count="2">
          <reference field="2" count="1" selected="0">
            <x v="20"/>
          </reference>
          <reference field="3" count="1">
            <x v="21"/>
          </reference>
        </references>
      </pivotArea>
    </format>
    <format dxfId="42">
      <pivotArea dataOnly="0" labelOnly="1" outline="0" axis="axisValues" fieldPosition="0"/>
    </format>
    <format dxfId="41">
      <pivotArea outline="0" fieldPosition="0">
        <references count="2">
          <reference field="2" count="0" selected="0"/>
          <reference field="3" count="0" selected="0"/>
        </references>
      </pivotArea>
    </format>
    <format dxfId="40">
      <pivotArea dataOnly="0" labelOnly="1" outline="0" fieldPosition="0">
        <references count="1">
          <reference field="2" count="0"/>
        </references>
      </pivotArea>
    </format>
    <format dxfId="39">
      <pivotArea dataOnly="0" labelOnly="1" outline="0" fieldPosition="0">
        <references count="2">
          <reference field="2" count="0" selected="0"/>
          <reference field="3" count="0"/>
        </references>
      </pivotArea>
    </format>
    <format dxfId="38">
      <pivotArea grandRow="1" outline="0" collapsedLevelsAreSubtotals="1" fieldPosition="0"/>
    </format>
    <format dxfId="37">
      <pivotArea dataOnly="0" labelOnly="1" grandRow="1" outline="0" fieldPosition="0"/>
    </format>
    <format dxfId="36">
      <pivotArea outline="0" collapsedLevelsAreSubtotals="1" fieldPosition="0"/>
    </format>
    <format dxfId="35">
      <pivotArea dataOnly="0" labelOnly="1" outline="0" fieldPosition="0">
        <references count="1">
          <reference field="2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2">
          <reference field="2" count="0" selected="0"/>
          <reference field="3" count="0"/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011D37-5B38-42E0-9B9F-A258075CF1A0}" name="Table4" displayName="Table4" ref="A2:K189" totalsRowShown="0" headerRowDxfId="82" dataDxfId="81" tableBorderDxfId="80">
  <autoFilter ref="A2:K189" xr:uid="{3D3A9B59-A85B-4A04-AD84-28EBFFE7E921}"/>
  <tableColumns count="11">
    <tableColumn id="1" xr3:uid="{51A6D418-9A61-4BF2-897F-B73658826133}" name="التاريخ " dataDxfId="79"/>
    <tableColumn id="2" xr3:uid="{0E126F29-D0D0-451A-88BC-9101516C50A1}" name="الشهر " dataDxfId="78">
      <calculatedColumnFormula>TEXT(Table4[[#This Row],[التاريخ ]],"mmm")</calculatedColumnFormula>
    </tableColumn>
    <tableColumn id="3" xr3:uid="{343FC095-EBE4-41A2-ACFC-FB2EACAFFD66}" name="الكود" dataDxfId="77"/>
    <tableColumn id="4" xr3:uid="{CBDBD514-5511-4B93-BF81-12FF0A7D7C9A}" name="اسم الموظف" dataDxfId="76">
      <calculatedColumnFormula>VLOOKUP(C:C,'[10]قاعدة بيانات  '!K:L,2,0)</calculatedColumnFormula>
    </tableColumn>
    <tableColumn id="5" xr3:uid="{702D894E-DE5B-403C-B39F-18B6D7C8E669}" name="القسم " dataDxfId="75">
      <calculatedColumnFormula>VLOOKUP(C:C,'[10]قاعدة بيانات  '!K:P,4,0)</calculatedColumnFormula>
    </tableColumn>
    <tableColumn id="10" xr3:uid="{AEABAEC4-A18E-4A77-94E2-3C615CD40CE4}" name="الفرع " dataDxfId="74">
      <calculatedColumnFormula>VLOOKUP(C:C,'[10]قاعدة بيانات  '!K:Q,5,0)</calculatedColumnFormula>
    </tableColumn>
    <tableColumn id="6" xr3:uid="{56B2D7FE-5CD9-40FC-B440-28401DD78C54}" name="سلفه / سداد" dataDxfId="73"/>
    <tableColumn id="7" xr3:uid="{21A0D319-BB18-4F4E-9788-5F461CE7420D}" name="السلفه " dataDxfId="72" dataCellStyle="Comma"/>
    <tableColumn id="8" xr3:uid="{47CD4E2B-990C-427F-9091-E784D526518E}" name="طريق السداد" dataDxfId="71"/>
    <tableColumn id="9" xr3:uid="{E46F5E7D-ACC9-4C41-9A48-D74B8AA2C90C}" name="Column1" dataDxfId="70"/>
    <tableColumn id="11" xr3:uid="{9524138D-C5F6-4B6F-A686-4961B9F5B273}" name="Column2" dataDxfId="6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5D25CE0-1F36-4825-B743-6EE48F3DAE88}" name="Table43" displayName="Table43" ref="A2:K50" totalsRowShown="0" headerRowDxfId="32" dataDxfId="31" tableBorderDxfId="30">
  <autoFilter ref="A2:K50" xr:uid="{00000000-0009-0000-0100-000004000000}"/>
  <sortState xmlns:xlrd2="http://schemas.microsoft.com/office/spreadsheetml/2017/richdata2" ref="A3:K3">
    <sortCondition descending="1" ref="H2:H3"/>
  </sortState>
  <tableColumns count="11">
    <tableColumn id="1" xr3:uid="{8C0D757C-09B4-4C30-BC3A-D3C1BCFC1DBB}" name="التاريخ " dataDxfId="29"/>
    <tableColumn id="2" xr3:uid="{CDD01C60-2E5E-4CEB-AC9C-14203CA31C25}" name="الشهر " dataDxfId="28">
      <calculatedColumnFormula>TEXT(Table43[[#This Row],[التاريخ ]],"mmmm")</calculatedColumnFormula>
    </tableColumn>
    <tableColumn id="3" xr3:uid="{DC4848BE-0B39-4AB5-BA95-AC3F3CB8B09C}" name="الكود" dataDxfId="27"/>
    <tableColumn id="4" xr3:uid="{600A9BF0-CC45-436F-A48F-B9673F50817E}" name="اسم الموظف" dataDxfId="26">
      <calculatedColumnFormula>+IFERROR(VLOOKUP(C:C,'[12]قاعدة بيانات  '!J:K,2,0),"")</calculatedColumnFormula>
    </tableColumn>
    <tableColumn id="5" xr3:uid="{8ACF8BA2-0408-48E4-B598-D9857F2270FB}" name="القسم " dataDxfId="25">
      <calculatedColumnFormula>IFERROR(VLOOKUP(C:C,'[12]قاعدة بيانات  '!J:O,4,0),"")</calculatedColumnFormula>
    </tableColumn>
    <tableColumn id="10" xr3:uid="{5D384B81-5665-4E0C-A5CA-3C5507C6C355}" name="الفرع " dataDxfId="24">
      <calculatedColumnFormula>IFERROR(VLOOKUP(C:C,'[12]قاعدة بيانات  '!J:P,5,0),"")</calculatedColumnFormula>
    </tableColumn>
    <tableColumn id="6" xr3:uid="{47DE2F12-87AD-4C9A-BCD4-38AB13B193F0}" name="سلفه / سداد" dataDxfId="23"/>
    <tableColumn id="7" xr3:uid="{E0DCBCE4-EE02-46E1-B1BA-7BF3954B6A39}" name="السلفه " dataDxfId="22" dataCellStyle="Comma"/>
    <tableColumn id="8" xr3:uid="{3EF17190-C763-4823-8FC6-1A315F53A1DE}" name="طريق السداد" dataDxfId="21"/>
    <tableColumn id="9" xr3:uid="{7D55A63F-7AE8-41DE-AA97-2C4472B6593B}" name="ملاحظات " dataDxfId="20"/>
    <tableColumn id="11" xr3:uid="{9B1327DD-25E9-45E7-A023-AC584FAA954E}" name="Column1" dataDxfId="1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6B464-6ED6-44D8-9F40-260F56ED2DDB}">
  <sheetPr codeName="Sheet1">
    <tabColor rgb="FF92D050"/>
    <pageSetUpPr fitToPage="1"/>
  </sheetPr>
  <dimension ref="A1:BZ404"/>
  <sheetViews>
    <sheetView rightToLeft="1" tabSelected="1" zoomScale="85" zoomScaleNormal="85" zoomScaleSheetLayoutView="40" workbookViewId="0">
      <pane xSplit="6" ySplit="2" topLeftCell="AL176" activePane="bottomRight" state="frozen"/>
      <selection pane="topRight" activeCell="G1" sqref="G1"/>
      <selection pane="bottomLeft" activeCell="A3" sqref="A3"/>
      <selection pane="bottomRight" activeCell="AO177" sqref="AO177"/>
    </sheetView>
  </sheetViews>
  <sheetFormatPr defaultColWidth="8.85546875" defaultRowHeight="20.25" x14ac:dyDescent="0.25"/>
  <cols>
    <col min="1" max="1" width="13.140625" customWidth="1"/>
    <col min="2" max="2" width="42.140625" style="2" customWidth="1"/>
    <col min="3" max="3" width="13.28515625" style="1" customWidth="1"/>
    <col min="4" max="4" width="14.42578125" style="1" customWidth="1"/>
    <col min="5" max="5" width="23.42578125" style="1" customWidth="1"/>
    <col min="6" max="6" width="25.28515625" style="1" customWidth="1"/>
    <col min="7" max="7" width="22" style="1" customWidth="1"/>
    <col min="8" max="8" width="19.5703125" style="1" customWidth="1"/>
    <col min="9" max="9" width="22.42578125" style="1" customWidth="1"/>
    <col min="10" max="10" width="15.140625" style="1" customWidth="1"/>
    <col min="11" max="11" width="22.7109375" style="1" customWidth="1"/>
    <col min="12" max="12" width="15.140625" style="1" hidden="1" customWidth="1"/>
    <col min="13" max="13" width="16.140625" style="3" hidden="1" customWidth="1"/>
    <col min="14" max="14" width="23.7109375" style="4" hidden="1" customWidth="1"/>
    <col min="15" max="15" width="25.5703125" style="4" customWidth="1"/>
    <col min="16" max="16" width="23.42578125" style="4" customWidth="1"/>
    <col min="17" max="17" width="27.28515625" style="4" customWidth="1"/>
    <col min="18" max="18" width="27.5703125" style="1" hidden="1" customWidth="1"/>
    <col min="19" max="19" width="21.5703125" style="1" hidden="1" customWidth="1"/>
    <col min="20" max="20" width="25.42578125" style="1" hidden="1" customWidth="1"/>
    <col min="21" max="21" width="27.28515625" style="1" hidden="1" customWidth="1"/>
    <col min="22" max="22" width="26.85546875" style="1" hidden="1" customWidth="1"/>
    <col min="23" max="23" width="22.140625" style="1" customWidth="1"/>
    <col min="24" max="24" width="19.5703125" style="1" customWidth="1"/>
    <col min="25" max="25" width="14.5703125" style="56" customWidth="1"/>
    <col min="26" max="26" width="23" style="56" customWidth="1"/>
    <col min="27" max="27" width="15.5703125" style="56" bestFit="1" customWidth="1"/>
    <col min="28" max="28" width="20.28515625" style="56" bestFit="1" customWidth="1"/>
    <col min="29" max="29" width="18.28515625" style="56" bestFit="1" customWidth="1"/>
    <col min="30" max="30" width="22.140625" style="56" customWidth="1"/>
    <col min="31" max="31" width="14.5703125" style="56" customWidth="1"/>
    <col min="32" max="32" width="24.5703125" style="56" customWidth="1"/>
    <col min="33" max="33" width="15.5703125" style="56" bestFit="1" customWidth="1"/>
    <col min="34" max="34" width="20.140625" style="56" customWidth="1"/>
    <col min="35" max="36" width="21.5703125" style="56" customWidth="1"/>
    <col min="37" max="37" width="23.7109375" style="1" customWidth="1"/>
    <col min="38" max="38" width="25" style="3" bestFit="1" customWidth="1"/>
    <col min="39" max="40" width="20.28515625" style="3" bestFit="1" customWidth="1"/>
    <col min="41" max="41" width="18.28515625" style="3" customWidth="1"/>
    <col min="42" max="42" width="18.28515625" style="3" bestFit="1" customWidth="1"/>
    <col min="43" max="43" width="20.28515625" style="3" bestFit="1" customWidth="1"/>
    <col min="44" max="44" width="25" style="3" bestFit="1" customWidth="1"/>
    <col min="45" max="45" width="30.140625" style="3" customWidth="1"/>
    <col min="46" max="46" width="25" style="3" bestFit="1" customWidth="1"/>
    <col min="47" max="47" width="30.5703125" style="3" customWidth="1"/>
    <col min="48" max="48" width="25.5703125" style="3" customWidth="1"/>
    <col min="49" max="49" width="25" style="3" customWidth="1"/>
    <col min="50" max="50" width="30.140625" style="3" customWidth="1"/>
    <col min="51" max="51" width="23.7109375" style="6" customWidth="1"/>
    <col min="52" max="52" width="24.28515625" style="6" customWidth="1"/>
    <col min="53" max="53" width="22.85546875" style="6" customWidth="1"/>
    <col min="54" max="54" width="24.85546875" style="3" customWidth="1"/>
    <col min="55" max="55" width="24.7109375" style="6" customWidth="1"/>
    <col min="56" max="56" width="32.85546875" style="3" customWidth="1"/>
    <col min="57" max="57" width="25" style="3" customWidth="1"/>
    <col min="58" max="58" width="30.5703125" style="3" customWidth="1"/>
    <col min="59" max="62" width="26.85546875" style="3" customWidth="1"/>
    <col min="63" max="63" width="27.85546875" style="4" hidden="1" customWidth="1"/>
    <col min="64" max="64" width="25.5703125" style="4" hidden="1" customWidth="1"/>
    <col min="65" max="65" width="23.42578125" style="4" hidden="1" customWidth="1"/>
    <col min="66" max="66" width="23" style="4" hidden="1" customWidth="1"/>
    <col min="67" max="67" width="26" style="1" hidden="1" customWidth="1"/>
    <col min="68" max="68" width="21.5703125" style="1" hidden="1" customWidth="1"/>
    <col min="69" max="69" width="25.42578125" style="1" hidden="1" customWidth="1"/>
    <col min="70" max="70" width="18.28515625" style="1" hidden="1" customWidth="1"/>
    <col min="71" max="71" width="26.7109375" style="3" hidden="1" customWidth="1"/>
    <col min="72" max="72" width="20.28515625" style="1" customWidth="1"/>
    <col min="73" max="73" width="22.140625" style="3" customWidth="1"/>
    <col min="74" max="74" width="68.5703125" style="1" bestFit="1" customWidth="1"/>
    <col min="75" max="75" width="27.85546875" style="1" customWidth="1"/>
    <col min="76" max="76" width="24" style="1" customWidth="1"/>
    <col min="77" max="77" width="15.5703125" style="1" bestFit="1" customWidth="1"/>
    <col min="78" max="78" width="14.5703125" style="1" bestFit="1" customWidth="1"/>
    <col min="79" max="16384" width="8.85546875" style="1"/>
  </cols>
  <sheetData>
    <row r="1" spans="1:78" ht="35.25" customHeight="1" x14ac:dyDescent="0.25">
      <c r="A1" s="1"/>
      <c r="P1" s="3"/>
      <c r="Y1" s="140" t="s">
        <v>0</v>
      </c>
      <c r="Z1" s="140"/>
      <c r="AA1" s="140" t="s">
        <v>1</v>
      </c>
      <c r="AB1" s="140"/>
      <c r="AC1" s="140" t="s">
        <v>2</v>
      </c>
      <c r="AD1" s="140"/>
      <c r="AE1" s="140" t="s">
        <v>3</v>
      </c>
      <c r="AF1" s="140"/>
      <c r="AG1" s="140" t="s">
        <v>4</v>
      </c>
      <c r="AH1" s="140"/>
      <c r="AI1" s="5" t="s">
        <v>5</v>
      </c>
      <c r="AJ1" s="5"/>
      <c r="BD1" s="7"/>
    </row>
    <row r="2" spans="1:78" s="20" customFormat="1" ht="73.5" customHeight="1" x14ac:dyDescent="0.25">
      <c r="A2" s="8" t="s">
        <v>6</v>
      </c>
      <c r="B2" s="9" t="s">
        <v>7</v>
      </c>
      <c r="C2" s="10" t="s">
        <v>8</v>
      </c>
      <c r="D2" s="10" t="s">
        <v>9</v>
      </c>
      <c r="E2" s="10" t="s">
        <v>10</v>
      </c>
      <c r="F2" s="10" t="s">
        <v>11</v>
      </c>
      <c r="G2" s="11" t="s">
        <v>12</v>
      </c>
      <c r="H2" s="11" t="s">
        <v>13</v>
      </c>
      <c r="I2" s="12" t="s">
        <v>14</v>
      </c>
      <c r="J2" s="12" t="s">
        <v>15</v>
      </c>
      <c r="K2" s="13" t="s">
        <v>16</v>
      </c>
      <c r="L2" s="13" t="s">
        <v>17</v>
      </c>
      <c r="M2" s="14" t="s">
        <v>18</v>
      </c>
      <c r="N2" s="12" t="s">
        <v>19</v>
      </c>
      <c r="O2" s="12" t="s">
        <v>20</v>
      </c>
      <c r="P2" s="12" t="s">
        <v>21</v>
      </c>
      <c r="Q2" s="12" t="s">
        <v>22</v>
      </c>
      <c r="R2" s="12" t="s">
        <v>23</v>
      </c>
      <c r="S2" s="12" t="s">
        <v>24</v>
      </c>
      <c r="T2" s="12" t="s">
        <v>25</v>
      </c>
      <c r="U2" s="12" t="s">
        <v>26</v>
      </c>
      <c r="V2" s="12" t="s">
        <v>27</v>
      </c>
      <c r="W2" s="12" t="s">
        <v>28</v>
      </c>
      <c r="X2" s="12" t="s">
        <v>29</v>
      </c>
      <c r="Y2" s="12" t="s">
        <v>30</v>
      </c>
      <c r="Z2" s="12" t="s">
        <v>31</v>
      </c>
      <c r="AA2" s="12" t="s">
        <v>32</v>
      </c>
      <c r="AB2" s="12" t="s">
        <v>33</v>
      </c>
      <c r="AC2" s="12" t="s">
        <v>34</v>
      </c>
      <c r="AD2" s="12" t="s">
        <v>35</v>
      </c>
      <c r="AE2" s="12" t="s">
        <v>36</v>
      </c>
      <c r="AF2" s="12" t="s">
        <v>37</v>
      </c>
      <c r="AG2" s="12" t="s">
        <v>38</v>
      </c>
      <c r="AH2" s="12" t="s">
        <v>39</v>
      </c>
      <c r="AI2" s="12" t="s">
        <v>40</v>
      </c>
      <c r="AJ2" s="12" t="s">
        <v>41</v>
      </c>
      <c r="AK2" s="15" t="s">
        <v>42</v>
      </c>
      <c r="AL2" s="16" t="s">
        <v>18</v>
      </c>
      <c r="AM2" s="16" t="s">
        <v>17</v>
      </c>
      <c r="AN2" s="16" t="s">
        <v>43</v>
      </c>
      <c r="AO2" s="16" t="s">
        <v>44</v>
      </c>
      <c r="AP2" s="16" t="s">
        <v>45</v>
      </c>
      <c r="AQ2" s="16" t="s">
        <v>46</v>
      </c>
      <c r="AR2" s="136" t="s">
        <v>47</v>
      </c>
      <c r="AS2" s="136" t="s">
        <v>48</v>
      </c>
      <c r="AT2" s="136" t="s">
        <v>49</v>
      </c>
      <c r="AU2" s="136" t="s">
        <v>50</v>
      </c>
      <c r="AV2" s="136" t="s">
        <v>51</v>
      </c>
      <c r="AW2" s="136" t="s">
        <v>52</v>
      </c>
      <c r="AX2" s="137" t="s">
        <v>53</v>
      </c>
      <c r="AY2" s="137" t="s">
        <v>54</v>
      </c>
      <c r="AZ2" s="137" t="s">
        <v>55</v>
      </c>
      <c r="BA2" s="136" t="s">
        <v>56</v>
      </c>
      <c r="BB2" s="137" t="s">
        <v>434</v>
      </c>
      <c r="BC2" s="137" t="s">
        <v>435</v>
      </c>
      <c r="BD2" s="137" t="s">
        <v>57</v>
      </c>
      <c r="BE2" s="136" t="s">
        <v>58</v>
      </c>
      <c r="BF2" s="136" t="s">
        <v>59</v>
      </c>
      <c r="BG2" s="136" t="s">
        <v>60</v>
      </c>
      <c r="BH2" s="136" t="s">
        <v>61</v>
      </c>
      <c r="BI2" s="136" t="s">
        <v>436</v>
      </c>
      <c r="BJ2" s="17" t="s">
        <v>62</v>
      </c>
      <c r="BK2" s="18" t="s">
        <v>63</v>
      </c>
      <c r="BL2" s="18" t="s">
        <v>20</v>
      </c>
      <c r="BM2" s="18" t="s">
        <v>21</v>
      </c>
      <c r="BN2" s="18" t="s">
        <v>22</v>
      </c>
      <c r="BO2" s="18" t="s">
        <v>23</v>
      </c>
      <c r="BP2" s="18" t="s">
        <v>24</v>
      </c>
      <c r="BQ2" s="18" t="s">
        <v>25</v>
      </c>
      <c r="BR2" s="18" t="s">
        <v>26</v>
      </c>
      <c r="BS2" s="19" t="s">
        <v>64</v>
      </c>
      <c r="BT2" s="18" t="s">
        <v>65</v>
      </c>
      <c r="BU2" s="19" t="s">
        <v>66</v>
      </c>
      <c r="BV2" s="18"/>
      <c r="BW2" s="18" t="s">
        <v>67</v>
      </c>
      <c r="BX2" s="18" t="s">
        <v>68</v>
      </c>
      <c r="BY2" s="18" t="s">
        <v>69</v>
      </c>
    </row>
    <row r="3" spans="1:78" x14ac:dyDescent="0.25">
      <c r="A3" s="21">
        <v>19</v>
      </c>
      <c r="B3" s="22" t="s">
        <v>70</v>
      </c>
      <c r="C3" s="22" t="s">
        <v>71</v>
      </c>
      <c r="D3" s="22" t="s">
        <v>72</v>
      </c>
      <c r="E3" s="22" t="s">
        <v>99</v>
      </c>
      <c r="F3" s="22" t="s">
        <v>74</v>
      </c>
      <c r="G3" s="23">
        <v>45209</v>
      </c>
      <c r="H3" s="23"/>
      <c r="I3" s="24">
        <v>29611110104501</v>
      </c>
      <c r="J3" s="25">
        <v>1</v>
      </c>
      <c r="K3" s="25">
        <v>4982.4769999999999</v>
      </c>
      <c r="L3" s="25"/>
      <c r="M3" s="26"/>
      <c r="N3" s="25">
        <f>SUM('11-2025'!$K3:$M3)</f>
        <v>4982.4769999999999</v>
      </c>
      <c r="O3" s="25">
        <v>4413.4615384615381</v>
      </c>
      <c r="P3" s="25">
        <f t="shared" ref="P3:P66" si="0">O3*18.75%</f>
        <v>827.52403846153834</v>
      </c>
      <c r="Q3" s="25">
        <f t="shared" ref="Q3:Q66" si="1">O3*11%</f>
        <v>485.48076923076917</v>
      </c>
      <c r="R3" s="25">
        <v>1666.6666666666667</v>
      </c>
      <c r="S3" s="27">
        <f t="shared" ref="S3:S66" si="2">IF(N3-Q3-R3&lt;0,0,N3-Q3-R3)</f>
        <v>2830.3295641025634</v>
      </c>
      <c r="T3" s="25">
        <f t="shared" ref="T3:T66" si="3">IFERROR(S3/J3,0)*12</f>
        <v>33963.954769230761</v>
      </c>
      <c r="U3" s="25">
        <f>IF(T3&lt;=40000,0,
IF(T3&lt;=55000,(T3-40000)*10%,
IF(T3&lt;=70000,(T3-55000)*15%+1500,
IF(T3&lt;=200000,(T3-70000)*20%+1500+2250,
IF(T3&lt;=400000,(T3-200000)*22.5%+1500+2250+26000,
IF(T3&lt;=600000,(T3-400000)*25%+1500+2250+26000+45000,
IF(AND(T3&gt;600000,T3&lt;=1200000),(T3-400000)*25%+1500+2250+26000+45000
+IFERROR(LOOKUP(T3,{600001;700001;800001;900001},{4000;6750;10250;15250}),0),IF(T3&gt;1200000,((T3-1200000)*27.5%)+300000,0)
)))))))</f>
        <v>0</v>
      </c>
      <c r="V3" s="25">
        <f t="shared" ref="V3:V66" si="4">U3/12*J3</f>
        <v>0</v>
      </c>
      <c r="W3" s="28">
        <f>+'11-2025'!$S3-'11-2025'!$V3+'11-2025'!$R3</f>
        <v>4496.9962307692304</v>
      </c>
      <c r="X3" s="28">
        <f t="shared" ref="X3:X66" si="5">IFERROR(W3/30,"")</f>
        <v>149.89987435897436</v>
      </c>
      <c r="Y3" s="29">
        <v>0</v>
      </c>
      <c r="Z3" s="29">
        <f>IFERROR(+'11-2025'!$X3*'11-2025'!$Y3,"")</f>
        <v>0</v>
      </c>
      <c r="AA3" s="29">
        <v>6</v>
      </c>
      <c r="AB3" s="29">
        <f>IFERROR(+'11-2025'!$X3*'11-2025'!$AA3,"")</f>
        <v>899.39924615384621</v>
      </c>
      <c r="AC3" s="29">
        <v>0</v>
      </c>
      <c r="AD3" s="29">
        <f>IFERROR(+'11-2025'!$X3*'11-2025'!$AC3,"")</f>
        <v>0</v>
      </c>
      <c r="AE3" s="29">
        <v>0</v>
      </c>
      <c r="AF3" s="29">
        <f>IFERROR(+'11-2025'!$X3*'11-2025'!$AE3,"")</f>
        <v>0</v>
      </c>
      <c r="AG3" s="29">
        <v>0</v>
      </c>
      <c r="AH3" s="29">
        <f>IFERROR(+'11-2025'!$X3*'11-2025'!$AG3,"")</f>
        <v>0</v>
      </c>
      <c r="AI3" s="29">
        <v>0</v>
      </c>
      <c r="AJ3" s="29">
        <f>IFERROR('11-2025'!$Z3+'11-2025'!$AB3+'11-2025'!$AD3+'11-2025'!$AF3+'11-2025'!$AH3+'11-2025'!$AI3,"")</f>
        <v>899.39924615384621</v>
      </c>
      <c r="AK3" s="30">
        <f>IFERROR('11-2025'!$W3-'11-2025'!$AJ3,"")</f>
        <v>3597.5969846153839</v>
      </c>
      <c r="AL3" s="31"/>
      <c r="AM3" s="31"/>
      <c r="AN3" s="31"/>
      <c r="AO3" s="31">
        <v>0</v>
      </c>
      <c r="AP3" s="31"/>
      <c r="AQ3" s="31"/>
      <c r="AR3" s="31">
        <v>0</v>
      </c>
      <c r="AS3" s="31">
        <v>713.59500000000003</v>
      </c>
      <c r="AT3" s="31">
        <v>0</v>
      </c>
      <c r="AU3" s="31">
        <v>0</v>
      </c>
      <c r="AV3" s="31">
        <v>0</v>
      </c>
      <c r="AW3" s="31">
        <v>580</v>
      </c>
      <c r="AX3" s="31">
        <v>0</v>
      </c>
      <c r="AY3" s="31">
        <v>0</v>
      </c>
      <c r="AZ3" s="31">
        <v>0</v>
      </c>
      <c r="BA3" s="31">
        <v>0</v>
      </c>
      <c r="BB3" s="31">
        <v>0</v>
      </c>
      <c r="BC3" s="31">
        <v>0</v>
      </c>
      <c r="BD3" s="31">
        <v>0</v>
      </c>
      <c r="BE3" s="31">
        <v>0</v>
      </c>
      <c r="BF3" s="31">
        <v>0</v>
      </c>
      <c r="BG3" s="31">
        <v>1616.7524999999998</v>
      </c>
      <c r="BH3" s="31">
        <v>0</v>
      </c>
      <c r="BI3" s="31">
        <v>0</v>
      </c>
      <c r="BJ3" s="32">
        <f>BD3+BC3+BB3+BA3+AZ3+AY3+AX3+AW3+AV3+AU3+AT3+AS3+AR3+BE3+BF3+BG3+BH3+BI3</f>
        <v>2910.3474999999999</v>
      </c>
      <c r="BK3" s="33">
        <f>BJ3+AM3+AL3+'11-2025'!$N3+AN3+AO3</f>
        <v>7892.8244999999997</v>
      </c>
      <c r="BL3" s="34">
        <f>'11-2025'!$O3</f>
        <v>4413.4615384615381</v>
      </c>
      <c r="BM3" s="34">
        <f t="shared" ref="BM3:BM64" si="6">BL3*18.75%</f>
        <v>827.52403846153834</v>
      </c>
      <c r="BN3" s="34">
        <f t="shared" ref="BN3:BN64" si="7">BL3*11%</f>
        <v>485.48076923076917</v>
      </c>
      <c r="BO3" s="34">
        <f t="shared" ref="BO3:BO66" si="8">+R3</f>
        <v>1666.6666666666667</v>
      </c>
      <c r="BP3" s="35">
        <f t="shared" ref="BP3:BP64" si="9">IF(BK3-BN3-BO3&lt;0,0,BK3-BN3-BO3)</f>
        <v>5740.6770641025632</v>
      </c>
      <c r="BQ3" s="34">
        <f>IFERROR(BP3/'11-2025'!$J3,0)*12</f>
        <v>68888.124769230752</v>
      </c>
      <c r="BR3" s="34">
        <f>IF(BQ3&lt;=40000,0,
IF(BQ3&lt;=55000,(BQ3-40000)*10%,
IF(BQ3&lt;=70000,(BQ3-55000)*15%+1500,
IF(BQ3&lt;=200000,(BQ3-70000)*20%+1500+2250,
IF(BQ3&lt;=400000,(BQ3-200000)*22.5%+1500+2250+26000,
IF(BQ3&lt;=600000,(BQ3-400000)*25%+1500+2250+26000+45000,
IF(AND(BQ3&gt;600000,BQ3&lt;=1200000),(BQ3-400000)*25%+1500+2250+26000+45000
+IFERROR(LOOKUP(BQ3,{600001;700001;800001;900001},{4000;6750;10250;15250}),0),IF(BQ3&gt;1200000,((BQ3-1200000)*27.5%)+300000,0)
)))))))</f>
        <v>3583.2187153846126</v>
      </c>
      <c r="BS3" s="32">
        <f>(BR3/12*'11-2025'!$J3)</f>
        <v>298.60155961538436</v>
      </c>
      <c r="BT3" s="33">
        <f>BS3-'11-2025'!$V3</f>
        <v>298.60155961538436</v>
      </c>
      <c r="BU3" s="32">
        <f>IFERROR(+'11-2025'!$W3+AL3+AM3+BJ3-'11-2025'!$AJ3-BT3+AN3+AO3,"")-AL3+AP3+AQ3</f>
        <v>6209.342924999999</v>
      </c>
      <c r="BV3" s="36"/>
      <c r="BW3" s="37"/>
      <c r="BX3" s="37">
        <f t="shared" ref="BX3:BX66" si="10">+BU3-BW3</f>
        <v>6209.342924999999</v>
      </c>
      <c r="BY3" s="37" t="s">
        <v>75</v>
      </c>
    </row>
    <row r="4" spans="1:78" x14ac:dyDescent="0.25">
      <c r="A4" s="21">
        <v>20</v>
      </c>
      <c r="B4" s="22" t="s">
        <v>76</v>
      </c>
      <c r="C4" s="22" t="s">
        <v>71</v>
      </c>
      <c r="D4" s="22" t="s">
        <v>77</v>
      </c>
      <c r="E4" s="22" t="s">
        <v>78</v>
      </c>
      <c r="F4" s="22" t="s">
        <v>79</v>
      </c>
      <c r="G4" s="23">
        <v>45003</v>
      </c>
      <c r="H4" s="23"/>
      <c r="I4" s="24">
        <v>29703150100399</v>
      </c>
      <c r="J4" s="25">
        <v>1</v>
      </c>
      <c r="K4" s="25">
        <v>4657.3900000000003</v>
      </c>
      <c r="L4" s="25"/>
      <c r="M4" s="26"/>
      <c r="N4" s="25">
        <f>SUM('11-2025'!$K4:$M4)</f>
        <v>4657.3900000000003</v>
      </c>
      <c r="O4" s="25">
        <v>3730.8461538461534</v>
      </c>
      <c r="P4" s="25">
        <f t="shared" si="0"/>
        <v>699.53365384615381</v>
      </c>
      <c r="Q4" s="25">
        <f t="shared" si="1"/>
        <v>410.39307692307688</v>
      </c>
      <c r="R4" s="25">
        <v>1666.6666666666667</v>
      </c>
      <c r="S4" s="27">
        <f t="shared" si="2"/>
        <v>2580.3302564102569</v>
      </c>
      <c r="T4" s="25">
        <f t="shared" si="3"/>
        <v>30963.963076923083</v>
      </c>
      <c r="U4" s="25">
        <f>IF(T4&lt;=40000,0,
IF(T4&lt;=55000,(T4-40000)*10%,
IF(T4&lt;=70000,(T4-55000)*15%+1500,
IF(T4&lt;=200000,(T4-70000)*20%+1500+2250,
IF(T4&lt;=400000,(T4-200000)*22.5%+1500+2250+26000,
IF(T4&lt;=600000,(T4-400000)*25%+1500+2250+26000+45000,
IF(AND(T4&gt;600000,T4&lt;=1200000),(T4-400000)*25%+1500+2250+26000+45000
+IFERROR(LOOKUP(T4,{600001;700001;800001;900001},{4000;6750;10250;15250}),0),IF(T4&gt;1200000,((T4-1200000)*27.5%)+300000,0)
)))))))</f>
        <v>0</v>
      </c>
      <c r="V4" s="25">
        <f t="shared" si="4"/>
        <v>0</v>
      </c>
      <c r="W4" s="28">
        <f>+'11-2025'!$S4-'11-2025'!$V4+'11-2025'!$R4</f>
        <v>4246.9969230769238</v>
      </c>
      <c r="X4" s="28">
        <f t="shared" si="5"/>
        <v>141.56656410256412</v>
      </c>
      <c r="Y4" s="29">
        <v>0</v>
      </c>
      <c r="Z4" s="29">
        <f>IFERROR(+'11-2025'!$X4*'11-2025'!$Y4,"")</f>
        <v>0</v>
      </c>
      <c r="AA4" s="29">
        <v>0</v>
      </c>
      <c r="AB4" s="29">
        <f>IFERROR(+'11-2025'!$X4*'11-2025'!$AA4,"")</f>
        <v>0</v>
      </c>
      <c r="AC4" s="29">
        <v>0</v>
      </c>
      <c r="AD4" s="29">
        <f>IFERROR(+'11-2025'!$X4*'11-2025'!$AC4,"")</f>
        <v>0</v>
      </c>
      <c r="AE4" s="29">
        <v>0</v>
      </c>
      <c r="AF4" s="29">
        <f>IFERROR(+'11-2025'!$X4*'11-2025'!$AE4,"")</f>
        <v>0</v>
      </c>
      <c r="AG4" s="29">
        <v>0</v>
      </c>
      <c r="AH4" s="29">
        <f>IFERROR(+'11-2025'!$X4*'11-2025'!$AG4,"")</f>
        <v>0</v>
      </c>
      <c r="AI4" s="29">
        <v>0</v>
      </c>
      <c r="AJ4" s="29">
        <f>IFERROR('11-2025'!$Z4+'11-2025'!$AB4+'11-2025'!$AD4+'11-2025'!$AF4+'11-2025'!$AH4+'11-2025'!$AI4,"")</f>
        <v>0</v>
      </c>
      <c r="AK4" s="30">
        <f>IFERROR('11-2025'!$W4-'11-2025'!$AJ4,"")</f>
        <v>4246.9969230769238</v>
      </c>
      <c r="AL4" s="31"/>
      <c r="AM4" s="31">
        <v>2000</v>
      </c>
      <c r="AN4" s="31"/>
      <c r="AO4" s="31">
        <v>0</v>
      </c>
      <c r="AP4" s="31"/>
      <c r="AQ4" s="31"/>
      <c r="AR4" s="31">
        <v>0</v>
      </c>
      <c r="AS4" s="31">
        <v>0</v>
      </c>
      <c r="AT4" s="31">
        <v>0</v>
      </c>
      <c r="AU4" s="31">
        <v>0</v>
      </c>
      <c r="AV4" s="31">
        <v>0</v>
      </c>
      <c r="AW4" s="31">
        <v>0</v>
      </c>
      <c r="AX4" s="31">
        <v>1350</v>
      </c>
      <c r="AY4" s="31">
        <v>45</v>
      </c>
      <c r="AZ4" s="31">
        <v>0</v>
      </c>
      <c r="BA4" s="31">
        <v>0</v>
      </c>
      <c r="BB4" s="31">
        <v>35</v>
      </c>
      <c r="BC4" s="31">
        <v>0</v>
      </c>
      <c r="BD4" s="31">
        <v>0</v>
      </c>
      <c r="BE4" s="31">
        <v>0</v>
      </c>
      <c r="BF4" s="31">
        <v>40</v>
      </c>
      <c r="BG4" s="31">
        <v>0</v>
      </c>
      <c r="BH4" s="31">
        <v>0</v>
      </c>
      <c r="BI4" s="31">
        <v>175</v>
      </c>
      <c r="BJ4" s="32">
        <f t="shared" ref="BJ4:BJ67" si="11">BD4+BC4+BB4+BA4+AZ4+AY4+AX4+AW4+AV4+AU4+AT4+AS4+AR4+BE4+BF4+BG4+BH4+BI4</f>
        <v>1645</v>
      </c>
      <c r="BK4" s="33">
        <f>BJ4+AM4+AL4+'11-2025'!$N4+AN4+AO4</f>
        <v>8302.39</v>
      </c>
      <c r="BL4" s="34">
        <f>'11-2025'!$O4</f>
        <v>3730.8461538461534</v>
      </c>
      <c r="BM4" s="34">
        <f t="shared" si="6"/>
        <v>699.53365384615381</v>
      </c>
      <c r="BN4" s="34">
        <f t="shared" si="7"/>
        <v>410.39307692307688</v>
      </c>
      <c r="BO4" s="34">
        <f t="shared" si="8"/>
        <v>1666.6666666666667</v>
      </c>
      <c r="BP4" s="35">
        <f t="shared" si="9"/>
        <v>6225.330256410256</v>
      </c>
      <c r="BQ4" s="34">
        <f>IFERROR(BP4/'11-2025'!$J4,0)*12</f>
        <v>74703.963076923072</v>
      </c>
      <c r="BR4" s="34">
        <f>IF(BQ4&lt;=40000,0,
IF(BQ4&lt;=55000,(BQ4-40000)*10%,
IF(BQ4&lt;=70000,(BQ4-55000)*15%+1500,
IF(BQ4&lt;=200000,(BQ4-70000)*20%+1500+2250,
IF(BQ4&lt;=400000,(BQ4-200000)*22.5%+1500+2250+26000,
IF(BQ4&lt;=600000,(BQ4-400000)*25%+1500+2250+26000+45000,
IF(AND(BQ4&gt;600000,BQ4&lt;=1200000),(BQ4-400000)*25%+1500+2250+26000+45000
+IFERROR(LOOKUP(BQ4,{600001;700001;800001;900001},{4000;6750;10250;15250}),0),IF(BQ4&gt;1200000,((BQ4-1200000)*27.5%)+300000,0)
)))))))</f>
        <v>4690.7926153846147</v>
      </c>
      <c r="BS4" s="32">
        <f>(BR4/12*'11-2025'!$J4)</f>
        <v>390.89938461538458</v>
      </c>
      <c r="BT4" s="33">
        <f>BS4-'11-2025'!$V4</f>
        <v>390.89938461538458</v>
      </c>
      <c r="BU4" s="32">
        <f>IFERROR(+'11-2025'!$W4+AL4+AM4+BJ4-'11-2025'!$AJ4-BT4+AN4+AO4,"")-AL4+AP4+AQ4</f>
        <v>7501.0975384615394</v>
      </c>
      <c r="BV4" s="36" t="s">
        <v>409</v>
      </c>
      <c r="BW4" s="37"/>
      <c r="BX4" s="37">
        <f t="shared" si="10"/>
        <v>7501.0975384615394</v>
      </c>
      <c r="BY4" s="37" t="s">
        <v>75</v>
      </c>
    </row>
    <row r="5" spans="1:78" x14ac:dyDescent="0.25">
      <c r="A5" s="21">
        <v>31</v>
      </c>
      <c r="B5" s="22" t="s">
        <v>80</v>
      </c>
      <c r="C5" s="22" t="s">
        <v>81</v>
      </c>
      <c r="D5" s="22" t="s">
        <v>72</v>
      </c>
      <c r="E5" s="22" t="s">
        <v>82</v>
      </c>
      <c r="F5" s="22" t="s">
        <v>83</v>
      </c>
      <c r="G5" s="23">
        <v>45020</v>
      </c>
      <c r="H5" s="23"/>
      <c r="I5" s="24">
        <v>28504108800236</v>
      </c>
      <c r="J5" s="25">
        <v>1</v>
      </c>
      <c r="K5" s="25">
        <v>8774.76</v>
      </c>
      <c r="L5" s="25"/>
      <c r="M5" s="26"/>
      <c r="N5" s="25">
        <f>SUM('11-2025'!$K5:$M5)</f>
        <v>8774.76</v>
      </c>
      <c r="O5" s="25">
        <v>5230.7718461538452</v>
      </c>
      <c r="P5" s="25">
        <f t="shared" si="0"/>
        <v>980.76972115384592</v>
      </c>
      <c r="Q5" s="25">
        <f t="shared" si="1"/>
        <v>575.38490307692302</v>
      </c>
      <c r="R5" s="25">
        <v>1666.6666666666667</v>
      </c>
      <c r="S5" s="27">
        <f t="shared" si="2"/>
        <v>6532.7084302564099</v>
      </c>
      <c r="T5" s="25">
        <f t="shared" si="3"/>
        <v>78392.501163076915</v>
      </c>
      <c r="U5" s="25">
        <f>IF(T5&lt;=40000,0,
IF(T5&lt;=55000,(T5-40000)*10%,
IF(T5&lt;=70000,(T5-55000)*15%+1500,
IF(T5&lt;=200000,(T5-70000)*20%+1500+2250,
IF(T5&lt;=400000,(T5-200000)*22.5%+1500+2250+26000,
IF(T5&lt;=600000,(T5-400000)*25%+1500+2250+26000+45000,
IF(AND(T5&gt;600000,T5&lt;=1200000),(T5-400000)*25%+1500+2250+26000+45000
+IFERROR(LOOKUP(T5,{600001;700001;800001;900001},{4000;6750;10250;15250}),0),IF(T5&gt;1200000,((T5-1200000)*27.5%)+300000,0)
)))))))</f>
        <v>5428.5002326153826</v>
      </c>
      <c r="V5" s="25">
        <f t="shared" si="4"/>
        <v>452.3750193846152</v>
      </c>
      <c r="W5" s="28">
        <f>+'11-2025'!$S5-'11-2025'!$V5+'11-2025'!$R5</f>
        <v>7747.0000775384615</v>
      </c>
      <c r="X5" s="28">
        <f t="shared" si="5"/>
        <v>258.23333591794869</v>
      </c>
      <c r="Y5" s="29">
        <v>0</v>
      </c>
      <c r="Z5" s="29">
        <f>IFERROR(+'11-2025'!$X5*'11-2025'!$Y5,"")</f>
        <v>0</v>
      </c>
      <c r="AA5" s="29">
        <v>0</v>
      </c>
      <c r="AB5" s="29">
        <f>IFERROR(+'11-2025'!$X5*'11-2025'!$AA5,"")</f>
        <v>0</v>
      </c>
      <c r="AC5" s="29">
        <v>0</v>
      </c>
      <c r="AD5" s="29">
        <f>IFERROR(+'11-2025'!$X5*'11-2025'!$AC5,"")</f>
        <v>0</v>
      </c>
      <c r="AE5" s="29">
        <v>0</v>
      </c>
      <c r="AF5" s="29">
        <f>IFERROR(+'11-2025'!$X5*'11-2025'!$AE5,"")</f>
        <v>0</v>
      </c>
      <c r="AG5" s="29">
        <v>0</v>
      </c>
      <c r="AH5" s="29">
        <f>IFERROR(+'11-2025'!$X5*'11-2025'!$AG5,"")</f>
        <v>0</v>
      </c>
      <c r="AI5" s="29">
        <v>3000</v>
      </c>
      <c r="AJ5" s="29">
        <f>IFERROR('11-2025'!$Z5+'11-2025'!$AB5+'11-2025'!$AD5+'11-2025'!$AF5+'11-2025'!$AH5+'11-2025'!$AI5,"")</f>
        <v>3000</v>
      </c>
      <c r="AK5" s="30">
        <f>IFERROR('11-2025'!$W5-'11-2025'!$AJ5,"")</f>
        <v>4747.0000775384615</v>
      </c>
      <c r="AL5" s="31"/>
      <c r="AM5" s="31">
        <f>2500+500</f>
        <v>3000</v>
      </c>
      <c r="AN5" s="31"/>
      <c r="AO5" s="31">
        <v>140</v>
      </c>
      <c r="AP5" s="31"/>
      <c r="AQ5" s="31"/>
      <c r="AR5" s="31">
        <v>0</v>
      </c>
      <c r="AS5" s="31">
        <v>0</v>
      </c>
      <c r="AT5" s="31">
        <v>0</v>
      </c>
      <c r="AU5" s="31">
        <v>0</v>
      </c>
      <c r="AV5" s="31">
        <v>9975.4418500000011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1394.2474999999999</v>
      </c>
      <c r="BD5" s="31">
        <v>2236.73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2">
        <f t="shared" si="11"/>
        <v>13606.41935</v>
      </c>
      <c r="BK5" s="33">
        <f>BJ5+AM5+AL5+'11-2025'!$N5+AN5+AO5</f>
        <v>25521.179349999999</v>
      </c>
      <c r="BL5" s="34">
        <f>'11-2025'!$O5</f>
        <v>5230.7718461538452</v>
      </c>
      <c r="BM5" s="34">
        <f t="shared" si="6"/>
        <v>980.76972115384592</v>
      </c>
      <c r="BN5" s="34">
        <f t="shared" si="7"/>
        <v>575.38490307692302</v>
      </c>
      <c r="BO5" s="34">
        <f t="shared" si="8"/>
        <v>1666.6666666666667</v>
      </c>
      <c r="BP5" s="35">
        <f t="shared" si="9"/>
        <v>23279.127780256407</v>
      </c>
      <c r="BQ5" s="34">
        <f>IFERROR(BP5/'11-2025'!$J5,0)*12</f>
        <v>279349.53336307686</v>
      </c>
      <c r="BR5" s="34">
        <f>IF(BQ5&lt;=40000,0,
IF(BQ5&lt;=55000,(BQ5-40000)*10%,
IF(BQ5&lt;=70000,(BQ5-55000)*15%+1500,
IF(BQ5&lt;=200000,(BQ5-70000)*20%+1500+2250,
IF(BQ5&lt;=400000,(BQ5-200000)*22.5%+1500+2250+26000,
IF(BQ5&lt;=600000,(BQ5-400000)*25%+1500+2250+26000+45000,
IF(AND(BQ5&gt;600000,BQ5&lt;=1200000),(BQ5-400000)*25%+1500+2250+26000+45000
+IFERROR(LOOKUP(BQ5,{600001;700001;800001;900001},{4000;6750;10250;15250}),0),IF(BQ5&gt;1200000,((BQ5-1200000)*27.5%)+300000,0)
)))))))</f>
        <v>47603.645006692299</v>
      </c>
      <c r="BS5" s="32">
        <f>(BR5/12*'11-2025'!$J5)</f>
        <v>3966.9704172243582</v>
      </c>
      <c r="BT5" s="33">
        <f>BS5-'11-2025'!$V5</f>
        <v>3514.5953978397429</v>
      </c>
      <c r="BU5" s="32">
        <f>IFERROR(+'11-2025'!$W5+AL5+AM5+BJ5-'11-2025'!$AJ5-BT5+AN5+AO5,"")-AL5+AP5+AQ5</f>
        <v>17978.824029698721</v>
      </c>
      <c r="BV5" s="36" t="s">
        <v>429</v>
      </c>
      <c r="BW5" s="37"/>
      <c r="BX5" s="37">
        <f t="shared" si="10"/>
        <v>17978.824029698721</v>
      </c>
      <c r="BY5" s="37" t="s">
        <v>75</v>
      </c>
    </row>
    <row r="6" spans="1:78" x14ac:dyDescent="0.25">
      <c r="A6" s="21">
        <v>35</v>
      </c>
      <c r="B6" s="22" t="s">
        <v>84</v>
      </c>
      <c r="C6" s="22" t="s">
        <v>81</v>
      </c>
      <c r="D6" s="22" t="s">
        <v>77</v>
      </c>
      <c r="E6" s="22" t="s">
        <v>85</v>
      </c>
      <c r="F6" s="22" t="s">
        <v>86</v>
      </c>
      <c r="G6" s="23">
        <v>45285</v>
      </c>
      <c r="H6" s="23"/>
      <c r="I6" s="24">
        <v>30111210101161</v>
      </c>
      <c r="J6" s="25">
        <v>1</v>
      </c>
      <c r="K6" s="25">
        <v>4657.3900000000003</v>
      </c>
      <c r="L6" s="25"/>
      <c r="M6" s="26"/>
      <c r="N6" s="25">
        <f>SUM('11-2025'!$K6:$M6)</f>
        <v>4657.3900000000003</v>
      </c>
      <c r="O6" s="25">
        <v>3730.8461538461534</v>
      </c>
      <c r="P6" s="25">
        <f t="shared" si="0"/>
        <v>699.53365384615381</v>
      </c>
      <c r="Q6" s="25">
        <f t="shared" si="1"/>
        <v>410.39307692307688</v>
      </c>
      <c r="R6" s="25">
        <v>1666.6666666666667</v>
      </c>
      <c r="S6" s="27">
        <f t="shared" si="2"/>
        <v>2580.3302564102569</v>
      </c>
      <c r="T6" s="25">
        <f t="shared" si="3"/>
        <v>30963.963076923083</v>
      </c>
      <c r="U6" s="25">
        <f>IF(T6&lt;=40000,0,
IF(T6&lt;=55000,(T6-40000)*10%,
IF(T6&lt;=70000,(T6-55000)*15%+1500,
IF(T6&lt;=200000,(T6-70000)*20%+1500+2250,
IF(T6&lt;=400000,(T6-200000)*22.5%+1500+2250+26000,
IF(T6&lt;=600000,(T6-400000)*25%+1500+2250+26000+45000,
IF(AND(T6&gt;600000,T6&lt;=1200000),(T6-400000)*25%+1500+2250+26000+45000
+IFERROR(LOOKUP(T6,{600001;700001;800001;900001},{4000;6750;10250;15250}),0),IF(T6&gt;1200000,((T6-1200000)*27.5%)+300000,0)
)))))))</f>
        <v>0</v>
      </c>
      <c r="V6" s="25">
        <f t="shared" si="4"/>
        <v>0</v>
      </c>
      <c r="W6" s="28">
        <f>+'11-2025'!$S6-'11-2025'!$V6+'11-2025'!$R6</f>
        <v>4246.9969230769238</v>
      </c>
      <c r="X6" s="28">
        <f t="shared" si="5"/>
        <v>141.56656410256412</v>
      </c>
      <c r="Y6" s="29">
        <v>0</v>
      </c>
      <c r="Z6" s="29">
        <f>IFERROR(+'11-2025'!$X6*'11-2025'!$Y6,"")</f>
        <v>0</v>
      </c>
      <c r="AA6" s="29">
        <v>0</v>
      </c>
      <c r="AB6" s="29">
        <f>IFERROR(+'11-2025'!$X6*'11-2025'!$AA6,"")</f>
        <v>0</v>
      </c>
      <c r="AC6" s="29">
        <v>2</v>
      </c>
      <c r="AD6" s="29">
        <f>IFERROR(+'11-2025'!$X6*'11-2025'!$AC6,"")</f>
        <v>283.13312820512823</v>
      </c>
      <c r="AE6" s="29">
        <v>0</v>
      </c>
      <c r="AF6" s="29">
        <f>IFERROR(+'11-2025'!$X6*'11-2025'!$AE6,"")</f>
        <v>0</v>
      </c>
      <c r="AG6" s="29">
        <v>0</v>
      </c>
      <c r="AH6" s="29">
        <f>IFERROR(+'11-2025'!$X6*'11-2025'!$AG6,"")</f>
        <v>0</v>
      </c>
      <c r="AI6" s="29">
        <v>0</v>
      </c>
      <c r="AJ6" s="29">
        <f>IFERROR('11-2025'!$Z6+'11-2025'!$AB6+'11-2025'!$AD6+'11-2025'!$AF6+'11-2025'!$AH6+'11-2025'!$AI6,"")</f>
        <v>283.13312820512823</v>
      </c>
      <c r="AK6" s="30">
        <f>IFERROR('11-2025'!$W6-'11-2025'!$AJ6,"")</f>
        <v>3963.8637948717956</v>
      </c>
      <c r="AL6" s="31"/>
      <c r="AM6" s="31"/>
      <c r="AN6" s="31"/>
      <c r="AO6" s="31">
        <v>0</v>
      </c>
      <c r="AP6" s="31"/>
      <c r="AQ6" s="31"/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0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0</v>
      </c>
      <c r="BH6" s="31">
        <v>0</v>
      </c>
      <c r="BI6" s="31">
        <v>0</v>
      </c>
      <c r="BJ6" s="32">
        <f t="shared" si="11"/>
        <v>0</v>
      </c>
      <c r="BK6" s="33">
        <f>BJ6+AM6+AL6+'11-2025'!$N6+AN6+AO6</f>
        <v>4657.3900000000003</v>
      </c>
      <c r="BL6" s="34">
        <f>'11-2025'!$O6</f>
        <v>3730.8461538461534</v>
      </c>
      <c r="BM6" s="34">
        <f t="shared" si="6"/>
        <v>699.53365384615381</v>
      </c>
      <c r="BN6" s="34">
        <f t="shared" si="7"/>
        <v>410.39307692307688</v>
      </c>
      <c r="BO6" s="34">
        <f t="shared" si="8"/>
        <v>1666.6666666666667</v>
      </c>
      <c r="BP6" s="35">
        <f t="shared" si="9"/>
        <v>2580.3302564102569</v>
      </c>
      <c r="BQ6" s="34">
        <f>IFERROR(BP6/'11-2025'!$J6,0)*12</f>
        <v>30963.963076923083</v>
      </c>
      <c r="BR6" s="34">
        <f>IF(BQ6&lt;=40000,0,
IF(BQ6&lt;=55000,(BQ6-40000)*10%,
IF(BQ6&lt;=70000,(BQ6-55000)*15%+1500,
IF(BQ6&lt;=200000,(BQ6-70000)*20%+1500+2250,
IF(BQ6&lt;=400000,(BQ6-200000)*22.5%+1500+2250+26000,
IF(BQ6&lt;=600000,(BQ6-400000)*25%+1500+2250+26000+45000,
IF(AND(BQ6&gt;600000,BQ6&lt;=1200000),(BQ6-400000)*25%+1500+2250+26000+45000
+IFERROR(LOOKUP(BQ6,{600001;700001;800001;900001},{4000;6750;10250;15250}),0),IF(BQ6&gt;1200000,((BQ6-1200000)*27.5%)+300000,0)
)))))))</f>
        <v>0</v>
      </c>
      <c r="BS6" s="32">
        <f>(BR6/12*'11-2025'!$J6)</f>
        <v>0</v>
      </c>
      <c r="BT6" s="33">
        <f>BS6-'11-2025'!$V6</f>
        <v>0</v>
      </c>
      <c r="BU6" s="32">
        <f>IFERROR(+'11-2025'!$W6+AL6+AM6+BJ6-'11-2025'!$AJ6-BT6+AN6+AO6,"")-AL6+AP6+AQ6</f>
        <v>3963.8637948717956</v>
      </c>
      <c r="BV6" s="36"/>
      <c r="BW6" s="37"/>
      <c r="BX6" s="37">
        <f t="shared" si="10"/>
        <v>3963.8637948717956</v>
      </c>
      <c r="BY6" s="37" t="s">
        <v>75</v>
      </c>
    </row>
    <row r="7" spans="1:78" x14ac:dyDescent="0.25">
      <c r="A7" s="21">
        <v>45</v>
      </c>
      <c r="B7" s="22" t="s">
        <v>87</v>
      </c>
      <c r="C7" s="22" t="s">
        <v>71</v>
      </c>
      <c r="D7" s="22" t="s">
        <v>72</v>
      </c>
      <c r="E7" s="22" t="s">
        <v>88</v>
      </c>
      <c r="F7" s="22" t="s">
        <v>135</v>
      </c>
      <c r="G7" s="23">
        <v>45400</v>
      </c>
      <c r="H7" s="23"/>
      <c r="I7" s="24">
        <v>28409261402239</v>
      </c>
      <c r="J7" s="25">
        <v>1</v>
      </c>
      <c r="K7" s="25">
        <v>5322.38</v>
      </c>
      <c r="L7" s="25"/>
      <c r="M7" s="26"/>
      <c r="N7" s="25">
        <f>SUM('11-2025'!$K7:$M7)</f>
        <v>5322.38</v>
      </c>
      <c r="O7" s="25">
        <v>5230.7692307692305</v>
      </c>
      <c r="P7" s="25">
        <f t="shared" si="0"/>
        <v>980.76923076923072</v>
      </c>
      <c r="Q7" s="25">
        <f t="shared" si="1"/>
        <v>575.38461538461536</v>
      </c>
      <c r="R7" s="25">
        <v>1666.6666666666667</v>
      </c>
      <c r="S7" s="27">
        <f t="shared" si="2"/>
        <v>3080.3287179487179</v>
      </c>
      <c r="T7" s="25">
        <f t="shared" si="3"/>
        <v>36963.944615384615</v>
      </c>
      <c r="U7" s="25">
        <f>IF(T7&lt;=40000,0,
IF(T7&lt;=55000,(T7-40000)*10%,
IF(T7&lt;=70000,(T7-55000)*15%+1500,
IF(T7&lt;=200000,(T7-70000)*20%+1500+2250,
IF(T7&lt;=400000,(T7-200000)*22.5%+1500+2250+26000,
IF(T7&lt;=600000,(T7-400000)*25%+1500+2250+26000+45000,
IF(AND(T7&gt;600000,T7&lt;=1200000),(T7-400000)*25%+1500+2250+26000+45000
+IFERROR(LOOKUP(T7,{600001;700001;800001;900001},{4000;6750;10250;15250}),0),IF(T7&gt;1200000,((T7-1200000)*27.5%)+300000,0)
)))))))</f>
        <v>0</v>
      </c>
      <c r="V7" s="25">
        <f t="shared" si="4"/>
        <v>0</v>
      </c>
      <c r="W7" s="28">
        <f>+'11-2025'!$S7-'11-2025'!$V7+'11-2025'!$R7</f>
        <v>4746.9953846153849</v>
      </c>
      <c r="X7" s="28">
        <f t="shared" si="5"/>
        <v>158.23317948717948</v>
      </c>
      <c r="Y7" s="29">
        <v>0</v>
      </c>
      <c r="Z7" s="29">
        <f>IFERROR(+'11-2025'!$X7*'11-2025'!$Y7,"")</f>
        <v>0</v>
      </c>
      <c r="AA7" s="29">
        <v>0</v>
      </c>
      <c r="AB7" s="29">
        <f>IFERROR(+'11-2025'!$X7*'11-2025'!$AA7,"")</f>
        <v>0</v>
      </c>
      <c r="AC7" s="29">
        <v>0</v>
      </c>
      <c r="AD7" s="29">
        <f>IFERROR(+'11-2025'!$X7*'11-2025'!$AC7,"")</f>
        <v>0</v>
      </c>
      <c r="AE7" s="29">
        <v>0</v>
      </c>
      <c r="AF7" s="29">
        <f>IFERROR(+'11-2025'!$X7*'11-2025'!$AE7,"")</f>
        <v>0</v>
      </c>
      <c r="AG7" s="29">
        <v>0</v>
      </c>
      <c r="AH7" s="29">
        <f>IFERROR(+'11-2025'!$X7*'11-2025'!$AG7,"")</f>
        <v>0</v>
      </c>
      <c r="AI7" s="29">
        <v>1500</v>
      </c>
      <c r="AJ7" s="29">
        <f>IFERROR('11-2025'!$Z7+'11-2025'!$AB7+'11-2025'!$AD7+'11-2025'!$AF7+'11-2025'!$AH7+'11-2025'!$AI7,"")</f>
        <v>1500</v>
      </c>
      <c r="AK7" s="30">
        <f>IFERROR('11-2025'!$W7-'11-2025'!$AJ7,"")</f>
        <v>3246.9953846153849</v>
      </c>
      <c r="AL7" s="31"/>
      <c r="AM7" s="31"/>
      <c r="AN7" s="31"/>
      <c r="AO7" s="31">
        <v>20</v>
      </c>
      <c r="AP7" s="31">
        <v>-83</v>
      </c>
      <c r="AQ7" s="31"/>
      <c r="AR7" s="31">
        <v>0</v>
      </c>
      <c r="AS7" s="31">
        <v>0</v>
      </c>
      <c r="AT7" s="31">
        <v>0</v>
      </c>
      <c r="AU7" s="31">
        <v>316.67137500000001</v>
      </c>
      <c r="AV7" s="31">
        <v>0</v>
      </c>
      <c r="AW7" s="31">
        <v>0</v>
      </c>
      <c r="AX7" s="31">
        <v>0</v>
      </c>
      <c r="AY7" s="31">
        <v>0</v>
      </c>
      <c r="AZ7" s="31">
        <v>0</v>
      </c>
      <c r="BA7" s="31">
        <v>0</v>
      </c>
      <c r="BB7" s="31">
        <v>0</v>
      </c>
      <c r="BC7" s="31">
        <v>0</v>
      </c>
      <c r="BD7" s="31">
        <v>0</v>
      </c>
      <c r="BE7" s="31">
        <v>0</v>
      </c>
      <c r="BF7" s="31">
        <v>0</v>
      </c>
      <c r="BG7" s="31">
        <v>0</v>
      </c>
      <c r="BH7" s="31">
        <v>0</v>
      </c>
      <c r="BI7" s="31">
        <v>0</v>
      </c>
      <c r="BJ7" s="32">
        <f t="shared" si="11"/>
        <v>316.67137500000001</v>
      </c>
      <c r="BK7" s="33">
        <f>BJ7+AM7+AL7+'11-2025'!$N7+AN7+AO7</f>
        <v>5659.051375</v>
      </c>
      <c r="BL7" s="34">
        <f>'11-2025'!$O7</f>
        <v>5230.7692307692305</v>
      </c>
      <c r="BM7" s="34">
        <f t="shared" si="6"/>
        <v>980.76923076923072</v>
      </c>
      <c r="BN7" s="34">
        <f t="shared" si="7"/>
        <v>575.38461538461536</v>
      </c>
      <c r="BO7" s="34">
        <f t="shared" si="8"/>
        <v>1666.6666666666667</v>
      </c>
      <c r="BP7" s="35">
        <f t="shared" si="9"/>
        <v>3417.0000929487178</v>
      </c>
      <c r="BQ7" s="34">
        <f>IFERROR(BP7/'11-2025'!$J7,0)*12</f>
        <v>41004.001115384614</v>
      </c>
      <c r="BR7" s="34">
        <f>IF(BQ7&lt;=40000,0,
IF(BQ7&lt;=55000,(BQ7-40000)*10%,
IF(BQ7&lt;=70000,(BQ7-55000)*15%+1500,
IF(BQ7&lt;=200000,(BQ7-70000)*20%+1500+2250,
IF(BQ7&lt;=400000,(BQ7-200000)*22.5%+1500+2250+26000,
IF(BQ7&lt;=600000,(BQ7-400000)*25%+1500+2250+26000+45000,
IF(AND(BQ7&gt;600000,BQ7&lt;=1200000),(BQ7-400000)*25%+1500+2250+26000+45000
+IFERROR(LOOKUP(BQ7,{600001;700001;800001;900001},{4000;6750;10250;15250}),0),IF(BQ7&gt;1200000,((BQ7-1200000)*27.5%)+300000,0)
)))))))</f>
        <v>100.40011153846136</v>
      </c>
      <c r="BS7" s="32">
        <f>(BR7/12*'11-2025'!$J7)</f>
        <v>8.3666759615384461</v>
      </c>
      <c r="BT7" s="33">
        <f>BS7-'11-2025'!$V7</f>
        <v>8.3666759615384461</v>
      </c>
      <c r="BU7" s="32">
        <f>IFERROR(+'11-2025'!$W7+AL7+AM7+BJ7-'11-2025'!$AJ7-BT7+AN7+AO7,"")-AL7+AP7+AQ7</f>
        <v>3492.3000836538463</v>
      </c>
      <c r="BV7" s="36" t="s">
        <v>350</v>
      </c>
      <c r="BW7" s="37"/>
      <c r="BX7" s="37">
        <f t="shared" si="10"/>
        <v>3492.3000836538463</v>
      </c>
      <c r="BY7" s="37" t="s">
        <v>75</v>
      </c>
    </row>
    <row r="8" spans="1:78" x14ac:dyDescent="0.25">
      <c r="A8" s="21">
        <v>54</v>
      </c>
      <c r="B8" s="22" t="s">
        <v>90</v>
      </c>
      <c r="C8" s="22" t="s">
        <v>81</v>
      </c>
      <c r="D8" s="22" t="s">
        <v>72</v>
      </c>
      <c r="E8" s="22" t="s">
        <v>91</v>
      </c>
      <c r="F8" s="22" t="s">
        <v>89</v>
      </c>
      <c r="G8" s="23">
        <v>45053</v>
      </c>
      <c r="H8" s="23"/>
      <c r="I8" s="24">
        <v>28706021401264</v>
      </c>
      <c r="J8" s="25">
        <v>1</v>
      </c>
      <c r="K8" s="25">
        <v>4753</v>
      </c>
      <c r="L8" s="25"/>
      <c r="M8" s="26"/>
      <c r="N8" s="25">
        <f>SUM('11-2025'!$K8:$M8)</f>
        <v>4753</v>
      </c>
      <c r="O8" s="25">
        <v>5069.2692307692305</v>
      </c>
      <c r="P8" s="25">
        <f t="shared" si="0"/>
        <v>950.48798076923072</v>
      </c>
      <c r="Q8" s="25">
        <f t="shared" si="1"/>
        <v>557.61961538461537</v>
      </c>
      <c r="R8" s="25">
        <v>1666.6666666666667</v>
      </c>
      <c r="S8" s="27">
        <f t="shared" si="2"/>
        <v>2528.7137179487172</v>
      </c>
      <c r="T8" s="25">
        <f t="shared" si="3"/>
        <v>30344.564615384606</v>
      </c>
      <c r="U8" s="25">
        <f>IF(T8&lt;=40000,0,
IF(T8&lt;=55000,(T8-40000)*10%,
IF(T8&lt;=70000,(T8-55000)*15%+1500,
IF(T8&lt;=200000,(T8-70000)*20%+1500+2250,
IF(T8&lt;=400000,(T8-200000)*22.5%+1500+2250+26000,
IF(T8&lt;=600000,(T8-400000)*25%+1500+2250+26000+45000,
IF(AND(T8&gt;600000,T8&lt;=1200000),(T8-400000)*25%+1500+2250+26000+45000
+IFERROR(LOOKUP(T8,{600001;700001;800001;900001},{4000;6750;10250;15250}),0),IF(T8&gt;1200000,((T8-1200000)*27.5%)+300000,0)
)))))))</f>
        <v>0</v>
      </c>
      <c r="V8" s="25">
        <f t="shared" si="4"/>
        <v>0</v>
      </c>
      <c r="W8" s="28">
        <f>+'11-2025'!$S8-'11-2025'!$V8+'11-2025'!$R8</f>
        <v>4195.3803846153842</v>
      </c>
      <c r="X8" s="28">
        <f t="shared" si="5"/>
        <v>139.84601282051281</v>
      </c>
      <c r="Y8" s="29">
        <v>0</v>
      </c>
      <c r="Z8" s="29">
        <f>IFERROR(+'11-2025'!$X8*'11-2025'!$Y8,"")</f>
        <v>0</v>
      </c>
      <c r="AA8" s="29">
        <v>0</v>
      </c>
      <c r="AB8" s="29">
        <f>IFERROR(+'11-2025'!$X8*'11-2025'!$AA8,"")</f>
        <v>0</v>
      </c>
      <c r="AC8" s="29">
        <v>0</v>
      </c>
      <c r="AD8" s="29">
        <f>IFERROR(+'11-2025'!$X8*'11-2025'!$AC8,"")</f>
        <v>0</v>
      </c>
      <c r="AE8" s="29">
        <v>0</v>
      </c>
      <c r="AF8" s="29">
        <f>IFERROR(+'11-2025'!$X8*'11-2025'!$AE8,"")</f>
        <v>0</v>
      </c>
      <c r="AG8" s="29">
        <v>0</v>
      </c>
      <c r="AH8" s="29">
        <f>IFERROR(+'11-2025'!$X8*'11-2025'!$AG8,"")</f>
        <v>0</v>
      </c>
      <c r="AI8" s="29">
        <v>500</v>
      </c>
      <c r="AJ8" s="29">
        <f>IFERROR('11-2025'!$Z8+'11-2025'!$AB8+'11-2025'!$AD8+'11-2025'!$AF8+'11-2025'!$AH8+'11-2025'!$AI8,"")</f>
        <v>500</v>
      </c>
      <c r="AK8" s="30">
        <f>IFERROR('11-2025'!$W8-'11-2025'!$AJ8,"")</f>
        <v>3695.3803846153842</v>
      </c>
      <c r="AL8" s="31"/>
      <c r="AM8" s="31">
        <v>300</v>
      </c>
      <c r="AN8" s="31"/>
      <c r="AO8" s="31">
        <v>60</v>
      </c>
      <c r="AP8" s="31"/>
      <c r="AQ8" s="31"/>
      <c r="AR8" s="31">
        <v>0</v>
      </c>
      <c r="AS8" s="31">
        <v>0</v>
      </c>
      <c r="AT8" s="31">
        <v>0</v>
      </c>
      <c r="AU8" s="31">
        <v>0</v>
      </c>
      <c r="AV8" s="31">
        <v>427.62</v>
      </c>
      <c r="AW8" s="31">
        <v>0</v>
      </c>
      <c r="AX8" s="31">
        <v>0</v>
      </c>
      <c r="AY8" s="31">
        <v>0</v>
      </c>
      <c r="AZ8" s="31">
        <v>0</v>
      </c>
      <c r="BA8" s="31">
        <v>0</v>
      </c>
      <c r="BB8" s="31">
        <v>0</v>
      </c>
      <c r="BC8" s="31">
        <v>2872.2849999999999</v>
      </c>
      <c r="BD8" s="31">
        <v>5673.46</v>
      </c>
      <c r="BE8" s="31">
        <v>0</v>
      </c>
      <c r="BF8" s="31">
        <v>0</v>
      </c>
      <c r="BG8" s="31">
        <v>0</v>
      </c>
      <c r="BH8" s="31">
        <v>0</v>
      </c>
      <c r="BI8" s="31">
        <v>0</v>
      </c>
      <c r="BJ8" s="32">
        <f t="shared" si="11"/>
        <v>8973.3649999999998</v>
      </c>
      <c r="BK8" s="33">
        <f>BJ8+AM8+AL8+'11-2025'!$N8+AN8+AO8</f>
        <v>14086.365</v>
      </c>
      <c r="BL8" s="34">
        <f>'11-2025'!$O8</f>
        <v>5069.2692307692305</v>
      </c>
      <c r="BM8" s="34">
        <f t="shared" si="6"/>
        <v>950.48798076923072</v>
      </c>
      <c r="BN8" s="34">
        <f t="shared" si="7"/>
        <v>557.61961538461537</v>
      </c>
      <c r="BO8" s="34">
        <f t="shared" si="8"/>
        <v>1666.6666666666667</v>
      </c>
      <c r="BP8" s="35">
        <f t="shared" si="9"/>
        <v>11862.078717948718</v>
      </c>
      <c r="BQ8" s="34">
        <f>IFERROR(BP8/'11-2025'!$J8,0)*12</f>
        <v>142344.94461538462</v>
      </c>
      <c r="BR8" s="34">
        <f>IF(BQ8&lt;=40000,0,
IF(BQ8&lt;=55000,(BQ8-40000)*10%,
IF(BQ8&lt;=70000,(BQ8-55000)*15%+1500,
IF(BQ8&lt;=200000,(BQ8-70000)*20%+1500+2250,
IF(BQ8&lt;=400000,(BQ8-200000)*22.5%+1500+2250+26000,
IF(BQ8&lt;=600000,(BQ8-400000)*25%+1500+2250+26000+45000,
IF(AND(BQ8&gt;600000,BQ8&lt;=1200000),(BQ8-400000)*25%+1500+2250+26000+45000
+IFERROR(LOOKUP(BQ8,{600001;700001;800001;900001},{4000;6750;10250;15250}),0),IF(BQ8&gt;1200000,((BQ8-1200000)*27.5%)+300000,0)
)))))))</f>
        <v>18218.988923076926</v>
      </c>
      <c r="BS8" s="32">
        <f>(BR8/12*'11-2025'!$J8)</f>
        <v>1518.2490769230772</v>
      </c>
      <c r="BT8" s="33">
        <f>BS8-'11-2025'!$V8</f>
        <v>1518.2490769230772</v>
      </c>
      <c r="BU8" s="32">
        <f>IFERROR(+'11-2025'!$W8+AL8+AM8+BJ8-'11-2025'!$AJ8-BT8+AN8+AO8,"")-AL8+AP8+AQ8</f>
        <v>11510.496307692307</v>
      </c>
      <c r="BV8" s="36" t="s">
        <v>349</v>
      </c>
      <c r="BW8" s="37"/>
      <c r="BX8" s="37">
        <f t="shared" si="10"/>
        <v>11510.496307692307</v>
      </c>
      <c r="BY8" s="37" t="s">
        <v>75</v>
      </c>
    </row>
    <row r="9" spans="1:78" x14ac:dyDescent="0.25">
      <c r="A9" s="21">
        <v>60</v>
      </c>
      <c r="B9" s="22" t="s">
        <v>92</v>
      </c>
      <c r="C9" s="22" t="s">
        <v>81</v>
      </c>
      <c r="D9" s="22" t="s">
        <v>72</v>
      </c>
      <c r="E9" s="22" t="s">
        <v>321</v>
      </c>
      <c r="F9" s="22" t="s">
        <v>74</v>
      </c>
      <c r="G9" s="23">
        <v>45062</v>
      </c>
      <c r="H9" s="23"/>
      <c r="I9" s="24">
        <v>29912120104665</v>
      </c>
      <c r="J9" s="25">
        <v>1</v>
      </c>
      <c r="K9" s="25">
        <v>4250.46</v>
      </c>
      <c r="L9" s="25"/>
      <c r="M9" s="26"/>
      <c r="N9" s="25">
        <f>SUM('11-2025'!$K9:$M9)</f>
        <v>4250.46</v>
      </c>
      <c r="O9" s="25">
        <v>4576.9230769230771</v>
      </c>
      <c r="P9" s="25">
        <f t="shared" si="0"/>
        <v>858.17307692307691</v>
      </c>
      <c r="Q9" s="25">
        <f t="shared" si="1"/>
        <v>503.46153846153851</v>
      </c>
      <c r="R9" s="25">
        <v>1666.6666666666667</v>
      </c>
      <c r="S9" s="27">
        <f t="shared" si="2"/>
        <v>2080.331794871795</v>
      </c>
      <c r="T9" s="25">
        <f t="shared" si="3"/>
        <v>24963.981538461539</v>
      </c>
      <c r="U9" s="25">
        <f>IF(T9&lt;=40000,0,
IF(T9&lt;=55000,(T9-40000)*10%,
IF(T9&lt;=70000,(T9-55000)*15%+1500,
IF(T9&lt;=200000,(T9-70000)*20%+1500+2250,
IF(T9&lt;=400000,(T9-200000)*22.5%+1500+2250+26000,
IF(T9&lt;=600000,(T9-400000)*25%+1500+2250+26000+45000,
IF(AND(T9&gt;600000,T9&lt;=1200000),(T9-400000)*25%+1500+2250+26000+45000
+IFERROR(LOOKUP(T9,{600001;700001;800001;900001},{4000;6750;10250;15250}),0),IF(T9&gt;1200000,((T9-1200000)*27.5%)+300000,0)
)))))))</f>
        <v>0</v>
      </c>
      <c r="V9" s="25">
        <f t="shared" si="4"/>
        <v>0</v>
      </c>
      <c r="W9" s="28">
        <f>+'11-2025'!$S9-'11-2025'!$V9+'11-2025'!$R9</f>
        <v>3746.9984615384619</v>
      </c>
      <c r="X9" s="28">
        <f t="shared" si="5"/>
        <v>124.89994871794873</v>
      </c>
      <c r="Y9" s="29">
        <v>0</v>
      </c>
      <c r="Z9" s="29">
        <f>IFERROR(+'11-2025'!$X9*'11-2025'!$Y9,"")</f>
        <v>0</v>
      </c>
      <c r="AA9" s="29">
        <v>0</v>
      </c>
      <c r="AB9" s="29">
        <f>IFERROR(+'11-2025'!$X9*'11-2025'!$AA9,"")</f>
        <v>0</v>
      </c>
      <c r="AC9" s="29">
        <v>0</v>
      </c>
      <c r="AD9" s="29">
        <f>IFERROR(+'11-2025'!$X9*'11-2025'!$AC9,"")</f>
        <v>0</v>
      </c>
      <c r="AE9" s="29">
        <v>0</v>
      </c>
      <c r="AF9" s="29">
        <f>IFERROR(+'11-2025'!$X9*'11-2025'!$AE9,"")</f>
        <v>0</v>
      </c>
      <c r="AG9" s="29">
        <v>0</v>
      </c>
      <c r="AH9" s="29">
        <f>IFERROR(+'11-2025'!$X9*'11-2025'!$AG9,"")</f>
        <v>0</v>
      </c>
      <c r="AI9" s="29">
        <v>0</v>
      </c>
      <c r="AJ9" s="29">
        <f>IFERROR('11-2025'!$Z9+'11-2025'!$AB9+'11-2025'!$AD9+'11-2025'!$AF9+'11-2025'!$AH9+'11-2025'!$AI9,"")</f>
        <v>0</v>
      </c>
      <c r="AK9" s="30">
        <f>IFERROR('11-2025'!$W9-'11-2025'!$AJ9,"")</f>
        <v>3746.9984615384619</v>
      </c>
      <c r="AL9" s="31"/>
      <c r="AM9" s="31"/>
      <c r="AN9" s="31"/>
      <c r="AO9" s="31">
        <v>600</v>
      </c>
      <c r="AP9" s="31"/>
      <c r="AQ9" s="31"/>
      <c r="AR9" s="31">
        <v>3923.157725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2">
        <f t="shared" si="11"/>
        <v>3923.157725</v>
      </c>
      <c r="BK9" s="33">
        <f>BJ9+AM9+AL9+'11-2025'!$N9+AN9+AO9</f>
        <v>8773.6177250000001</v>
      </c>
      <c r="BL9" s="34">
        <f>'11-2025'!$O9</f>
        <v>4576.9230769230771</v>
      </c>
      <c r="BM9" s="34">
        <f t="shared" si="6"/>
        <v>858.17307692307691</v>
      </c>
      <c r="BN9" s="34">
        <f t="shared" si="7"/>
        <v>503.46153846153851</v>
      </c>
      <c r="BO9" s="34">
        <f t="shared" si="8"/>
        <v>1666.6666666666667</v>
      </c>
      <c r="BP9" s="35">
        <f t="shared" si="9"/>
        <v>6603.4895198717941</v>
      </c>
      <c r="BQ9" s="34">
        <f>IFERROR(BP9/'11-2025'!$J9,0)*12</f>
        <v>79241.874238461533</v>
      </c>
      <c r="BR9" s="34">
        <f>IF(BQ9&lt;=40000,0,
IF(BQ9&lt;=55000,(BQ9-40000)*10%,
IF(BQ9&lt;=70000,(BQ9-55000)*15%+1500,
IF(BQ9&lt;=200000,(BQ9-70000)*20%+1500+2250,
IF(BQ9&lt;=400000,(BQ9-200000)*22.5%+1500+2250+26000,
IF(BQ9&lt;=600000,(BQ9-400000)*25%+1500+2250+26000+45000,
IF(AND(BQ9&gt;600000,BQ9&lt;=1200000),(BQ9-400000)*25%+1500+2250+26000+45000
+IFERROR(LOOKUP(BQ9,{600001;700001;800001;900001},{4000;6750;10250;15250}),0),IF(BQ9&gt;1200000,((BQ9-1200000)*27.5%)+300000,0)
)))))))</f>
        <v>5598.3748476923065</v>
      </c>
      <c r="BS9" s="32">
        <f>(BR9/12*'11-2025'!$J9)</f>
        <v>466.53123730769221</v>
      </c>
      <c r="BT9" s="33">
        <f>BS9-'11-2025'!$V9</f>
        <v>466.53123730769221</v>
      </c>
      <c r="BU9" s="32">
        <f>IFERROR(+'11-2025'!$W9+AL9+AM9+BJ9-'11-2025'!$AJ9-BT9+AN9+AO9,"")-AL9+AP9+AQ9</f>
        <v>7803.6249492307697</v>
      </c>
      <c r="BV9" s="36"/>
      <c r="BW9" s="37"/>
      <c r="BX9" s="37">
        <f t="shared" si="10"/>
        <v>7803.6249492307697</v>
      </c>
      <c r="BY9" s="37"/>
    </row>
    <row r="10" spans="1:78" x14ac:dyDescent="0.25">
      <c r="A10" s="21">
        <v>62</v>
      </c>
      <c r="B10" s="22" t="s">
        <v>94</v>
      </c>
      <c r="C10" s="22" t="s">
        <v>71</v>
      </c>
      <c r="D10" s="22" t="s">
        <v>77</v>
      </c>
      <c r="E10" s="22" t="s">
        <v>78</v>
      </c>
      <c r="F10" s="22" t="s">
        <v>79</v>
      </c>
      <c r="G10" s="23">
        <v>45066</v>
      </c>
      <c r="H10" s="23"/>
      <c r="I10" s="24">
        <v>29710280100451</v>
      </c>
      <c r="J10" s="25">
        <v>1</v>
      </c>
      <c r="K10" s="25">
        <v>4657.3900000000003</v>
      </c>
      <c r="L10" s="25"/>
      <c r="M10" s="26"/>
      <c r="N10" s="25">
        <f>SUM('11-2025'!$K10:$M10)</f>
        <v>4657.3900000000003</v>
      </c>
      <c r="O10" s="25">
        <v>3730.8461538461534</v>
      </c>
      <c r="P10" s="25">
        <f t="shared" si="0"/>
        <v>699.53365384615381</v>
      </c>
      <c r="Q10" s="25">
        <f t="shared" si="1"/>
        <v>410.39307692307688</v>
      </c>
      <c r="R10" s="25">
        <v>1666.6666666666667</v>
      </c>
      <c r="S10" s="27">
        <f t="shared" si="2"/>
        <v>2580.3302564102569</v>
      </c>
      <c r="T10" s="25">
        <f t="shared" si="3"/>
        <v>30963.963076923083</v>
      </c>
      <c r="U10" s="25">
        <f>IF(T10&lt;=40000,0,
IF(T10&lt;=55000,(T10-40000)*10%,
IF(T10&lt;=70000,(T10-55000)*15%+1500,
IF(T10&lt;=200000,(T10-70000)*20%+1500+2250,
IF(T10&lt;=400000,(T10-200000)*22.5%+1500+2250+26000,
IF(T10&lt;=600000,(T10-400000)*25%+1500+2250+26000+45000,
IF(AND(T10&gt;600000,T10&lt;=1200000),(T10-400000)*25%+1500+2250+26000+45000
+IFERROR(LOOKUP(T10,{600001;700001;800001;900001},{4000;6750;10250;15250}),0),IF(T10&gt;1200000,((T10-1200000)*27.5%)+300000,0)
)))))))</f>
        <v>0</v>
      </c>
      <c r="V10" s="25">
        <f t="shared" si="4"/>
        <v>0</v>
      </c>
      <c r="W10" s="28">
        <f>+'11-2025'!$S10-'11-2025'!$V10+'11-2025'!$R10</f>
        <v>4246.9969230769238</v>
      </c>
      <c r="X10" s="28">
        <f t="shared" si="5"/>
        <v>141.56656410256412</v>
      </c>
      <c r="Y10" s="29">
        <v>0</v>
      </c>
      <c r="Z10" s="29">
        <f>IFERROR(+'11-2025'!$X10*'11-2025'!$Y10,"")</f>
        <v>0</v>
      </c>
      <c r="AA10" s="29">
        <v>0</v>
      </c>
      <c r="AB10" s="29">
        <f>IFERROR(+'11-2025'!$X10*'11-2025'!$AA10,"")</f>
        <v>0</v>
      </c>
      <c r="AC10" s="29">
        <v>0</v>
      </c>
      <c r="AD10" s="29">
        <f>IFERROR(+'11-2025'!$X10*'11-2025'!$AC10,"")</f>
        <v>0</v>
      </c>
      <c r="AE10" s="29">
        <v>0</v>
      </c>
      <c r="AF10" s="29">
        <f>IFERROR(+'11-2025'!$X10*'11-2025'!$AE10,"")</f>
        <v>0</v>
      </c>
      <c r="AG10" s="29">
        <v>0</v>
      </c>
      <c r="AH10" s="29">
        <f>IFERROR(+'11-2025'!$X10*'11-2025'!$AG10,"")</f>
        <v>0</v>
      </c>
      <c r="AI10" s="29">
        <v>0</v>
      </c>
      <c r="AJ10" s="29">
        <f>IFERROR('11-2025'!$Z10+'11-2025'!$AB10+'11-2025'!$AD10+'11-2025'!$AF10+'11-2025'!$AH10+'11-2025'!$AI10,"")</f>
        <v>0</v>
      </c>
      <c r="AK10" s="30">
        <f>IFERROR('11-2025'!$W10-'11-2025'!$AJ10,"")</f>
        <v>4246.9969230769238</v>
      </c>
      <c r="AL10" s="31"/>
      <c r="AM10" s="31">
        <v>500</v>
      </c>
      <c r="AN10" s="31"/>
      <c r="AO10" s="31">
        <v>140</v>
      </c>
      <c r="AP10" s="31">
        <v>283.133128205128</v>
      </c>
      <c r="AQ10" s="31"/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275</v>
      </c>
      <c r="AY10" s="31">
        <v>215</v>
      </c>
      <c r="AZ10" s="31">
        <v>0</v>
      </c>
      <c r="BA10" s="31">
        <v>0</v>
      </c>
      <c r="BB10" s="31">
        <v>165</v>
      </c>
      <c r="BC10" s="31">
        <v>0</v>
      </c>
      <c r="BD10" s="31">
        <v>0</v>
      </c>
      <c r="BE10" s="31">
        <v>0</v>
      </c>
      <c r="BF10" s="31">
        <v>115</v>
      </c>
      <c r="BG10" s="31">
        <v>0</v>
      </c>
      <c r="BH10" s="31">
        <v>0</v>
      </c>
      <c r="BI10" s="31">
        <v>35</v>
      </c>
      <c r="BJ10" s="32">
        <f t="shared" si="11"/>
        <v>805</v>
      </c>
      <c r="BK10" s="33">
        <f>BJ10+AM10+AL10+'11-2025'!$N10+AN10+AO10</f>
        <v>6102.39</v>
      </c>
      <c r="BL10" s="34">
        <f>'11-2025'!$O10</f>
        <v>3730.8461538461534</v>
      </c>
      <c r="BM10" s="34">
        <f t="shared" si="6"/>
        <v>699.53365384615381</v>
      </c>
      <c r="BN10" s="34">
        <f t="shared" si="7"/>
        <v>410.39307692307688</v>
      </c>
      <c r="BO10" s="34">
        <f t="shared" si="8"/>
        <v>1666.6666666666667</v>
      </c>
      <c r="BP10" s="35">
        <f t="shared" si="9"/>
        <v>4025.3302564102569</v>
      </c>
      <c r="BQ10" s="34">
        <f>IFERROR(BP10/'11-2025'!$J10,0)*12</f>
        <v>48303.963076923086</v>
      </c>
      <c r="BR10" s="34">
        <f>IF(BQ10&lt;=40000,0,
IF(BQ10&lt;=55000,(BQ10-40000)*10%,
IF(BQ10&lt;=70000,(BQ10-55000)*15%+1500,
IF(BQ10&lt;=200000,(BQ10-70000)*20%+1500+2250,
IF(BQ10&lt;=400000,(BQ10-200000)*22.5%+1500+2250+26000,
IF(BQ10&lt;=600000,(BQ10-400000)*25%+1500+2250+26000+45000,
IF(AND(BQ10&gt;600000,BQ10&lt;=1200000),(BQ10-400000)*25%+1500+2250+26000+45000
+IFERROR(LOOKUP(BQ10,{600001;700001;800001;900001},{4000;6750;10250;15250}),0),IF(BQ10&gt;1200000,((BQ10-1200000)*27.5%)+300000,0)
)))))))</f>
        <v>830.39630769230871</v>
      </c>
      <c r="BS10" s="32">
        <f>(BR10/12*'11-2025'!$J10)</f>
        <v>69.199692307692388</v>
      </c>
      <c r="BT10" s="33">
        <f>BS10-'11-2025'!$V10</f>
        <v>69.199692307692388</v>
      </c>
      <c r="BU10" s="32">
        <f>IFERROR(+'11-2025'!$W10+AL10+AM10+BJ10-'11-2025'!$AJ10-BT10+AN10+AO10,"")-AL10+AP10+AQ10</f>
        <v>5905.9303589743595</v>
      </c>
      <c r="BV10" s="36" t="s">
        <v>410</v>
      </c>
      <c r="BW10" s="37"/>
      <c r="BX10" s="37">
        <f t="shared" si="10"/>
        <v>5905.9303589743595</v>
      </c>
      <c r="BY10" s="37" t="s">
        <v>75</v>
      </c>
    </row>
    <row r="11" spans="1:78" x14ac:dyDescent="0.25">
      <c r="A11" s="21">
        <v>64</v>
      </c>
      <c r="B11" s="22" t="s">
        <v>95</v>
      </c>
      <c r="C11" s="22" t="s">
        <v>71</v>
      </c>
      <c r="D11" s="22" t="s">
        <v>77</v>
      </c>
      <c r="E11" s="22" t="s">
        <v>96</v>
      </c>
      <c r="F11" s="22" t="s">
        <v>97</v>
      </c>
      <c r="G11" s="23">
        <v>45081</v>
      </c>
      <c r="H11" s="23"/>
      <c r="I11" s="24">
        <v>28712200101702</v>
      </c>
      <c r="J11" s="25">
        <v>1</v>
      </c>
      <c r="K11" s="25">
        <v>8997.18</v>
      </c>
      <c r="L11" s="25"/>
      <c r="M11" s="26"/>
      <c r="N11" s="25">
        <f>SUM('11-2025'!$K11:$M11)</f>
        <v>8997.18</v>
      </c>
      <c r="O11" s="25">
        <v>5230</v>
      </c>
      <c r="P11" s="25">
        <f t="shared" si="0"/>
        <v>980.625</v>
      </c>
      <c r="Q11" s="25">
        <f t="shared" si="1"/>
        <v>575.29999999999995</v>
      </c>
      <c r="R11" s="25">
        <v>1666.6666666666667</v>
      </c>
      <c r="S11" s="27">
        <f t="shared" si="2"/>
        <v>6755.213333333334</v>
      </c>
      <c r="T11" s="25">
        <f t="shared" si="3"/>
        <v>81062.560000000012</v>
      </c>
      <c r="U11" s="25">
        <f>IF(T11&lt;=40000,0,
IF(T11&lt;=55000,(T11-40000)*10%,
IF(T11&lt;=70000,(T11-55000)*15%+1500,
IF(T11&lt;=200000,(T11-70000)*20%+1500+2250,
IF(T11&lt;=400000,(T11-200000)*22.5%+1500+2250+26000,
IF(T11&lt;=600000,(T11-400000)*25%+1500+2250+26000+45000,
IF(AND(T11&gt;600000,T11&lt;=1200000),(T11-400000)*25%+1500+2250+26000+45000
+IFERROR(LOOKUP(T11,{600001;700001;800001;900001},{4000;6750;10250;15250}),0),IF(T11&gt;1200000,((T11-1200000)*27.5%)+300000,0)
)))))))</f>
        <v>5962.5120000000024</v>
      </c>
      <c r="V11" s="25">
        <f t="shared" si="4"/>
        <v>496.8760000000002</v>
      </c>
      <c r="W11" s="28">
        <f>+'11-2025'!$S11-'11-2025'!$V11+'11-2025'!$R11</f>
        <v>7925.0040000000008</v>
      </c>
      <c r="X11" s="28">
        <f t="shared" si="5"/>
        <v>264.16680000000002</v>
      </c>
      <c r="Y11" s="29">
        <v>0</v>
      </c>
      <c r="Z11" s="29">
        <f>IFERROR(+'11-2025'!$X11*'11-2025'!$Y11,"")</f>
        <v>0</v>
      </c>
      <c r="AA11" s="29">
        <v>0</v>
      </c>
      <c r="AB11" s="29">
        <f>IFERROR(+'11-2025'!$X11*'11-2025'!$AA11,"")</f>
        <v>0</v>
      </c>
      <c r="AC11" s="29">
        <v>1.5</v>
      </c>
      <c r="AD11" s="29">
        <f>IFERROR(+'11-2025'!$X11*'11-2025'!$AC11,"")</f>
        <v>396.25020000000006</v>
      </c>
      <c r="AE11" s="29">
        <v>0</v>
      </c>
      <c r="AF11" s="29">
        <f>IFERROR(+'11-2025'!$X11*'11-2025'!$AE11,"")</f>
        <v>0</v>
      </c>
      <c r="AG11" s="29">
        <v>2.25</v>
      </c>
      <c r="AH11" s="29">
        <f>IFERROR(+'11-2025'!$X11*'11-2025'!$AG11,"")</f>
        <v>594.37530000000004</v>
      </c>
      <c r="AI11" s="29">
        <v>0</v>
      </c>
      <c r="AJ11" s="29">
        <f>IFERROR('11-2025'!$Z11+'11-2025'!$AB11+'11-2025'!$AD11+'11-2025'!$AF11+'11-2025'!$AH11+'11-2025'!$AI11,"")</f>
        <v>990.6255000000001</v>
      </c>
      <c r="AK11" s="30">
        <f>IFERROR('11-2025'!$W11-'11-2025'!$AJ11,"")</f>
        <v>6934.3785000000007</v>
      </c>
      <c r="AL11" s="31"/>
      <c r="AM11" s="31"/>
      <c r="AN11" s="31"/>
      <c r="AO11" s="31">
        <v>0</v>
      </c>
      <c r="AP11" s="31"/>
      <c r="AQ11" s="31"/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2">
        <f t="shared" si="11"/>
        <v>0</v>
      </c>
      <c r="BK11" s="33">
        <f>BJ11+AM11+AL11+'11-2025'!$N11+AN11+AO11</f>
        <v>8997.18</v>
      </c>
      <c r="BL11" s="34">
        <f>'11-2025'!$O11</f>
        <v>5230</v>
      </c>
      <c r="BM11" s="34">
        <f t="shared" si="6"/>
        <v>980.625</v>
      </c>
      <c r="BN11" s="34">
        <f t="shared" si="7"/>
        <v>575.29999999999995</v>
      </c>
      <c r="BO11" s="34">
        <f t="shared" si="8"/>
        <v>1666.6666666666667</v>
      </c>
      <c r="BP11" s="35">
        <f t="shared" si="9"/>
        <v>6755.213333333334</v>
      </c>
      <c r="BQ11" s="34">
        <f>IFERROR(BP11/'11-2025'!$J11,0)*12</f>
        <v>81062.560000000012</v>
      </c>
      <c r="BR11" s="34">
        <f>IF(BQ11&lt;=40000,0,
IF(BQ11&lt;=55000,(BQ11-40000)*10%,
IF(BQ11&lt;=70000,(BQ11-55000)*15%+1500,
IF(BQ11&lt;=200000,(BQ11-70000)*20%+1500+2250,
IF(BQ11&lt;=400000,(BQ11-200000)*22.5%+1500+2250+26000,
IF(BQ11&lt;=600000,(BQ11-400000)*25%+1500+2250+26000+45000,
IF(AND(BQ11&gt;600000,BQ11&lt;=1200000),(BQ11-400000)*25%+1500+2250+26000+45000
+IFERROR(LOOKUP(BQ11,{600001;700001;800001;900001},{4000;6750;10250;15250}),0),IF(BQ11&gt;1200000,((BQ11-1200000)*27.5%)+300000,0)
)))))))</f>
        <v>5962.5120000000024</v>
      </c>
      <c r="BS11" s="32">
        <f>(BR11/12*'11-2025'!$J11)</f>
        <v>496.8760000000002</v>
      </c>
      <c r="BT11" s="33">
        <f>BS11-'11-2025'!$V11</f>
        <v>0</v>
      </c>
      <c r="BU11" s="32">
        <f>IFERROR(+'11-2025'!$W11+AL11+AM11+BJ11-'11-2025'!$AJ11-BT11+AN11+AO11,"")-AL11+AP11+AQ11</f>
        <v>6934.3785000000007</v>
      </c>
      <c r="BV11" s="36"/>
      <c r="BW11" s="37"/>
      <c r="BX11" s="37">
        <f t="shared" si="10"/>
        <v>6934.3785000000007</v>
      </c>
      <c r="BY11" s="37" t="s">
        <v>75</v>
      </c>
    </row>
    <row r="12" spans="1:78" x14ac:dyDescent="0.25">
      <c r="A12" s="21">
        <v>71</v>
      </c>
      <c r="B12" s="22" t="s">
        <v>98</v>
      </c>
      <c r="C12" s="22" t="s">
        <v>71</v>
      </c>
      <c r="D12" s="22" t="s">
        <v>72</v>
      </c>
      <c r="E12" s="22" t="s">
        <v>99</v>
      </c>
      <c r="F12" s="22" t="s">
        <v>86</v>
      </c>
      <c r="G12" s="23">
        <v>45081</v>
      </c>
      <c r="H12" s="23"/>
      <c r="I12" s="24">
        <v>30110042101308</v>
      </c>
      <c r="J12" s="25">
        <v>1</v>
      </c>
      <c r="K12" s="25">
        <v>3214.5</v>
      </c>
      <c r="L12" s="25"/>
      <c r="M12" s="26"/>
      <c r="N12" s="25">
        <f>SUM('11-2025'!$K12:$M12)</f>
        <v>3214.5</v>
      </c>
      <c r="O12" s="25">
        <v>4250</v>
      </c>
      <c r="P12" s="25">
        <f t="shared" si="0"/>
        <v>796.875</v>
      </c>
      <c r="Q12" s="25">
        <f t="shared" si="1"/>
        <v>467.5</v>
      </c>
      <c r="R12" s="25">
        <v>1666.6666666666667</v>
      </c>
      <c r="S12" s="27">
        <f t="shared" si="2"/>
        <v>1080.3333333333333</v>
      </c>
      <c r="T12" s="25">
        <f t="shared" si="3"/>
        <v>12964</v>
      </c>
      <c r="U12" s="25">
        <f>IF(T12&lt;=40000,0,
IF(T12&lt;=55000,(T12-40000)*10%,
IF(T12&lt;=70000,(T12-55000)*15%+1500,
IF(T12&lt;=200000,(T12-70000)*20%+1500+2250,
IF(T12&lt;=400000,(T12-200000)*22.5%+1500+2250+26000,
IF(T12&lt;=600000,(T12-400000)*25%+1500+2250+26000+45000,
IF(AND(T12&gt;600000,T12&lt;=1200000),(T12-400000)*25%+1500+2250+26000+45000
+IFERROR(LOOKUP(T12,{600001;700001;800001;900001},{4000;6750;10250;15250}),0),IF(T12&gt;1200000,((T12-1200000)*27.5%)+300000,0)
)))))))</f>
        <v>0</v>
      </c>
      <c r="V12" s="25">
        <f t="shared" si="4"/>
        <v>0</v>
      </c>
      <c r="W12" s="28">
        <f>+'11-2025'!$S12-'11-2025'!$V12+'11-2025'!$R12</f>
        <v>2747</v>
      </c>
      <c r="X12" s="28">
        <f t="shared" si="5"/>
        <v>91.566666666666663</v>
      </c>
      <c r="Y12" s="29">
        <v>0</v>
      </c>
      <c r="Z12" s="29">
        <f>IFERROR(+'11-2025'!$X12*'11-2025'!$Y12,"")</f>
        <v>0</v>
      </c>
      <c r="AA12" s="29">
        <v>0</v>
      </c>
      <c r="AB12" s="29">
        <f>IFERROR(+'11-2025'!$X12*'11-2025'!$AA12,"")</f>
        <v>0</v>
      </c>
      <c r="AC12" s="29">
        <v>0</v>
      </c>
      <c r="AD12" s="29">
        <f>IFERROR(+'11-2025'!$X12*'11-2025'!$AC12,"")</f>
        <v>0</v>
      </c>
      <c r="AE12" s="29">
        <v>0</v>
      </c>
      <c r="AF12" s="29">
        <f>IFERROR(+'11-2025'!$X12*'11-2025'!$AE12,"")</f>
        <v>0</v>
      </c>
      <c r="AG12" s="29">
        <v>0</v>
      </c>
      <c r="AH12" s="29">
        <f>IFERROR(+'11-2025'!$X12*'11-2025'!$AG12,"")</f>
        <v>0</v>
      </c>
      <c r="AI12" s="29">
        <v>1500</v>
      </c>
      <c r="AJ12" s="29">
        <f>IFERROR('11-2025'!$Z12+'11-2025'!$AB12+'11-2025'!$AD12+'11-2025'!$AF12+'11-2025'!$AH12+'11-2025'!$AI12,"")</f>
        <v>1500</v>
      </c>
      <c r="AK12" s="30">
        <f>IFERROR('11-2025'!$W12-'11-2025'!$AJ12,"")</f>
        <v>1247</v>
      </c>
      <c r="AL12" s="31"/>
      <c r="AM12" s="31">
        <v>500</v>
      </c>
      <c r="AN12" s="31"/>
      <c r="AO12" s="31">
        <v>20</v>
      </c>
      <c r="AP12" s="31"/>
      <c r="AQ12" s="31"/>
      <c r="AR12" s="31">
        <v>0</v>
      </c>
      <c r="AS12" s="31">
        <v>2753.7349999999997</v>
      </c>
      <c r="AT12" s="31">
        <v>0</v>
      </c>
      <c r="AU12" s="31">
        <v>0</v>
      </c>
      <c r="AV12" s="31">
        <v>0</v>
      </c>
      <c r="AW12" s="31">
        <v>0</v>
      </c>
      <c r="AX12" s="31">
        <v>0</v>
      </c>
      <c r="AY12" s="31">
        <v>0</v>
      </c>
      <c r="AZ12" s="31">
        <v>0</v>
      </c>
      <c r="BA12" s="31">
        <v>0</v>
      </c>
      <c r="BB12" s="31">
        <v>0</v>
      </c>
      <c r="BC12" s="31">
        <v>0</v>
      </c>
      <c r="BD12" s="31">
        <v>0</v>
      </c>
      <c r="BE12" s="31">
        <v>0</v>
      </c>
      <c r="BF12" s="31">
        <v>0</v>
      </c>
      <c r="BG12" s="31">
        <v>0</v>
      </c>
      <c r="BH12" s="31">
        <v>0</v>
      </c>
      <c r="BI12" s="31">
        <v>0</v>
      </c>
      <c r="BJ12" s="32">
        <f t="shared" si="11"/>
        <v>2753.7349999999997</v>
      </c>
      <c r="BK12" s="33">
        <f>BJ12+AM12+AL12+'11-2025'!$N12+AN12+AO12</f>
        <v>6488.2349999999997</v>
      </c>
      <c r="BL12" s="34">
        <f>'11-2025'!$O12</f>
        <v>4250</v>
      </c>
      <c r="BM12" s="34">
        <f t="shared" si="6"/>
        <v>796.875</v>
      </c>
      <c r="BN12" s="34">
        <f t="shared" si="7"/>
        <v>467.5</v>
      </c>
      <c r="BO12" s="34">
        <f t="shared" si="8"/>
        <v>1666.6666666666667</v>
      </c>
      <c r="BP12" s="35">
        <f t="shared" si="9"/>
        <v>4354.0683333333327</v>
      </c>
      <c r="BQ12" s="34">
        <f>IFERROR(BP12/'11-2025'!$J12,0)*12</f>
        <v>52248.819999999992</v>
      </c>
      <c r="BR12" s="34">
        <f>IF(BQ12&lt;=40000,0,
IF(BQ12&lt;=55000,(BQ12-40000)*10%,
IF(BQ12&lt;=70000,(BQ12-55000)*15%+1500,
IF(BQ12&lt;=200000,(BQ12-70000)*20%+1500+2250,
IF(BQ12&lt;=400000,(BQ12-200000)*22.5%+1500+2250+26000,
IF(BQ12&lt;=600000,(BQ12-400000)*25%+1500+2250+26000+45000,
IF(AND(BQ12&gt;600000,BQ12&lt;=1200000),(BQ12-400000)*25%+1500+2250+26000+45000
+IFERROR(LOOKUP(BQ12,{600001;700001;800001;900001},{4000;6750;10250;15250}),0),IF(BQ12&gt;1200000,((BQ12-1200000)*27.5%)+300000,0)
)))))))</f>
        <v>1224.8819999999994</v>
      </c>
      <c r="BS12" s="32">
        <f>(BR12/12*'11-2025'!$J12)</f>
        <v>102.07349999999995</v>
      </c>
      <c r="BT12" s="33">
        <f>BS12-'11-2025'!$V12</f>
        <v>102.07349999999995</v>
      </c>
      <c r="BU12" s="32">
        <f>IFERROR(+'11-2025'!$W12+AL12+AM12+BJ12-'11-2025'!$AJ12-BT12+AN12+AO12,"")-AL12+AP12+AQ12</f>
        <v>4418.6615000000002</v>
      </c>
      <c r="BV12" s="36" t="s">
        <v>430</v>
      </c>
      <c r="BW12" s="37"/>
      <c r="BX12" s="37">
        <f t="shared" si="10"/>
        <v>4418.6615000000002</v>
      </c>
      <c r="BY12" s="37" t="s">
        <v>75</v>
      </c>
    </row>
    <row r="13" spans="1:78" x14ac:dyDescent="0.25">
      <c r="A13" s="21">
        <v>83</v>
      </c>
      <c r="B13" s="22" t="s">
        <v>100</v>
      </c>
      <c r="C13" s="22" t="s">
        <v>71</v>
      </c>
      <c r="D13" s="22" t="s">
        <v>72</v>
      </c>
      <c r="E13" s="22" t="s">
        <v>73</v>
      </c>
      <c r="F13" s="22" t="s">
        <v>74</v>
      </c>
      <c r="G13" s="23">
        <v>45111</v>
      </c>
      <c r="H13" s="23"/>
      <c r="I13" s="24">
        <v>30312060105762</v>
      </c>
      <c r="J13" s="25">
        <v>1</v>
      </c>
      <c r="K13" s="25">
        <v>4000</v>
      </c>
      <c r="L13" s="25"/>
      <c r="M13" s="26"/>
      <c r="N13" s="25">
        <f>SUM('11-2025'!$K13:$M13)</f>
        <v>4000</v>
      </c>
      <c r="O13" s="25">
        <v>4000</v>
      </c>
      <c r="P13" s="25">
        <f t="shared" si="0"/>
        <v>750</v>
      </c>
      <c r="Q13" s="25">
        <f t="shared" si="1"/>
        <v>440</v>
      </c>
      <c r="R13" s="25">
        <v>1666.6666666666667</v>
      </c>
      <c r="S13" s="27">
        <f t="shared" si="2"/>
        <v>1893.3333333333333</v>
      </c>
      <c r="T13" s="25">
        <f t="shared" si="3"/>
        <v>22720</v>
      </c>
      <c r="U13" s="25">
        <f>IF(T13&lt;=40000,0,
IF(T13&lt;=55000,(T13-40000)*10%,
IF(T13&lt;=70000,(T13-55000)*15%+1500,
IF(T13&lt;=200000,(T13-70000)*20%+1500+2250,
IF(T13&lt;=400000,(T13-200000)*22.5%+1500+2250+26000,
IF(T13&lt;=600000,(T13-400000)*25%+1500+2250+26000+45000,
IF(AND(T13&gt;600000,T13&lt;=1200000),(T13-400000)*25%+1500+2250+26000+45000
+IFERROR(LOOKUP(T13,{600001;700001;800001;900001},{4000;6750;10250;15250}),0),IF(T13&gt;1200000,((T13-1200000)*27.5%)+300000,0)
)))))))</f>
        <v>0</v>
      </c>
      <c r="V13" s="25">
        <f t="shared" si="4"/>
        <v>0</v>
      </c>
      <c r="W13" s="28">
        <f>+'11-2025'!$S13-'11-2025'!$V13+'11-2025'!$R13</f>
        <v>3560</v>
      </c>
      <c r="X13" s="28">
        <f t="shared" si="5"/>
        <v>118.66666666666667</v>
      </c>
      <c r="Y13" s="29">
        <v>0</v>
      </c>
      <c r="Z13" s="29">
        <f>IFERROR(+'11-2025'!$X13*'11-2025'!$Y13,"")</f>
        <v>0</v>
      </c>
      <c r="AA13" s="29">
        <v>0</v>
      </c>
      <c r="AB13" s="29">
        <f>IFERROR(+'11-2025'!$X13*'11-2025'!$AA13,"")</f>
        <v>0</v>
      </c>
      <c r="AC13" s="29">
        <v>0</v>
      </c>
      <c r="AD13" s="29">
        <f>IFERROR(+'11-2025'!$X13*'11-2025'!$AC13,"")</f>
        <v>0</v>
      </c>
      <c r="AE13" s="29">
        <v>0</v>
      </c>
      <c r="AF13" s="29">
        <f>IFERROR(+'11-2025'!$X13*'11-2025'!$AE13,"")</f>
        <v>0</v>
      </c>
      <c r="AG13" s="29">
        <v>0</v>
      </c>
      <c r="AH13" s="29">
        <f>IFERROR(+'11-2025'!$X13*'11-2025'!$AG13,"")</f>
        <v>0</v>
      </c>
      <c r="AI13" s="29">
        <v>0</v>
      </c>
      <c r="AJ13" s="29">
        <f>IFERROR('11-2025'!$Z13+'11-2025'!$AB13+'11-2025'!$AD13+'11-2025'!$AF13+'11-2025'!$AH13+'11-2025'!$AI13,"")</f>
        <v>0</v>
      </c>
      <c r="AK13" s="30">
        <f>IFERROR('11-2025'!$W13-'11-2025'!$AJ13,"")</f>
        <v>3560</v>
      </c>
      <c r="AL13" s="31"/>
      <c r="AM13" s="31"/>
      <c r="AN13" s="31"/>
      <c r="AO13" s="31">
        <v>20</v>
      </c>
      <c r="AP13" s="31"/>
      <c r="AQ13" s="31"/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4040.3225000000002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2">
        <f t="shared" si="11"/>
        <v>4040.3225000000002</v>
      </c>
      <c r="BK13" s="33">
        <f>BJ13+AM13+AL13+'11-2025'!$N13+AN13+AO13</f>
        <v>8060.3225000000002</v>
      </c>
      <c r="BL13" s="34">
        <f>'11-2025'!$O13</f>
        <v>4000</v>
      </c>
      <c r="BM13" s="34">
        <f t="shared" si="6"/>
        <v>750</v>
      </c>
      <c r="BN13" s="34">
        <f t="shared" si="7"/>
        <v>440</v>
      </c>
      <c r="BO13" s="34">
        <f t="shared" si="8"/>
        <v>1666.6666666666667</v>
      </c>
      <c r="BP13" s="35">
        <f t="shared" si="9"/>
        <v>5953.6558333333332</v>
      </c>
      <c r="BQ13" s="34">
        <f>IFERROR(BP13/'11-2025'!$J13,0)*12</f>
        <v>71443.87</v>
      </c>
      <c r="BR13" s="34">
        <f>IF(BQ13&lt;=40000,0,
IF(BQ13&lt;=55000,(BQ13-40000)*10%,
IF(BQ13&lt;=70000,(BQ13-55000)*15%+1500,
IF(BQ13&lt;=200000,(BQ13-70000)*20%+1500+2250,
IF(BQ13&lt;=400000,(BQ13-200000)*22.5%+1500+2250+26000,
IF(BQ13&lt;=600000,(BQ13-400000)*25%+1500+2250+26000+45000,
IF(AND(BQ13&gt;600000,BQ13&lt;=1200000),(BQ13-400000)*25%+1500+2250+26000+45000
+IFERROR(LOOKUP(BQ13,{600001;700001;800001;900001},{4000;6750;10250;15250}),0),IF(BQ13&gt;1200000,((BQ13-1200000)*27.5%)+300000,0)
)))))))</f>
        <v>4038.773999999999</v>
      </c>
      <c r="BS13" s="32">
        <f>(BR13/12*'11-2025'!$J13)</f>
        <v>336.5644999999999</v>
      </c>
      <c r="BT13" s="33">
        <f>BS13-'11-2025'!$V13</f>
        <v>336.5644999999999</v>
      </c>
      <c r="BU13" s="32">
        <f>IFERROR(+'11-2025'!$W13+AL13+AM13+BJ13-'11-2025'!$AJ13-BT13+AN13+AO13,"")-AL13+AP13+AQ13</f>
        <v>7283.7580000000007</v>
      </c>
      <c r="BV13" s="36"/>
      <c r="BW13" s="37"/>
      <c r="BX13" s="37">
        <f t="shared" si="10"/>
        <v>7283.7580000000007</v>
      </c>
      <c r="BY13" s="37" t="s">
        <v>75</v>
      </c>
    </row>
    <row r="14" spans="1:78" x14ac:dyDescent="0.25">
      <c r="A14" s="38">
        <v>97</v>
      </c>
      <c r="B14" s="22" t="s">
        <v>101</v>
      </c>
      <c r="C14" s="22" t="s">
        <v>71</v>
      </c>
      <c r="D14" s="22" t="s">
        <v>72</v>
      </c>
      <c r="E14" s="22" t="s">
        <v>88</v>
      </c>
      <c r="F14" s="22" t="s">
        <v>102</v>
      </c>
      <c r="G14" s="23">
        <v>45811</v>
      </c>
      <c r="H14" s="23">
        <v>45954</v>
      </c>
      <c r="I14" s="24">
        <v>30106051400523</v>
      </c>
      <c r="J14" s="25">
        <v>1</v>
      </c>
      <c r="K14" s="25">
        <v>2500</v>
      </c>
      <c r="L14" s="25"/>
      <c r="M14" s="26"/>
      <c r="N14" s="25">
        <f>SUM('11-2025'!$K14:$M14)</f>
        <v>2500</v>
      </c>
      <c r="O14" s="25"/>
      <c r="P14" s="25">
        <f t="shared" si="0"/>
        <v>0</v>
      </c>
      <c r="Q14" s="25">
        <f t="shared" si="1"/>
        <v>0</v>
      </c>
      <c r="R14" s="25">
        <v>1666.6666666666667</v>
      </c>
      <c r="S14" s="27">
        <f t="shared" si="2"/>
        <v>833.33333333333326</v>
      </c>
      <c r="T14" s="25">
        <f t="shared" si="3"/>
        <v>10000</v>
      </c>
      <c r="U14" s="25">
        <f>IF(T14&lt;=40000,0,
IF(T14&lt;=55000,(T14-40000)*10%,
IF(T14&lt;=70000,(T14-55000)*15%+1500,
IF(T14&lt;=200000,(T14-70000)*20%+1500+2250,
IF(T14&lt;=400000,(T14-200000)*22.5%+1500+2250+26000,
IF(T14&lt;=600000,(T14-400000)*25%+1500+2250+26000+45000,
IF(AND(T14&gt;600000,T14&lt;=1200000),(T14-400000)*25%+1500+2250+26000+45000
+IFERROR(LOOKUP(T14,{600001;700001;800001;900001},{4000;6750;10250;15250}),0),IF(T14&gt;1200000,((T14-1200000)*27.5%)+300000,0)
)))))))</f>
        <v>0</v>
      </c>
      <c r="V14" s="25">
        <f t="shared" si="4"/>
        <v>0</v>
      </c>
      <c r="W14" s="28">
        <f>+'11-2025'!$S14-'11-2025'!$V14+'11-2025'!$R14</f>
        <v>2500</v>
      </c>
      <c r="X14" s="28">
        <f t="shared" si="5"/>
        <v>83.333333333333329</v>
      </c>
      <c r="Y14" s="29"/>
      <c r="Z14" s="29">
        <f>IFERROR(+'11-2025'!$X14*'11-2025'!$Y14,"")</f>
        <v>0</v>
      </c>
      <c r="AA14" s="29">
        <v>0</v>
      </c>
      <c r="AB14" s="29">
        <f>IFERROR(+'11-2025'!$X14*'11-2025'!$AA14,"")</f>
        <v>0</v>
      </c>
      <c r="AC14" s="29">
        <v>30</v>
      </c>
      <c r="AD14" s="29">
        <f>IFERROR(+'11-2025'!$X14*'11-2025'!$AC14,"")</f>
        <v>2500</v>
      </c>
      <c r="AE14" s="29">
        <v>0</v>
      </c>
      <c r="AF14" s="29">
        <f>IFERROR(+'11-2025'!$X14*'11-2025'!$AE14,"")</f>
        <v>0</v>
      </c>
      <c r="AG14" s="29"/>
      <c r="AH14" s="29">
        <f>IFERROR(+'11-2025'!$X14*'11-2025'!$AG14,"")</f>
        <v>0</v>
      </c>
      <c r="AI14" s="29">
        <v>0</v>
      </c>
      <c r="AJ14" s="29">
        <f>IFERROR('11-2025'!$Z14+'11-2025'!$AB14+'11-2025'!$AD14+'11-2025'!$AF14+'11-2025'!$AH14+'11-2025'!$AI14,"")</f>
        <v>2500</v>
      </c>
      <c r="AK14" s="30">
        <f>IFERROR('11-2025'!$W14-'11-2025'!$AJ14,"")</f>
        <v>0</v>
      </c>
      <c r="AL14" s="31"/>
      <c r="AM14" s="31"/>
      <c r="AN14" s="31"/>
      <c r="AO14" s="31"/>
      <c r="AP14" s="31"/>
      <c r="AQ14" s="31"/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2">
        <f t="shared" si="11"/>
        <v>0</v>
      </c>
      <c r="BK14" s="33">
        <f>BJ14+AM14+AL14+'11-2025'!$N14+AN14+AO14</f>
        <v>2500</v>
      </c>
      <c r="BL14" s="34">
        <f>'11-2025'!$O14</f>
        <v>0</v>
      </c>
      <c r="BM14" s="34">
        <f t="shared" si="6"/>
        <v>0</v>
      </c>
      <c r="BN14" s="34">
        <f t="shared" si="7"/>
        <v>0</v>
      </c>
      <c r="BO14" s="34">
        <f t="shared" si="8"/>
        <v>1666.6666666666667</v>
      </c>
      <c r="BP14" s="35">
        <f t="shared" si="9"/>
        <v>833.33333333333326</v>
      </c>
      <c r="BQ14" s="34">
        <f>IFERROR(BP14/'11-2025'!$J14,0)*12</f>
        <v>10000</v>
      </c>
      <c r="BR14" s="34">
        <f>IF(BQ14&lt;=40000,0,
IF(BQ14&lt;=55000,(BQ14-40000)*10%,
IF(BQ14&lt;=70000,(BQ14-55000)*15%+1500,
IF(BQ14&lt;=200000,(BQ14-70000)*20%+1500+2250,
IF(BQ14&lt;=400000,(BQ14-200000)*22.5%+1500+2250+26000,
IF(BQ14&lt;=600000,(BQ14-400000)*25%+1500+2250+26000+45000,
IF(AND(BQ14&gt;600000,BQ14&lt;=1200000),(BQ14-400000)*25%+1500+2250+26000+45000
+IFERROR(LOOKUP(BQ14,{600001;700001;800001;900001},{4000;6750;10250;15250}),0),IF(BQ14&gt;1200000,((BQ14-1200000)*27.5%)+300000,0)
)))))))</f>
        <v>0</v>
      </c>
      <c r="BS14" s="32">
        <f>(BR14/12*'11-2025'!$J14)</f>
        <v>0</v>
      </c>
      <c r="BT14" s="33">
        <f>BS14-'11-2025'!$V14</f>
        <v>0</v>
      </c>
      <c r="BU14" s="32">
        <f>IFERROR(+'11-2025'!$W14+AL14+AM14+BJ14-'11-2025'!$AJ14-BT14+AN14+AO14,"")-AL14+AP14+AQ14</f>
        <v>0</v>
      </c>
      <c r="BV14" s="36"/>
      <c r="BW14" s="37"/>
      <c r="BX14" s="37">
        <f t="shared" si="10"/>
        <v>0</v>
      </c>
      <c r="BY14" s="37"/>
    </row>
    <row r="15" spans="1:78" x14ac:dyDescent="0.25">
      <c r="A15" s="21">
        <v>119</v>
      </c>
      <c r="B15" s="22" t="s">
        <v>103</v>
      </c>
      <c r="C15" s="22" t="s">
        <v>71</v>
      </c>
      <c r="D15" s="22" t="s">
        <v>72</v>
      </c>
      <c r="E15" s="22" t="s">
        <v>104</v>
      </c>
      <c r="F15" s="22" t="s">
        <v>86</v>
      </c>
      <c r="G15" s="23">
        <v>45326</v>
      </c>
      <c r="H15" s="23"/>
      <c r="I15" s="24">
        <v>30302090103319</v>
      </c>
      <c r="J15" s="25">
        <v>1</v>
      </c>
      <c r="K15" s="25">
        <v>3750.46</v>
      </c>
      <c r="L15" s="25"/>
      <c r="M15" s="26"/>
      <c r="N15" s="25">
        <f>SUM('11-2025'!$K15:$M15)</f>
        <v>3750.46</v>
      </c>
      <c r="O15" s="25">
        <v>4576.9230769230771</v>
      </c>
      <c r="P15" s="25">
        <f t="shared" si="0"/>
        <v>858.17307692307691</v>
      </c>
      <c r="Q15" s="25">
        <f t="shared" si="1"/>
        <v>503.46153846153851</v>
      </c>
      <c r="R15" s="25">
        <v>1666.6666666666667</v>
      </c>
      <c r="S15" s="27">
        <f t="shared" si="2"/>
        <v>1580.3317948717947</v>
      </c>
      <c r="T15" s="25">
        <f t="shared" si="3"/>
        <v>18963.981538461536</v>
      </c>
      <c r="U15" s="25">
        <f>IF(T15&lt;=40000,0,
IF(T15&lt;=55000,(T15-40000)*10%,
IF(T15&lt;=70000,(T15-55000)*15%+1500,
IF(T15&lt;=200000,(T15-70000)*20%+1500+2250,
IF(T15&lt;=400000,(T15-200000)*22.5%+1500+2250+26000,
IF(T15&lt;=600000,(T15-400000)*25%+1500+2250+26000+45000,
IF(AND(T15&gt;600000,T15&lt;=1200000),(T15-400000)*25%+1500+2250+26000+45000
+IFERROR(LOOKUP(T15,{600001;700001;800001;900001},{4000;6750;10250;15250}),0),IF(T15&gt;1200000,((T15-1200000)*27.5%)+300000,0)
)))))))</f>
        <v>0</v>
      </c>
      <c r="V15" s="25">
        <f t="shared" si="4"/>
        <v>0</v>
      </c>
      <c r="W15" s="28">
        <f>+'11-2025'!$S15-'11-2025'!$V15+'11-2025'!$R15</f>
        <v>3246.9984615384615</v>
      </c>
      <c r="X15" s="28">
        <f t="shared" si="5"/>
        <v>108.23328205128205</v>
      </c>
      <c r="Y15" s="29">
        <v>0</v>
      </c>
      <c r="Z15" s="29">
        <f>IFERROR(+'11-2025'!$X15*'11-2025'!$Y15,"")</f>
        <v>0</v>
      </c>
      <c r="AA15" s="29">
        <v>0</v>
      </c>
      <c r="AB15" s="29">
        <f>IFERROR(+'11-2025'!$X15*'11-2025'!$AA15,"")</f>
        <v>0</v>
      </c>
      <c r="AC15" s="29">
        <v>0</v>
      </c>
      <c r="AD15" s="29">
        <f>IFERROR(+'11-2025'!$X15*'11-2025'!$AC15,"")</f>
        <v>0</v>
      </c>
      <c r="AE15" s="29">
        <v>0</v>
      </c>
      <c r="AF15" s="29">
        <f>IFERROR(+'11-2025'!$X15*'11-2025'!$AE15,"")</f>
        <v>0</v>
      </c>
      <c r="AG15" s="29">
        <v>0</v>
      </c>
      <c r="AH15" s="29">
        <f>IFERROR(+'11-2025'!$X15*'11-2025'!$AG15,"")</f>
        <v>0</v>
      </c>
      <c r="AI15" s="29">
        <v>2500</v>
      </c>
      <c r="AJ15" s="29">
        <f>IFERROR('11-2025'!$Z15+'11-2025'!$AB15+'11-2025'!$AD15+'11-2025'!$AF15+'11-2025'!$AH15+'11-2025'!$AI15,"")</f>
        <v>2500</v>
      </c>
      <c r="AK15" s="30">
        <f>IFERROR('11-2025'!$W15-'11-2025'!$AJ15,"")</f>
        <v>746.99846153846147</v>
      </c>
      <c r="AL15" s="31"/>
      <c r="AM15" s="31">
        <v>500</v>
      </c>
      <c r="AN15" s="31"/>
      <c r="AO15" s="31">
        <v>60</v>
      </c>
      <c r="AP15" s="31"/>
      <c r="AQ15" s="31"/>
      <c r="AR15" s="31">
        <v>0</v>
      </c>
      <c r="AS15" s="31">
        <v>0</v>
      </c>
      <c r="AT15" s="31">
        <v>3557.2159900000006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1289</v>
      </c>
      <c r="BH15" s="31">
        <v>0</v>
      </c>
      <c r="BI15" s="31">
        <v>0</v>
      </c>
      <c r="BJ15" s="32">
        <f t="shared" si="11"/>
        <v>4846.2159900000006</v>
      </c>
      <c r="BK15" s="33">
        <f>BJ15+AM15+AL15+'11-2025'!$N15+AN15+AO15</f>
        <v>9156.6759899999997</v>
      </c>
      <c r="BL15" s="34">
        <f>'11-2025'!$O15</f>
        <v>4576.9230769230771</v>
      </c>
      <c r="BM15" s="34">
        <f t="shared" si="6"/>
        <v>858.17307692307691</v>
      </c>
      <c r="BN15" s="34">
        <f t="shared" si="7"/>
        <v>503.46153846153851</v>
      </c>
      <c r="BO15" s="34">
        <f t="shared" si="8"/>
        <v>1666.6666666666667</v>
      </c>
      <c r="BP15" s="35">
        <f t="shared" si="9"/>
        <v>6986.5477848717937</v>
      </c>
      <c r="BQ15" s="34">
        <f>IFERROR(BP15/'11-2025'!$J15,0)*12</f>
        <v>83838.573418461528</v>
      </c>
      <c r="BR15" s="34">
        <f>IF(BQ15&lt;=40000,0,
IF(BQ15&lt;=55000,(BQ15-40000)*10%,
IF(BQ15&lt;=70000,(BQ15-55000)*15%+1500,
IF(BQ15&lt;=200000,(BQ15-70000)*20%+1500+2250,
IF(BQ15&lt;=400000,(BQ15-200000)*22.5%+1500+2250+26000,
IF(BQ15&lt;=600000,(BQ15-400000)*25%+1500+2250+26000+45000,
IF(AND(BQ15&gt;600000,BQ15&lt;=1200000),(BQ15-400000)*25%+1500+2250+26000+45000
+IFERROR(LOOKUP(BQ15,{600001;700001;800001;900001},{4000;6750;10250;15250}),0),IF(BQ15&gt;1200000,((BQ15-1200000)*27.5%)+300000,0)
)))))))</f>
        <v>6517.7146836923057</v>
      </c>
      <c r="BS15" s="32">
        <f>(BR15/12*'11-2025'!$J15)</f>
        <v>543.14289030769214</v>
      </c>
      <c r="BT15" s="33">
        <f>BS15-'11-2025'!$V15</f>
        <v>543.14289030769214</v>
      </c>
      <c r="BU15" s="32">
        <f>IFERROR(+'11-2025'!$W15+AL15+AM15+BJ15-'11-2025'!$AJ15-BT15+AN15+AO15,"")-AL15+AP15+AQ15</f>
        <v>5610.0715612307704</v>
      </c>
      <c r="BV15" s="36" t="s">
        <v>430</v>
      </c>
      <c r="BW15" s="37"/>
      <c r="BX15" s="37">
        <f t="shared" si="10"/>
        <v>5610.0715612307704</v>
      </c>
      <c r="BY15" s="37" t="s">
        <v>75</v>
      </c>
      <c r="BZ15" s="59"/>
    </row>
    <row r="16" spans="1:78" ht="21" customHeight="1" x14ac:dyDescent="0.25">
      <c r="A16" s="21">
        <v>129</v>
      </c>
      <c r="B16" s="22" t="s">
        <v>105</v>
      </c>
      <c r="C16" s="22" t="s">
        <v>106</v>
      </c>
      <c r="D16" s="22" t="s">
        <v>77</v>
      </c>
      <c r="E16" s="22" t="s">
        <v>78</v>
      </c>
      <c r="F16" s="22" t="s">
        <v>107</v>
      </c>
      <c r="G16" s="23">
        <v>45150</v>
      </c>
      <c r="H16" s="23"/>
      <c r="I16" s="24">
        <v>28908081201843</v>
      </c>
      <c r="J16" s="25">
        <v>1</v>
      </c>
      <c r="K16" s="25">
        <v>5322.38</v>
      </c>
      <c r="L16" s="25"/>
      <c r="M16" s="26"/>
      <c r="N16" s="25">
        <f>SUM('11-2025'!$K16:$M16)</f>
        <v>5322.38</v>
      </c>
      <c r="O16" s="25">
        <v>5230.7692307692305</v>
      </c>
      <c r="P16" s="25">
        <f t="shared" si="0"/>
        <v>980.76923076923072</v>
      </c>
      <c r="Q16" s="25">
        <f t="shared" si="1"/>
        <v>575.38461538461536</v>
      </c>
      <c r="R16" s="25">
        <v>1666.6666666666667</v>
      </c>
      <c r="S16" s="27">
        <f t="shared" si="2"/>
        <v>3080.3287179487179</v>
      </c>
      <c r="T16" s="25">
        <f t="shared" si="3"/>
        <v>36963.944615384615</v>
      </c>
      <c r="U16" s="25">
        <f>IF(T16&lt;=40000,0,
IF(T16&lt;=55000,(T16-40000)*10%,
IF(T16&lt;=70000,(T16-55000)*15%+1500,
IF(T16&lt;=200000,(T16-70000)*20%+1500+2250,
IF(T16&lt;=400000,(T16-200000)*22.5%+1500+2250+26000,
IF(T16&lt;=600000,(T16-400000)*25%+1500+2250+26000+45000,
IF(AND(T16&gt;600000,T16&lt;=1200000),(T16-400000)*25%+1500+2250+26000+45000
+IFERROR(LOOKUP(T16,{600001;700001;800001;900001},{4000;6750;10250;15250}),0),IF(T16&gt;1200000,((T16-1200000)*27.5%)+300000,0)
)))))))</f>
        <v>0</v>
      </c>
      <c r="V16" s="25">
        <f t="shared" si="4"/>
        <v>0</v>
      </c>
      <c r="W16" s="28">
        <f>+'11-2025'!$S16-'11-2025'!$V16+'11-2025'!$R16</f>
        <v>4746.9953846153849</v>
      </c>
      <c r="X16" s="28">
        <f t="shared" si="5"/>
        <v>158.23317948717948</v>
      </c>
      <c r="Y16" s="29">
        <v>0</v>
      </c>
      <c r="Z16" s="29">
        <f>IFERROR(+'11-2025'!$X16*'11-2025'!$Y16,"")</f>
        <v>0</v>
      </c>
      <c r="AA16" s="29">
        <v>0</v>
      </c>
      <c r="AB16" s="29">
        <f>IFERROR(+'11-2025'!$X16*'11-2025'!$AA16,"")</f>
        <v>0</v>
      </c>
      <c r="AC16" s="29">
        <v>0</v>
      </c>
      <c r="AD16" s="29">
        <f>IFERROR(+'11-2025'!$X16*'11-2025'!$AC16,"")</f>
        <v>0</v>
      </c>
      <c r="AE16" s="29">
        <v>0</v>
      </c>
      <c r="AF16" s="29">
        <f>IFERROR(+'11-2025'!$X16*'11-2025'!$AE16,"")</f>
        <v>0</v>
      </c>
      <c r="AG16" s="29">
        <v>0</v>
      </c>
      <c r="AH16" s="29">
        <f>IFERROR(+'11-2025'!$X16*'11-2025'!$AG16,"")</f>
        <v>0</v>
      </c>
      <c r="AI16" s="29">
        <v>0</v>
      </c>
      <c r="AJ16" s="29">
        <f>IFERROR('11-2025'!$Z16+'11-2025'!$AB16+'11-2025'!$AD16+'11-2025'!$AF16+'11-2025'!$AH16+'11-2025'!$AI16,"")</f>
        <v>0</v>
      </c>
      <c r="AK16" s="30">
        <f>IFERROR('11-2025'!$W16-'11-2025'!$AJ16,"")</f>
        <v>4746.9953846153849</v>
      </c>
      <c r="AL16" s="31"/>
      <c r="AM16" s="31"/>
      <c r="AN16" s="31"/>
      <c r="AO16" s="31">
        <v>0</v>
      </c>
      <c r="AP16" s="31"/>
      <c r="AQ16" s="31"/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385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2">
        <f t="shared" si="11"/>
        <v>385</v>
      </c>
      <c r="BK16" s="33">
        <f>BJ16+AM16+AL17+'11-2025'!$N16+AN16+AO16</f>
        <v>5707.38</v>
      </c>
      <c r="BL16" s="34">
        <f>'11-2025'!$O16</f>
        <v>5230.7692307692305</v>
      </c>
      <c r="BM16" s="34">
        <f t="shared" si="6"/>
        <v>980.76923076923072</v>
      </c>
      <c r="BN16" s="34">
        <f t="shared" si="7"/>
        <v>575.38461538461536</v>
      </c>
      <c r="BO16" s="34">
        <f t="shared" si="8"/>
        <v>1666.6666666666667</v>
      </c>
      <c r="BP16" s="35">
        <f t="shared" si="9"/>
        <v>3465.3287179487179</v>
      </c>
      <c r="BQ16" s="34">
        <f>IFERROR(BP16/'11-2025'!$J16,0)*12</f>
        <v>41583.944615384615</v>
      </c>
      <c r="BR16" s="34">
        <f>IF(BQ16&lt;=40000,0,
IF(BQ16&lt;=55000,(BQ16-40000)*10%,
IF(BQ16&lt;=70000,(BQ16-55000)*15%+1500,
IF(BQ16&lt;=200000,(BQ16-70000)*20%+1500+2250,
IF(BQ16&lt;=400000,(BQ16-200000)*22.5%+1500+2250+26000,
IF(BQ16&lt;=600000,(BQ16-400000)*25%+1500+2250+26000+45000,
IF(AND(BQ16&gt;600000,BQ16&lt;=1200000),(BQ16-400000)*25%+1500+2250+26000+45000
+IFERROR(LOOKUP(BQ16,{600001;700001;800001;900001},{4000;6750;10250;15250}),0),IF(BQ16&gt;1200000,((BQ16-1200000)*27.5%)+300000,0)
)))))))</f>
        <v>158.39446153846148</v>
      </c>
      <c r="BS16" s="32">
        <f>(BR16/12*'11-2025'!$J16)</f>
        <v>13.199538461538458</v>
      </c>
      <c r="BT16" s="33">
        <f>BS16-'11-2025'!$V16</f>
        <v>13.199538461538458</v>
      </c>
      <c r="BU16" s="32">
        <f>IFERROR(+'11-2025'!$W16+AL16+AM16+BJ16-'11-2025'!$AJ16-BT16+AN16+AO16,"")-AL16+AP16+AQ16</f>
        <v>5118.7958461538465</v>
      </c>
      <c r="BV16" s="36"/>
      <c r="BW16" s="37"/>
      <c r="BX16" s="37">
        <f t="shared" si="10"/>
        <v>5118.7958461538465</v>
      </c>
      <c r="BY16" s="37" t="s">
        <v>75</v>
      </c>
    </row>
    <row r="17" spans="1:78" x14ac:dyDescent="0.25">
      <c r="A17" s="21">
        <v>131</v>
      </c>
      <c r="B17" s="22" t="s">
        <v>108</v>
      </c>
      <c r="C17" s="22" t="s">
        <v>106</v>
      </c>
      <c r="D17" s="22" t="s">
        <v>77</v>
      </c>
      <c r="E17" s="22" t="s">
        <v>85</v>
      </c>
      <c r="F17" s="22" t="s">
        <v>86</v>
      </c>
      <c r="G17" s="23">
        <v>45145</v>
      </c>
      <c r="H17" s="23"/>
      <c r="I17" s="24">
        <v>29501011262064</v>
      </c>
      <c r="J17" s="25">
        <v>1</v>
      </c>
      <c r="K17" s="25">
        <v>4644.7299999999996</v>
      </c>
      <c r="L17" s="25"/>
      <c r="M17" s="26"/>
      <c r="N17" s="25">
        <f>SUM('11-2025'!$K17:$M17)</f>
        <v>4644.7299999999996</v>
      </c>
      <c r="O17" s="25">
        <v>3615.7692307692305</v>
      </c>
      <c r="P17" s="25">
        <f t="shared" si="0"/>
        <v>677.95673076923072</v>
      </c>
      <c r="Q17" s="25">
        <f t="shared" si="1"/>
        <v>397.73461538461538</v>
      </c>
      <c r="R17" s="25">
        <v>1666.6666666666667</v>
      </c>
      <c r="S17" s="27">
        <f t="shared" si="2"/>
        <v>2580.328717948717</v>
      </c>
      <c r="T17" s="25">
        <f t="shared" si="3"/>
        <v>30963.944615384604</v>
      </c>
      <c r="U17" s="25">
        <f>IF(T17&lt;=40000,0,
IF(T17&lt;=55000,(T17-40000)*10%,
IF(T17&lt;=70000,(T17-55000)*15%+1500,
IF(T17&lt;=200000,(T17-70000)*20%+1500+2250,
IF(T17&lt;=400000,(T17-200000)*22.5%+1500+2250+26000,
IF(T17&lt;=600000,(T17-400000)*25%+1500+2250+26000+45000,
IF(AND(T17&gt;600000,T17&lt;=1200000),(T17-400000)*25%+1500+2250+26000+45000
+IFERROR(LOOKUP(T17,{600001;700001;800001;900001},{4000;6750;10250;15250}),0),IF(T17&gt;1200000,((T17-1200000)*27.5%)+300000,0)
)))))))</f>
        <v>0</v>
      </c>
      <c r="V17" s="25">
        <f t="shared" si="4"/>
        <v>0</v>
      </c>
      <c r="W17" s="28">
        <f>+'11-2025'!$S17-'11-2025'!$V17+'11-2025'!$R17</f>
        <v>4246.995384615384</v>
      </c>
      <c r="X17" s="28">
        <f t="shared" si="5"/>
        <v>141.5665128205128</v>
      </c>
      <c r="Y17" s="29">
        <v>0</v>
      </c>
      <c r="Z17" s="29">
        <f>IFERROR(+'11-2025'!$X17*'11-2025'!$Y17,"")</f>
        <v>0</v>
      </c>
      <c r="AA17" s="29">
        <v>0</v>
      </c>
      <c r="AB17" s="29">
        <f>IFERROR(+'11-2025'!$X17*'11-2025'!$AA17,"")</f>
        <v>0</v>
      </c>
      <c r="AC17" s="29">
        <v>0</v>
      </c>
      <c r="AD17" s="29">
        <f>IFERROR(+'11-2025'!$X17*'11-2025'!$AC17,"")</f>
        <v>0</v>
      </c>
      <c r="AE17" s="29">
        <v>0</v>
      </c>
      <c r="AF17" s="29">
        <f>IFERROR(+'11-2025'!$X17*'11-2025'!$AE17,"")</f>
        <v>0</v>
      </c>
      <c r="AG17" s="29">
        <v>0</v>
      </c>
      <c r="AH17" s="29">
        <f>IFERROR(+'11-2025'!$X17*'11-2025'!$AG17,"")</f>
        <v>0</v>
      </c>
      <c r="AI17" s="29">
        <v>0</v>
      </c>
      <c r="AJ17" s="29">
        <f>IFERROR('11-2025'!$Z17+'11-2025'!$AB17+'11-2025'!$AD17+'11-2025'!$AF17+'11-2025'!$AH17+'11-2025'!$AI17,"")</f>
        <v>0</v>
      </c>
      <c r="AK17" s="30">
        <f>IFERROR('11-2025'!$W17-'11-2025'!$AJ17,"")</f>
        <v>4246.995384615384</v>
      </c>
      <c r="AL17" s="31"/>
      <c r="AM17" s="31"/>
      <c r="AN17" s="31"/>
      <c r="AO17" s="31">
        <v>80</v>
      </c>
      <c r="AP17" s="31"/>
      <c r="AQ17" s="31"/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2">
        <f t="shared" si="11"/>
        <v>0</v>
      </c>
      <c r="BK17" s="33">
        <f>BJ17+AM17+AL18+'11-2025'!$N17+AN17+AO17</f>
        <v>4724.7299999999996</v>
      </c>
      <c r="BL17" s="34">
        <f>'11-2025'!$O17</f>
        <v>3615.7692307692305</v>
      </c>
      <c r="BM17" s="34">
        <f t="shared" si="6"/>
        <v>677.95673076923072</v>
      </c>
      <c r="BN17" s="34">
        <f t="shared" si="7"/>
        <v>397.73461538461538</v>
      </c>
      <c r="BO17" s="34">
        <f t="shared" si="8"/>
        <v>1666.6666666666667</v>
      </c>
      <c r="BP17" s="35">
        <f t="shared" si="9"/>
        <v>2660.328717948717</v>
      </c>
      <c r="BQ17" s="34">
        <f>IFERROR(BP17/'11-2025'!$J17,0)*12</f>
        <v>31923.944615384604</v>
      </c>
      <c r="BR17" s="34">
        <f>IF(BQ17&lt;=40000,0,
IF(BQ17&lt;=55000,(BQ17-40000)*10%,
IF(BQ17&lt;=70000,(BQ17-55000)*15%+1500,
IF(BQ17&lt;=200000,(BQ17-70000)*20%+1500+2250,
IF(BQ17&lt;=400000,(BQ17-200000)*22.5%+1500+2250+26000,
IF(BQ17&lt;=600000,(BQ17-400000)*25%+1500+2250+26000+45000,
IF(AND(BQ17&gt;600000,BQ17&lt;=1200000),(BQ17-400000)*25%+1500+2250+26000+45000
+IFERROR(LOOKUP(BQ17,{600001;700001;800001;900001},{4000;6750;10250;15250}),0),IF(BQ17&gt;1200000,((BQ17-1200000)*27.5%)+300000,0)
)))))))</f>
        <v>0</v>
      </c>
      <c r="BS17" s="32">
        <f>(BR17/12*'11-2025'!$J17)</f>
        <v>0</v>
      </c>
      <c r="BT17" s="33">
        <f>BS17-'11-2025'!$V17</f>
        <v>0</v>
      </c>
      <c r="BU17" s="32">
        <f>IFERROR(+'11-2025'!$W17+AL17+AM17+BJ17-'11-2025'!$AJ17-BT17+AN17+AO17,"")-AL17+AP17+AQ17</f>
        <v>4326.995384615384</v>
      </c>
      <c r="BV17" s="36"/>
      <c r="BW17" s="37"/>
      <c r="BX17" s="37">
        <f t="shared" si="10"/>
        <v>4326.995384615384</v>
      </c>
      <c r="BY17" s="37" t="s">
        <v>75</v>
      </c>
    </row>
    <row r="18" spans="1:78" x14ac:dyDescent="0.25">
      <c r="A18" s="21">
        <v>133</v>
      </c>
      <c r="B18" s="22" t="s">
        <v>109</v>
      </c>
      <c r="C18" s="22" t="s">
        <v>106</v>
      </c>
      <c r="D18" s="22" t="s">
        <v>72</v>
      </c>
      <c r="E18" s="22" t="s">
        <v>110</v>
      </c>
      <c r="F18" s="22" t="s">
        <v>102</v>
      </c>
      <c r="G18" s="23">
        <v>45582</v>
      </c>
      <c r="H18" s="23"/>
      <c r="I18" s="24">
        <v>30106141202127</v>
      </c>
      <c r="J18" s="25">
        <v>1</v>
      </c>
      <c r="K18" s="25">
        <v>4000</v>
      </c>
      <c r="L18" s="25"/>
      <c r="M18" s="26"/>
      <c r="N18" s="25">
        <f>SUM('11-2025'!$K18:$M18)</f>
        <v>4000</v>
      </c>
      <c r="O18" s="25">
        <v>4000</v>
      </c>
      <c r="P18" s="25">
        <f t="shared" si="0"/>
        <v>750</v>
      </c>
      <c r="Q18" s="25">
        <f t="shared" si="1"/>
        <v>440</v>
      </c>
      <c r="R18" s="25">
        <v>1666.6666666666667</v>
      </c>
      <c r="S18" s="27">
        <f t="shared" si="2"/>
        <v>1893.3333333333333</v>
      </c>
      <c r="T18" s="25">
        <f t="shared" si="3"/>
        <v>22720</v>
      </c>
      <c r="U18" s="25">
        <f>IF(T18&lt;=40000,0,
IF(T18&lt;=55000,(T18-40000)*10%,
IF(T18&lt;=70000,(T18-55000)*15%+1500,
IF(T18&lt;=200000,(T18-70000)*20%+1500+2250,
IF(T18&lt;=400000,(T18-200000)*22.5%+1500+2250+26000,
IF(T18&lt;=600000,(T18-400000)*25%+1500+2250+26000+45000,
IF(AND(T18&gt;600000,T18&lt;=1200000),(T18-400000)*25%+1500+2250+26000+45000
+IFERROR(LOOKUP(T18,{600001;700001;800001;900001},{4000;6750;10250;15250}),0),IF(T18&gt;1200000,((T18-1200000)*27.5%)+300000,0)
)))))))</f>
        <v>0</v>
      </c>
      <c r="V18" s="25">
        <f t="shared" si="4"/>
        <v>0</v>
      </c>
      <c r="W18" s="28">
        <f>+'11-2025'!$S18-'11-2025'!$V18+'11-2025'!$R18</f>
        <v>3560</v>
      </c>
      <c r="X18" s="28">
        <f t="shared" si="5"/>
        <v>118.66666666666667</v>
      </c>
      <c r="Y18" s="29">
        <v>0</v>
      </c>
      <c r="Z18" s="29">
        <f>IFERROR(+'11-2025'!$X18*'11-2025'!$Y18,"")</f>
        <v>0</v>
      </c>
      <c r="AA18" s="29">
        <v>0</v>
      </c>
      <c r="AB18" s="29">
        <f>IFERROR(+'11-2025'!$X18*'11-2025'!$AA18,"")</f>
        <v>0</v>
      </c>
      <c r="AC18" s="29">
        <v>0</v>
      </c>
      <c r="AD18" s="29">
        <f>IFERROR(+'11-2025'!$X18*'11-2025'!$AC18,"")</f>
        <v>0</v>
      </c>
      <c r="AE18" s="29">
        <v>0</v>
      </c>
      <c r="AF18" s="29">
        <f>IFERROR(+'11-2025'!$X18*'11-2025'!$AE18,"")</f>
        <v>0</v>
      </c>
      <c r="AG18" s="29">
        <v>0</v>
      </c>
      <c r="AH18" s="29">
        <f>IFERROR(+'11-2025'!$X18*'11-2025'!$AG18,"")</f>
        <v>0</v>
      </c>
      <c r="AI18" s="29">
        <v>0</v>
      </c>
      <c r="AJ18" s="29">
        <f>IFERROR('11-2025'!$Z18+'11-2025'!$AB18+'11-2025'!$AD18+'11-2025'!$AF18+'11-2025'!$AH18+'11-2025'!$AI18,"")</f>
        <v>0</v>
      </c>
      <c r="AK18" s="30">
        <f>IFERROR('11-2025'!$W18-'11-2025'!$AJ18,"")</f>
        <v>3560</v>
      </c>
      <c r="AL18" s="31"/>
      <c r="AM18" s="31"/>
      <c r="AN18" s="31"/>
      <c r="AO18" s="31">
        <v>140</v>
      </c>
      <c r="AP18" s="31"/>
      <c r="AQ18" s="31"/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4926.84</v>
      </c>
      <c r="BF18" s="31">
        <v>0</v>
      </c>
      <c r="BG18" s="31">
        <v>0</v>
      </c>
      <c r="BH18" s="31">
        <v>0</v>
      </c>
      <c r="BI18" s="31">
        <v>0</v>
      </c>
      <c r="BJ18" s="32">
        <f t="shared" si="11"/>
        <v>4926.84</v>
      </c>
      <c r="BK18" s="33">
        <f>BJ18+AM18+AL18+'11-2025'!$N18+AN18+AO18</f>
        <v>9066.84</v>
      </c>
      <c r="BL18" s="34">
        <f>'11-2025'!$O18</f>
        <v>4000</v>
      </c>
      <c r="BM18" s="34">
        <f t="shared" si="6"/>
        <v>750</v>
      </c>
      <c r="BN18" s="34">
        <f t="shared" si="7"/>
        <v>440</v>
      </c>
      <c r="BO18" s="34">
        <f t="shared" si="8"/>
        <v>1666.6666666666667</v>
      </c>
      <c r="BP18" s="35">
        <f t="shared" si="9"/>
        <v>6960.1733333333332</v>
      </c>
      <c r="BQ18" s="34">
        <f>IFERROR(BP18/'11-2025'!$J18,0)*12</f>
        <v>83522.080000000002</v>
      </c>
      <c r="BR18" s="34">
        <f>IF(BQ18&lt;=40000,0,
IF(BQ18&lt;=55000,(BQ18-40000)*10%,
IF(BQ18&lt;=70000,(BQ18-55000)*15%+1500,
IF(BQ18&lt;=200000,(BQ18-70000)*20%+1500+2250,
IF(BQ18&lt;=400000,(BQ18-200000)*22.5%+1500+2250+26000,
IF(BQ18&lt;=600000,(BQ18-400000)*25%+1500+2250+26000+45000,
IF(AND(BQ18&gt;600000,BQ18&lt;=1200000),(BQ18-400000)*25%+1500+2250+26000+45000
+IFERROR(LOOKUP(BQ18,{600001;700001;800001;900001},{4000;6750;10250;15250}),0),IF(BQ18&gt;1200000,((BQ18-1200000)*27.5%)+300000,0)
)))))))</f>
        <v>6454.4160000000011</v>
      </c>
      <c r="BS18" s="32">
        <f>(BR18/12*'11-2025'!$J18)</f>
        <v>537.86800000000005</v>
      </c>
      <c r="BT18" s="33">
        <f>BS18-'11-2025'!$V18</f>
        <v>537.86800000000005</v>
      </c>
      <c r="BU18" s="32">
        <f>IFERROR(+'11-2025'!$W18+AL18+AM18+BJ18-'11-2025'!$AJ18-BT18+AN18+AO18,"")-AL18+AP18+AQ18</f>
        <v>8088.9719999999998</v>
      </c>
      <c r="BV18" s="36"/>
      <c r="BW18" s="37"/>
      <c r="BX18" s="37">
        <f t="shared" si="10"/>
        <v>8088.9719999999998</v>
      </c>
      <c r="BY18" s="37" t="s">
        <v>75</v>
      </c>
    </row>
    <row r="19" spans="1:78" x14ac:dyDescent="0.25">
      <c r="A19" s="21">
        <v>136</v>
      </c>
      <c r="B19" s="22" t="s">
        <v>111</v>
      </c>
      <c r="C19" s="22" t="s">
        <v>106</v>
      </c>
      <c r="D19" s="22" t="s">
        <v>72</v>
      </c>
      <c r="E19" s="22" t="s">
        <v>82</v>
      </c>
      <c r="F19" s="22" t="s">
        <v>155</v>
      </c>
      <c r="G19" s="23">
        <v>45598</v>
      </c>
      <c r="H19" s="23"/>
      <c r="I19" s="24">
        <v>28403211200572</v>
      </c>
      <c r="J19" s="25">
        <v>1</v>
      </c>
      <c r="K19" s="25">
        <v>5322.38</v>
      </c>
      <c r="L19" s="25"/>
      <c r="M19" s="26"/>
      <c r="N19" s="25">
        <f>SUM('11-2025'!$K19:$M19)</f>
        <v>5322.38</v>
      </c>
      <c r="O19" s="25">
        <v>5230.7692307692305</v>
      </c>
      <c r="P19" s="25">
        <f t="shared" si="0"/>
        <v>980.76923076923072</v>
      </c>
      <c r="Q19" s="25">
        <f t="shared" si="1"/>
        <v>575.38461538461536</v>
      </c>
      <c r="R19" s="25">
        <v>1666.6666666666667</v>
      </c>
      <c r="S19" s="27">
        <f t="shared" si="2"/>
        <v>3080.3287179487179</v>
      </c>
      <c r="T19" s="25">
        <f t="shared" si="3"/>
        <v>36963.944615384615</v>
      </c>
      <c r="U19" s="25">
        <f>IF(T19&lt;=40000,0,
IF(T19&lt;=55000,(T19-40000)*10%,
IF(T19&lt;=70000,(T19-55000)*15%+1500,
IF(T19&lt;=200000,(T19-70000)*20%+1500+2250,
IF(T19&lt;=400000,(T19-200000)*22.5%+1500+2250+26000,
IF(T19&lt;=600000,(T19-400000)*25%+1500+2250+26000+45000,
IF(AND(T19&gt;600000,T19&lt;=1200000),(T19-400000)*25%+1500+2250+26000+45000
+IFERROR(LOOKUP(T19,{600001;700001;800001;900001},{4000;6750;10250;15250}),0),IF(T19&gt;1200000,((T19-1200000)*27.5%)+300000,0)
)))))))</f>
        <v>0</v>
      </c>
      <c r="V19" s="25">
        <f t="shared" si="4"/>
        <v>0</v>
      </c>
      <c r="W19" s="28">
        <f>+'11-2025'!$S19-'11-2025'!$V19+'11-2025'!$R19</f>
        <v>4746.9953846153849</v>
      </c>
      <c r="X19" s="28">
        <f t="shared" si="5"/>
        <v>158.23317948717948</v>
      </c>
      <c r="Y19" s="29">
        <v>0</v>
      </c>
      <c r="Z19" s="29">
        <f>IFERROR(+'11-2025'!$X19*'11-2025'!$Y19,"")</f>
        <v>0</v>
      </c>
      <c r="AA19" s="29">
        <v>0</v>
      </c>
      <c r="AB19" s="29">
        <f>IFERROR(+'11-2025'!$X19*'11-2025'!$AA19,"")</f>
        <v>0</v>
      </c>
      <c r="AC19" s="29">
        <v>0</v>
      </c>
      <c r="AD19" s="29">
        <f>IFERROR(+'11-2025'!$X19*'11-2025'!$AC19,"")</f>
        <v>0</v>
      </c>
      <c r="AE19" s="29">
        <v>0</v>
      </c>
      <c r="AF19" s="29">
        <f>IFERROR(+'11-2025'!$X19*'11-2025'!$AE19,"")</f>
        <v>0</v>
      </c>
      <c r="AG19" s="29">
        <v>0</v>
      </c>
      <c r="AH19" s="29">
        <f>IFERROR(+'11-2025'!$X19*'11-2025'!$AG19,"")</f>
        <v>0</v>
      </c>
      <c r="AI19" s="29">
        <v>0</v>
      </c>
      <c r="AJ19" s="29">
        <f>IFERROR('11-2025'!$Z19+'11-2025'!$AB19+'11-2025'!$AD19+'11-2025'!$AF19+'11-2025'!$AH19+'11-2025'!$AI19,"")</f>
        <v>0</v>
      </c>
      <c r="AK19" s="30">
        <f>IFERROR('11-2025'!$W19-'11-2025'!$AJ19,"")</f>
        <v>4746.9953846153849</v>
      </c>
      <c r="AL19" s="31"/>
      <c r="AM19" s="31"/>
      <c r="AN19" s="31"/>
      <c r="AO19" s="31">
        <v>0</v>
      </c>
      <c r="AP19" s="31"/>
      <c r="AQ19" s="31"/>
      <c r="AR19" s="31">
        <v>0</v>
      </c>
      <c r="AS19" s="31">
        <v>0</v>
      </c>
      <c r="AT19" s="31">
        <v>0</v>
      </c>
      <c r="AU19" s="31">
        <v>0</v>
      </c>
      <c r="AV19" s="31">
        <v>148.04197500000001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285</v>
      </c>
      <c r="BH19" s="31">
        <v>0</v>
      </c>
      <c r="BI19" s="31">
        <v>0</v>
      </c>
      <c r="BJ19" s="32">
        <f t="shared" si="11"/>
        <v>433.04197499999998</v>
      </c>
      <c r="BK19" s="33">
        <f>BJ19+AM19+AL19+'11-2025'!$N19+AN19+AO19</f>
        <v>5755.4219750000002</v>
      </c>
      <c r="BL19" s="34">
        <f>'11-2025'!$O19</f>
        <v>5230.7692307692305</v>
      </c>
      <c r="BM19" s="34">
        <f t="shared" si="6"/>
        <v>980.76923076923072</v>
      </c>
      <c r="BN19" s="34">
        <f t="shared" si="7"/>
        <v>575.38461538461536</v>
      </c>
      <c r="BO19" s="34">
        <f t="shared" si="8"/>
        <v>1666.6666666666667</v>
      </c>
      <c r="BP19" s="35">
        <f t="shared" si="9"/>
        <v>3513.370692948718</v>
      </c>
      <c r="BQ19" s="34">
        <f>IFERROR(BP19/'11-2025'!$J19,0)*12</f>
        <v>42160.448315384616</v>
      </c>
      <c r="BR19" s="34">
        <f>IF(BQ19&lt;=40000,0,
IF(BQ19&lt;=55000,(BQ19-40000)*10%,
IF(BQ19&lt;=70000,(BQ19-55000)*15%+1500,
IF(BQ19&lt;=200000,(BQ19-70000)*20%+1500+2250,
IF(BQ19&lt;=400000,(BQ19-200000)*22.5%+1500+2250+26000,
IF(BQ19&lt;=600000,(BQ19-400000)*25%+1500+2250+26000+45000,
IF(AND(BQ19&gt;600000,BQ19&lt;=1200000),(BQ19-400000)*25%+1500+2250+26000+45000
+IFERROR(LOOKUP(BQ19,{600001;700001;800001;900001},{4000;6750;10250;15250}),0),IF(BQ19&gt;1200000,((BQ19-1200000)*27.5%)+300000,0)
)))))))</f>
        <v>216.04483153846161</v>
      </c>
      <c r="BS19" s="32">
        <f>(BR19/12*'11-2025'!$J19)</f>
        <v>18.003735961538467</v>
      </c>
      <c r="BT19" s="33">
        <f>BS19-'11-2025'!$V19</f>
        <v>18.003735961538467</v>
      </c>
      <c r="BU19" s="32">
        <f>IFERROR(+'11-2025'!$W19+AL19+AM19+BJ19-'11-2025'!$AJ19-BT19+AN19+AO19,"")-AL19+AP19+AQ19</f>
        <v>5162.0336236538469</v>
      </c>
      <c r="BV19" s="36"/>
      <c r="BW19" s="37"/>
      <c r="BX19" s="37">
        <f t="shared" si="10"/>
        <v>5162.0336236538469</v>
      </c>
      <c r="BY19" s="37" t="s">
        <v>75</v>
      </c>
      <c r="BZ19" s="59"/>
    </row>
    <row r="20" spans="1:78" x14ac:dyDescent="0.25">
      <c r="A20" s="21">
        <v>150</v>
      </c>
      <c r="B20" s="22" t="s">
        <v>112</v>
      </c>
      <c r="C20" s="22" t="s">
        <v>71</v>
      </c>
      <c r="D20" s="22" t="s">
        <v>77</v>
      </c>
      <c r="E20" s="22" t="s">
        <v>85</v>
      </c>
      <c r="F20" s="22" t="s">
        <v>113</v>
      </c>
      <c r="G20" s="23">
        <v>45167</v>
      </c>
      <c r="H20" s="23"/>
      <c r="I20" s="24">
        <v>30006102101386</v>
      </c>
      <c r="J20" s="25">
        <v>1</v>
      </c>
      <c r="K20" s="25">
        <v>5410.39</v>
      </c>
      <c r="L20" s="25"/>
      <c r="M20" s="26"/>
      <c r="N20" s="25">
        <f>SUM('11-2025'!$K20:$M20)</f>
        <v>5410.39</v>
      </c>
      <c r="O20" s="25">
        <v>3730.8461538461534</v>
      </c>
      <c r="P20" s="25">
        <f t="shared" si="0"/>
        <v>699.53365384615381</v>
      </c>
      <c r="Q20" s="25">
        <f t="shared" si="1"/>
        <v>410.39307692307688</v>
      </c>
      <c r="R20" s="25">
        <v>1666.6666666666667</v>
      </c>
      <c r="S20" s="27">
        <f t="shared" si="2"/>
        <v>3333.3302564102569</v>
      </c>
      <c r="T20" s="25">
        <f t="shared" si="3"/>
        <v>39999.963076923086</v>
      </c>
      <c r="U20" s="25">
        <f>IF(T20&lt;=40000,0,
IF(T20&lt;=55000,(T20-40000)*10%,
IF(T20&lt;=70000,(T20-55000)*15%+1500,
IF(T20&lt;=200000,(T20-70000)*20%+1500+2250,
IF(T20&lt;=400000,(T20-200000)*22.5%+1500+2250+26000,
IF(T20&lt;=600000,(T20-400000)*25%+1500+2250+26000+45000,
IF(AND(T20&gt;600000,T20&lt;=1200000),(T20-400000)*25%+1500+2250+26000+45000
+IFERROR(LOOKUP(T20,{600001;700001;800001;900001},{4000;6750;10250;15250}),0),IF(T20&gt;1200000,((T20-1200000)*27.5%)+300000,0)
)))))))</f>
        <v>0</v>
      </c>
      <c r="V20" s="25">
        <f t="shared" si="4"/>
        <v>0</v>
      </c>
      <c r="W20" s="28">
        <f>+'11-2025'!$S20-'11-2025'!$V20+'11-2025'!$R20</f>
        <v>4999.9969230769238</v>
      </c>
      <c r="X20" s="28">
        <f t="shared" si="5"/>
        <v>166.66656410256414</v>
      </c>
      <c r="Y20" s="29">
        <v>0</v>
      </c>
      <c r="Z20" s="29">
        <f>IFERROR(+'11-2025'!$X20*'11-2025'!$Y20,"")</f>
        <v>0</v>
      </c>
      <c r="AA20" s="29">
        <v>0</v>
      </c>
      <c r="AB20" s="29">
        <f>IFERROR(+'11-2025'!$X20*'11-2025'!$AA20,"")</f>
        <v>0</v>
      </c>
      <c r="AC20" s="29">
        <v>0</v>
      </c>
      <c r="AD20" s="29">
        <f>IFERROR(+'11-2025'!$X20*'11-2025'!$AC20,"")</f>
        <v>0</v>
      </c>
      <c r="AE20" s="29">
        <v>0</v>
      </c>
      <c r="AF20" s="29">
        <f>IFERROR(+'11-2025'!$X20*'11-2025'!$AE20,"")</f>
        <v>0</v>
      </c>
      <c r="AG20" s="29">
        <v>0</v>
      </c>
      <c r="AH20" s="29">
        <f>IFERROR(+'11-2025'!$X20*'11-2025'!$AG20,"")</f>
        <v>0</v>
      </c>
      <c r="AI20" s="29">
        <v>0</v>
      </c>
      <c r="AJ20" s="29">
        <f>IFERROR('11-2025'!$Z20+'11-2025'!$AB20+'11-2025'!$AD20+'11-2025'!$AF20+'11-2025'!$AH20+'11-2025'!$AI20,"")</f>
        <v>0</v>
      </c>
      <c r="AK20" s="30">
        <f>IFERROR('11-2025'!$W20-'11-2025'!$AJ20,"")</f>
        <v>4999.9969230769238</v>
      </c>
      <c r="AL20" s="31"/>
      <c r="AM20" s="31"/>
      <c r="AN20" s="31"/>
      <c r="AO20" s="31">
        <v>20</v>
      </c>
      <c r="AP20" s="31"/>
      <c r="AQ20" s="31"/>
      <c r="AR20" s="31">
        <v>0</v>
      </c>
      <c r="AS20" s="31">
        <v>0</v>
      </c>
      <c r="AT20" s="31">
        <v>0</v>
      </c>
      <c r="AU20" s="31">
        <v>0</v>
      </c>
      <c r="AV20" s="31">
        <v>0</v>
      </c>
      <c r="AW20" s="31">
        <v>0</v>
      </c>
      <c r="AX20" s="31">
        <v>0</v>
      </c>
      <c r="AY20" s="31">
        <v>0</v>
      </c>
      <c r="AZ20" s="31">
        <v>0</v>
      </c>
      <c r="BA20" s="31">
        <v>0</v>
      </c>
      <c r="BB20" s="31">
        <v>0</v>
      </c>
      <c r="BC20" s="31">
        <v>0</v>
      </c>
      <c r="BD20" s="31">
        <v>0</v>
      </c>
      <c r="BE20" s="31">
        <v>0</v>
      </c>
      <c r="BF20" s="31">
        <v>0</v>
      </c>
      <c r="BG20" s="31">
        <v>0</v>
      </c>
      <c r="BH20" s="31">
        <v>0</v>
      </c>
      <c r="BI20" s="31">
        <v>0</v>
      </c>
      <c r="BJ20" s="32">
        <f t="shared" si="11"/>
        <v>0</v>
      </c>
      <c r="BK20" s="33">
        <f>BJ20+AM20+AL20+'11-2025'!$N20+AN20+AO20</f>
        <v>5430.39</v>
      </c>
      <c r="BL20" s="34">
        <f>'11-2025'!$O20</f>
        <v>3730.8461538461534</v>
      </c>
      <c r="BM20" s="34">
        <f t="shared" si="6"/>
        <v>699.53365384615381</v>
      </c>
      <c r="BN20" s="34">
        <f t="shared" si="7"/>
        <v>410.39307692307688</v>
      </c>
      <c r="BO20" s="34">
        <f t="shared" si="8"/>
        <v>1666.6666666666667</v>
      </c>
      <c r="BP20" s="35">
        <f t="shared" si="9"/>
        <v>3353.3302564102569</v>
      </c>
      <c r="BQ20" s="34">
        <f>IFERROR(BP20/'11-2025'!$J20,0)*12</f>
        <v>40239.963076923086</v>
      </c>
      <c r="BR20" s="34">
        <f>IF(BQ20&lt;=40000,0,
IF(BQ20&lt;=55000,(BQ20-40000)*10%,
IF(BQ20&lt;=70000,(BQ20-55000)*15%+1500,
IF(BQ20&lt;=200000,(BQ20-70000)*20%+1500+2250,
IF(BQ20&lt;=400000,(BQ20-200000)*22.5%+1500+2250+26000,
IF(BQ20&lt;=600000,(BQ20-400000)*25%+1500+2250+26000+45000,
IF(AND(BQ20&gt;600000,BQ20&lt;=1200000),(BQ20-400000)*25%+1500+2250+26000+45000
+IFERROR(LOOKUP(BQ20,{600001;700001;800001;900001},{4000;6750;10250;15250}),0),IF(BQ20&gt;1200000,((BQ20-1200000)*27.5%)+300000,0)
)))))))</f>
        <v>23.996307692308619</v>
      </c>
      <c r="BS20" s="32">
        <f>(BR20/12*'11-2025'!$J20)</f>
        <v>1.9996923076923849</v>
      </c>
      <c r="BT20" s="33">
        <v>0</v>
      </c>
      <c r="BU20" s="32">
        <f>IFERROR(+'11-2025'!$W20+AL20+AM20+BJ20-'11-2025'!$AJ20-BT20+AN20+AO20,"")-AL20+AP20+AQ20</f>
        <v>5019.9969230769238</v>
      </c>
      <c r="BV20" s="36"/>
      <c r="BW20" s="37"/>
      <c r="BX20" s="37">
        <f t="shared" si="10"/>
        <v>5019.9969230769238</v>
      </c>
      <c r="BY20" s="37" t="s">
        <v>75</v>
      </c>
    </row>
    <row r="21" spans="1:78" s="75" customFormat="1" x14ac:dyDescent="0.25">
      <c r="A21" s="38">
        <v>151</v>
      </c>
      <c r="B21" s="40" t="s">
        <v>114</v>
      </c>
      <c r="C21" s="40" t="s">
        <v>71</v>
      </c>
      <c r="D21" s="40" t="s">
        <v>77</v>
      </c>
      <c r="E21" s="40" t="s">
        <v>115</v>
      </c>
      <c r="F21" s="40" t="s">
        <v>116</v>
      </c>
      <c r="G21" s="61">
        <v>45171</v>
      </c>
      <c r="H21" s="61"/>
      <c r="I21" s="62">
        <v>29805101502713</v>
      </c>
      <c r="J21" s="63">
        <v>1</v>
      </c>
      <c r="K21" s="63">
        <v>11274.76</v>
      </c>
      <c r="L21" s="63"/>
      <c r="M21" s="64"/>
      <c r="N21" s="63">
        <f>SUM('11-2025'!$K21:$M21)</f>
        <v>11274.76</v>
      </c>
      <c r="O21" s="63">
        <v>5230.7692307692305</v>
      </c>
      <c r="P21" s="63">
        <f t="shared" si="0"/>
        <v>980.76923076923072</v>
      </c>
      <c r="Q21" s="63">
        <f t="shared" si="1"/>
        <v>575.38461538461536</v>
      </c>
      <c r="R21" s="63">
        <v>1666.6666666666667</v>
      </c>
      <c r="S21" s="65">
        <f t="shared" si="2"/>
        <v>9032.7087179487189</v>
      </c>
      <c r="T21" s="63">
        <f t="shared" si="3"/>
        <v>108392.50461538462</v>
      </c>
      <c r="U21" s="63">
        <f>IF(T21&lt;=40000,0,
IF(T21&lt;=55000,(T21-40000)*10%,
IF(T21&lt;=70000,(T21-55000)*15%+1500,
IF(T21&lt;=200000,(T21-70000)*20%+1500+2250,
IF(T21&lt;=400000,(T21-200000)*22.5%+1500+2250+26000,
IF(T21&lt;=600000,(T21-400000)*25%+1500+2250+26000+45000,
IF(AND(T21&gt;600000,T21&lt;=1200000),(T21-400000)*25%+1500+2250+26000+45000
+IFERROR(LOOKUP(T21,{600001;700001;800001;900001},{4000;6750;10250;15250}),0),IF(T21&gt;1200000,((T21-1200000)*27.5%)+300000,0)
)))))))</f>
        <v>11428.500923076925</v>
      </c>
      <c r="V21" s="63">
        <f t="shared" si="4"/>
        <v>952.37507692307702</v>
      </c>
      <c r="W21" s="66">
        <f>+'11-2025'!$S21-'11-2025'!$V21+'11-2025'!$R21</f>
        <v>9747.0003076923076</v>
      </c>
      <c r="X21" s="66">
        <f t="shared" si="5"/>
        <v>324.90001025641027</v>
      </c>
      <c r="Y21" s="67"/>
      <c r="Z21" s="67">
        <f>IFERROR(+'11-2025'!$X21*'11-2025'!$Y21,"")</f>
        <v>0</v>
      </c>
      <c r="AA21" s="67"/>
      <c r="AB21" s="67">
        <f>IFERROR(+'11-2025'!$X21*'11-2025'!$AA21,"")</f>
        <v>0</v>
      </c>
      <c r="AC21" s="67">
        <v>30</v>
      </c>
      <c r="AD21" s="67">
        <f>IFERROR(+'11-2025'!$X21*'11-2025'!$AC21,"")</f>
        <v>9747.0003076923076</v>
      </c>
      <c r="AE21" s="67"/>
      <c r="AF21" s="67">
        <f>IFERROR(+'11-2025'!$X21*'11-2025'!$AE21,"")</f>
        <v>0</v>
      </c>
      <c r="AG21" s="67"/>
      <c r="AH21" s="67">
        <f>IFERROR(+'11-2025'!$X21*'11-2025'!$AG21,"")</f>
        <v>0</v>
      </c>
      <c r="AI21" s="29">
        <v>0</v>
      </c>
      <c r="AJ21" s="67">
        <f>IFERROR('11-2025'!$Z21+'11-2025'!$AB21+'11-2025'!$AD21+'11-2025'!$AF21+'11-2025'!$AH21+'11-2025'!$AI21,"")</f>
        <v>9747.0003076923076</v>
      </c>
      <c r="AK21" s="68">
        <f>IFERROR('11-2025'!$W21-'11-2025'!$AJ21,"")</f>
        <v>0</v>
      </c>
      <c r="AL21" s="69"/>
      <c r="AM21" s="69"/>
      <c r="AN21" s="69"/>
      <c r="AO21" s="69"/>
      <c r="AP21" s="69"/>
      <c r="AQ21" s="69"/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0</v>
      </c>
      <c r="BH21" s="31">
        <v>0</v>
      </c>
      <c r="BI21" s="31">
        <v>0</v>
      </c>
      <c r="BJ21" s="39">
        <f t="shared" si="11"/>
        <v>0</v>
      </c>
      <c r="BK21" s="70">
        <f>BJ21+AM21+AL21+'11-2025'!$N21+AN21+AO21</f>
        <v>11274.76</v>
      </c>
      <c r="BL21" s="71">
        <f>'11-2025'!$O21</f>
        <v>5230.7692307692305</v>
      </c>
      <c r="BM21" s="71">
        <f t="shared" si="6"/>
        <v>980.76923076923072</v>
      </c>
      <c r="BN21" s="71">
        <f t="shared" si="7"/>
        <v>575.38461538461536</v>
      </c>
      <c r="BO21" s="71">
        <f t="shared" si="8"/>
        <v>1666.6666666666667</v>
      </c>
      <c r="BP21" s="72">
        <f t="shared" si="9"/>
        <v>9032.7087179487189</v>
      </c>
      <c r="BQ21" s="71">
        <f>IFERROR(BP21/'11-2025'!$J21,0)*12</f>
        <v>108392.50461538462</v>
      </c>
      <c r="BR21" s="71">
        <f>IF(BQ21&lt;=40000,0,
IF(BQ21&lt;=55000,(BQ21-40000)*10%,
IF(BQ21&lt;=70000,(BQ21-55000)*15%+1500,
IF(BQ21&lt;=200000,(BQ21-70000)*20%+1500+2250,
IF(BQ21&lt;=400000,(BQ21-200000)*22.5%+1500+2250+26000,
IF(BQ21&lt;=600000,(BQ21-400000)*25%+1500+2250+26000+45000,
IF(AND(BQ21&gt;600000,BQ21&lt;=1200000),(BQ21-400000)*25%+1500+2250+26000+45000
+IFERROR(LOOKUP(BQ21,{600001;700001;800001;900001},{4000;6750;10250;15250}),0),IF(BQ21&gt;1200000,((BQ21-1200000)*27.5%)+300000,0)
)))))))</f>
        <v>11428.500923076925</v>
      </c>
      <c r="BS21" s="39">
        <f>(BR21/12*'11-2025'!$J21)</f>
        <v>952.37507692307702</v>
      </c>
      <c r="BT21" s="70">
        <v>0</v>
      </c>
      <c r="BU21" s="39">
        <f>IFERROR(+'11-2025'!$W21+AL21+AM21+BJ21-'11-2025'!$AJ21-BT21+AN21+AO21,"")-AL21+AP21+AQ21</f>
        <v>0</v>
      </c>
      <c r="BV21" s="73"/>
      <c r="BW21" s="74"/>
      <c r="BX21" s="74">
        <f t="shared" si="10"/>
        <v>0</v>
      </c>
      <c r="BY21" s="74" t="s">
        <v>75</v>
      </c>
    </row>
    <row r="22" spans="1:78" x14ac:dyDescent="0.25">
      <c r="A22" s="21">
        <v>162</v>
      </c>
      <c r="B22" s="22" t="s">
        <v>117</v>
      </c>
      <c r="C22" s="22" t="s">
        <v>106</v>
      </c>
      <c r="D22" s="22" t="s">
        <v>72</v>
      </c>
      <c r="E22" s="22" t="s">
        <v>82</v>
      </c>
      <c r="F22" s="22" t="s">
        <v>74</v>
      </c>
      <c r="G22" s="23">
        <v>45173</v>
      </c>
      <c r="H22" s="23"/>
      <c r="I22" s="24">
        <v>28711011208851</v>
      </c>
      <c r="J22" s="25">
        <v>1</v>
      </c>
      <c r="K22" s="25">
        <v>6037.78</v>
      </c>
      <c r="L22" s="25"/>
      <c r="M22" s="26"/>
      <c r="N22" s="25">
        <f>SUM('11-2025'!$K22:$M22)</f>
        <v>6037.78</v>
      </c>
      <c r="O22" s="25">
        <v>6000</v>
      </c>
      <c r="P22" s="25">
        <f t="shared" si="0"/>
        <v>1125</v>
      </c>
      <c r="Q22" s="25">
        <f t="shared" si="1"/>
        <v>660</v>
      </c>
      <c r="R22" s="25">
        <v>1666.6666666666667</v>
      </c>
      <c r="S22" s="27">
        <f t="shared" si="2"/>
        <v>3711.1133333333328</v>
      </c>
      <c r="T22" s="25">
        <f t="shared" si="3"/>
        <v>44533.359999999993</v>
      </c>
      <c r="U22" s="25">
        <f>IF(T22&lt;=40000,0,
IF(T22&lt;=55000,(T22-40000)*10%,
IF(T22&lt;=70000,(T22-55000)*15%+1500,
IF(T22&lt;=200000,(T22-70000)*20%+1500+2250,
IF(T22&lt;=400000,(T22-200000)*22.5%+1500+2250+26000,
IF(T22&lt;=600000,(T22-400000)*25%+1500+2250+26000+45000,
IF(AND(T22&gt;600000,T22&lt;=1200000),(T22-400000)*25%+1500+2250+26000+45000
+IFERROR(LOOKUP(T22,{600001;700001;800001;900001},{4000;6750;10250;15250}),0),IF(T22&gt;1200000,((T22-1200000)*27.5%)+300000,0)
)))))))</f>
        <v>453.33599999999933</v>
      </c>
      <c r="V22" s="25">
        <f t="shared" si="4"/>
        <v>37.777999999999942</v>
      </c>
      <c r="W22" s="28">
        <f>+'11-2025'!$S22-'11-2025'!$V22+'11-2025'!$R22</f>
        <v>5340.0019999999995</v>
      </c>
      <c r="X22" s="28">
        <f t="shared" si="5"/>
        <v>178.00006666666664</v>
      </c>
      <c r="Y22" s="29">
        <v>0</v>
      </c>
      <c r="Z22" s="29">
        <f>IFERROR(+'11-2025'!$X22*'11-2025'!$Y22,"")</f>
        <v>0</v>
      </c>
      <c r="AA22" s="29">
        <v>0</v>
      </c>
      <c r="AB22" s="29">
        <f>IFERROR(+'11-2025'!$X22*'11-2025'!$AA22,"")</f>
        <v>0</v>
      </c>
      <c r="AC22" s="29">
        <v>0</v>
      </c>
      <c r="AD22" s="29">
        <f>IFERROR(+'11-2025'!$X22*'11-2025'!$AC22,"")</f>
        <v>0</v>
      </c>
      <c r="AE22" s="29">
        <v>0</v>
      </c>
      <c r="AF22" s="29">
        <f>IFERROR(+'11-2025'!$X22*'11-2025'!$AE22,"")</f>
        <v>0</v>
      </c>
      <c r="AG22" s="29">
        <v>0</v>
      </c>
      <c r="AH22" s="29">
        <f>IFERROR(+'11-2025'!$X22*'11-2025'!$AG22,"")</f>
        <v>0</v>
      </c>
      <c r="AI22" s="29">
        <v>0</v>
      </c>
      <c r="AJ22" s="29">
        <f>IFERROR('11-2025'!$Z22+'11-2025'!$AB22+'11-2025'!$AD22+'11-2025'!$AF22+'11-2025'!$AH22+'11-2025'!$AI22,"")</f>
        <v>0</v>
      </c>
      <c r="AK22" s="30">
        <f>IFERROR('11-2025'!$W22-'11-2025'!$AJ22,"")</f>
        <v>5340.0019999999995</v>
      </c>
      <c r="AL22" s="31"/>
      <c r="AM22" s="31">
        <v>1000</v>
      </c>
      <c r="AN22" s="31"/>
      <c r="AO22" s="31">
        <v>0</v>
      </c>
      <c r="AP22" s="31"/>
      <c r="AQ22" s="31"/>
      <c r="AR22" s="31">
        <v>0</v>
      </c>
      <c r="AS22" s="31">
        <v>350</v>
      </c>
      <c r="AT22" s="31">
        <v>0</v>
      </c>
      <c r="AU22" s="31">
        <v>2135.9136749999998</v>
      </c>
      <c r="AV22" s="31">
        <v>49.347325000000005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0</v>
      </c>
      <c r="BH22" s="31">
        <v>0</v>
      </c>
      <c r="BI22" s="31">
        <v>0</v>
      </c>
      <c r="BJ22" s="32">
        <f t="shared" si="11"/>
        <v>2535.261</v>
      </c>
      <c r="BK22" s="33">
        <f>BJ22+AM22+AL22+'11-2025'!$N22+AN22+AO22</f>
        <v>9573.0409999999993</v>
      </c>
      <c r="BL22" s="34">
        <f>'11-2025'!$O22</f>
        <v>6000</v>
      </c>
      <c r="BM22" s="34">
        <f t="shared" si="6"/>
        <v>1125</v>
      </c>
      <c r="BN22" s="34">
        <f t="shared" si="7"/>
        <v>660</v>
      </c>
      <c r="BO22" s="34">
        <f t="shared" si="8"/>
        <v>1666.6666666666667</v>
      </c>
      <c r="BP22" s="35">
        <f t="shared" si="9"/>
        <v>7246.3743333333323</v>
      </c>
      <c r="BQ22" s="34">
        <f>IFERROR(BP22/'11-2025'!$J22,0)*12</f>
        <v>86956.491999999984</v>
      </c>
      <c r="BR22" s="34">
        <f>IF(BQ22&lt;=40000,0,
IF(BQ22&lt;=55000,(BQ22-40000)*10%,
IF(BQ22&lt;=70000,(BQ22-55000)*15%+1500,
IF(BQ22&lt;=200000,(BQ22-70000)*20%+1500+2250,
IF(BQ22&lt;=400000,(BQ22-200000)*22.5%+1500+2250+26000,
IF(BQ22&lt;=600000,(BQ22-400000)*25%+1500+2250+26000+45000,
IF(AND(BQ22&gt;600000,BQ22&lt;=1200000),(BQ22-400000)*25%+1500+2250+26000+45000
+IFERROR(LOOKUP(BQ22,{600001;700001;800001;900001},{4000;6750;10250;15250}),0),IF(BQ22&gt;1200000,((BQ22-1200000)*27.5%)+300000,0)
)))))))</f>
        <v>7141.2983999999969</v>
      </c>
      <c r="BS22" s="32">
        <f>(BR22/12*'11-2025'!$J22)</f>
        <v>595.10819999999978</v>
      </c>
      <c r="BT22" s="33">
        <f>BS22-'11-2025'!$V22</f>
        <v>557.33019999999988</v>
      </c>
      <c r="BU22" s="32">
        <f>IFERROR(+'11-2025'!$W22+AL22+AM22+BJ22-'11-2025'!$AJ22-BT22+AN22+AO22,"")-AL22+AP22+AQ22</f>
        <v>8317.9327999999987</v>
      </c>
      <c r="BV22" s="36" t="s">
        <v>430</v>
      </c>
      <c r="BW22" s="37"/>
      <c r="BX22" s="37">
        <f t="shared" si="10"/>
        <v>8317.9327999999987</v>
      </c>
      <c r="BY22" s="37" t="s">
        <v>75</v>
      </c>
      <c r="BZ22" s="59"/>
    </row>
    <row r="23" spans="1:78" x14ac:dyDescent="0.25">
      <c r="A23" s="21">
        <v>177</v>
      </c>
      <c r="B23" s="22" t="s">
        <v>118</v>
      </c>
      <c r="C23" s="22" t="s">
        <v>106</v>
      </c>
      <c r="D23" s="22" t="s">
        <v>72</v>
      </c>
      <c r="E23" s="22" t="s">
        <v>88</v>
      </c>
      <c r="F23" s="22" t="s">
        <v>86</v>
      </c>
      <c r="G23" s="23">
        <v>45187</v>
      </c>
      <c r="H23" s="23"/>
      <c r="I23" s="24">
        <v>30001011278168</v>
      </c>
      <c r="J23" s="25">
        <v>1</v>
      </c>
      <c r="K23" s="25">
        <v>3536.08</v>
      </c>
      <c r="L23" s="25"/>
      <c r="M23" s="26"/>
      <c r="N23" s="25">
        <f>SUM('11-2025'!$K23:$M23)</f>
        <v>3536.08</v>
      </c>
      <c r="O23" s="25">
        <v>4446.1538461538457</v>
      </c>
      <c r="P23" s="25">
        <f t="shared" si="0"/>
        <v>833.65384615384608</v>
      </c>
      <c r="Q23" s="25">
        <f t="shared" si="1"/>
        <v>489.07692307692304</v>
      </c>
      <c r="R23" s="25">
        <v>1666.6666666666667</v>
      </c>
      <c r="S23" s="27">
        <f t="shared" si="2"/>
        <v>1380.3364102564103</v>
      </c>
      <c r="T23" s="25">
        <f t="shared" si="3"/>
        <v>16564.036923076925</v>
      </c>
      <c r="U23" s="25">
        <f>IF(T23&lt;=40000,0,
IF(T23&lt;=55000,(T23-40000)*10%,
IF(T23&lt;=70000,(T23-55000)*15%+1500,
IF(T23&lt;=200000,(T23-70000)*20%+1500+2250,
IF(T23&lt;=400000,(T23-200000)*22.5%+1500+2250+26000,
IF(T23&lt;=600000,(T23-400000)*25%+1500+2250+26000+45000,
IF(AND(T23&gt;600000,T23&lt;=1200000),(T23-400000)*25%+1500+2250+26000+45000
+IFERROR(LOOKUP(T23,{600001;700001;800001;900001},{4000;6750;10250;15250}),0),IF(T23&gt;1200000,((T23-1200000)*27.5%)+300000,0)
)))))))</f>
        <v>0</v>
      </c>
      <c r="V23" s="25">
        <f t="shared" si="4"/>
        <v>0</v>
      </c>
      <c r="W23" s="28">
        <f>+'11-2025'!$S23-'11-2025'!$V23+'11-2025'!$R23</f>
        <v>3047.0030769230771</v>
      </c>
      <c r="X23" s="28">
        <f t="shared" si="5"/>
        <v>101.56676923076924</v>
      </c>
      <c r="Y23" s="29">
        <v>0</v>
      </c>
      <c r="Z23" s="29">
        <f>IFERROR(+'11-2025'!$X23*'11-2025'!$Y23,"")</f>
        <v>0</v>
      </c>
      <c r="AA23" s="29">
        <v>0</v>
      </c>
      <c r="AB23" s="29">
        <f>IFERROR(+'11-2025'!$X23*'11-2025'!$AA23,"")</f>
        <v>0</v>
      </c>
      <c r="AC23" s="29">
        <v>0</v>
      </c>
      <c r="AD23" s="29">
        <f>IFERROR(+'11-2025'!$X23*'11-2025'!$AC23,"")</f>
        <v>0</v>
      </c>
      <c r="AE23" s="29">
        <v>0</v>
      </c>
      <c r="AF23" s="29">
        <f>IFERROR(+'11-2025'!$X23*'11-2025'!$AE23,"")</f>
        <v>0</v>
      </c>
      <c r="AG23" s="29">
        <v>0</v>
      </c>
      <c r="AH23" s="29">
        <f>IFERROR(+'11-2025'!$X23*'11-2025'!$AG23,"")</f>
        <v>0</v>
      </c>
      <c r="AI23" s="29">
        <v>0</v>
      </c>
      <c r="AJ23" s="29">
        <f>IFERROR('11-2025'!$Z23+'11-2025'!$AB23+'11-2025'!$AD23+'11-2025'!$AF23+'11-2025'!$AH23+'11-2025'!$AI23,"")</f>
        <v>0</v>
      </c>
      <c r="AK23" s="30">
        <f>IFERROR('11-2025'!$W23-'11-2025'!$AJ23,"")</f>
        <v>3047.0030769230771</v>
      </c>
      <c r="AL23" s="31"/>
      <c r="AM23" s="31"/>
      <c r="AN23" s="31"/>
      <c r="AO23" s="31">
        <v>0</v>
      </c>
      <c r="AP23" s="31"/>
      <c r="AQ23" s="31"/>
      <c r="AR23" s="31">
        <v>0</v>
      </c>
      <c r="AS23" s="31">
        <v>0</v>
      </c>
      <c r="AT23" s="31">
        <v>0</v>
      </c>
      <c r="AU23" s="31">
        <v>1148.2833499999999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2">
        <f t="shared" si="11"/>
        <v>1148.2833499999999</v>
      </c>
      <c r="BK23" s="33">
        <f>BJ23+AM23+AL23+'11-2025'!$N23+AN23+AO23</f>
        <v>4684.3633499999996</v>
      </c>
      <c r="BL23" s="34">
        <f>'11-2025'!$O23</f>
        <v>4446.1538461538457</v>
      </c>
      <c r="BM23" s="34">
        <f t="shared" si="6"/>
        <v>833.65384615384608</v>
      </c>
      <c r="BN23" s="34">
        <f t="shared" si="7"/>
        <v>489.07692307692304</v>
      </c>
      <c r="BO23" s="34">
        <f t="shared" si="8"/>
        <v>1666.6666666666667</v>
      </c>
      <c r="BP23" s="35">
        <f t="shared" si="9"/>
        <v>2528.6197602564098</v>
      </c>
      <c r="BQ23" s="34">
        <f>IFERROR(BP23/'11-2025'!$J23,0)*12</f>
        <v>30343.437123076917</v>
      </c>
      <c r="BR23" s="34">
        <f>IF(BQ23&lt;=40000,0,
IF(BQ23&lt;=55000,(BQ23-40000)*10%,
IF(BQ23&lt;=70000,(BQ23-55000)*15%+1500,
IF(BQ23&lt;=200000,(BQ23-70000)*20%+1500+2250,
IF(BQ23&lt;=400000,(BQ23-200000)*22.5%+1500+2250+26000,
IF(BQ23&lt;=600000,(BQ23-400000)*25%+1500+2250+26000+45000,
IF(AND(BQ23&gt;600000,BQ23&lt;=1200000),(BQ23-400000)*25%+1500+2250+26000+45000
+IFERROR(LOOKUP(BQ23,{600001;700001;800001;900001},{4000;6750;10250;15250}),0),IF(BQ23&gt;1200000,((BQ23-1200000)*27.5%)+300000,0)
)))))))</f>
        <v>0</v>
      </c>
      <c r="BS23" s="32">
        <f>(BR23/12*'11-2025'!$J23)</f>
        <v>0</v>
      </c>
      <c r="BT23" s="33">
        <f>BS23-'11-2025'!$V23</f>
        <v>0</v>
      </c>
      <c r="BU23" s="32">
        <f>IFERROR(+'11-2025'!$W23+AL23+AM23+BJ23-'11-2025'!$AJ23-BT23+AN23+AO23,"")-AL23+AP23+AQ23</f>
        <v>4195.2864269230768</v>
      </c>
      <c r="BV23" s="36"/>
      <c r="BW23" s="37"/>
      <c r="BX23" s="37">
        <f t="shared" si="10"/>
        <v>4195.2864269230768</v>
      </c>
      <c r="BY23" s="37" t="s">
        <v>75</v>
      </c>
    </row>
    <row r="24" spans="1:78" x14ac:dyDescent="0.25">
      <c r="A24" s="21">
        <v>197</v>
      </c>
      <c r="B24" s="22" t="s">
        <v>119</v>
      </c>
      <c r="C24" s="22" t="s">
        <v>71</v>
      </c>
      <c r="D24" s="22" t="s">
        <v>72</v>
      </c>
      <c r="E24" s="22" t="s">
        <v>99</v>
      </c>
      <c r="F24" s="22" t="s">
        <v>86</v>
      </c>
      <c r="G24" s="23">
        <v>45234</v>
      </c>
      <c r="H24" s="23"/>
      <c r="I24" s="24">
        <v>29503120100816</v>
      </c>
      <c r="J24" s="25">
        <v>1</v>
      </c>
      <c r="K24" s="25">
        <v>3500</v>
      </c>
      <c r="L24" s="25"/>
      <c r="M24" s="26"/>
      <c r="N24" s="25">
        <f>SUM('11-2025'!$K24:$M24)</f>
        <v>3500</v>
      </c>
      <c r="O24" s="25">
        <v>3500</v>
      </c>
      <c r="P24" s="25">
        <f t="shared" si="0"/>
        <v>656.25</v>
      </c>
      <c r="Q24" s="25">
        <f t="shared" si="1"/>
        <v>385</v>
      </c>
      <c r="R24" s="25">
        <v>1666.6666666666667</v>
      </c>
      <c r="S24" s="27">
        <f t="shared" si="2"/>
        <v>1448.3333333333333</v>
      </c>
      <c r="T24" s="25">
        <f t="shared" si="3"/>
        <v>17380</v>
      </c>
      <c r="U24" s="25">
        <f>IF(T24&lt;=40000,0,
IF(T24&lt;=55000,(T24-40000)*10%,
IF(T24&lt;=70000,(T24-55000)*15%+1500,
IF(T24&lt;=200000,(T24-70000)*20%+1500+2250,
IF(T24&lt;=400000,(T24-200000)*22.5%+1500+2250+26000,
IF(T24&lt;=600000,(T24-400000)*25%+1500+2250+26000+45000,
IF(AND(T24&gt;600000,T24&lt;=1200000),(T24-400000)*25%+1500+2250+26000+45000
+IFERROR(LOOKUP(T24,{600001;700001;800001;900001},{4000;6750;10250;15250}),0),IF(T24&gt;1200000,((T24-1200000)*27.5%)+300000,0)
)))))))</f>
        <v>0</v>
      </c>
      <c r="V24" s="25">
        <f t="shared" si="4"/>
        <v>0</v>
      </c>
      <c r="W24" s="28">
        <f>+'11-2025'!$S24-'11-2025'!$V24+'11-2025'!$R24</f>
        <v>3115</v>
      </c>
      <c r="X24" s="28">
        <f t="shared" si="5"/>
        <v>103.83333333333333</v>
      </c>
      <c r="Y24" s="29">
        <v>0</v>
      </c>
      <c r="Z24" s="29">
        <f>IFERROR(+'11-2025'!$X24*'11-2025'!$Y24,"")</f>
        <v>0</v>
      </c>
      <c r="AA24" s="29">
        <v>0</v>
      </c>
      <c r="AB24" s="29">
        <f>IFERROR(+'11-2025'!$X24*'11-2025'!$AA24,"")</f>
        <v>0</v>
      </c>
      <c r="AC24" s="29">
        <v>0</v>
      </c>
      <c r="AD24" s="29">
        <f>IFERROR(+'11-2025'!$X24*'11-2025'!$AC24,"")</f>
        <v>0</v>
      </c>
      <c r="AE24" s="29">
        <v>0</v>
      </c>
      <c r="AF24" s="29">
        <f>IFERROR(+'11-2025'!$X24*'11-2025'!$AE24,"")</f>
        <v>0</v>
      </c>
      <c r="AG24" s="29">
        <v>0</v>
      </c>
      <c r="AH24" s="29">
        <f>IFERROR(+'11-2025'!$X24*'11-2025'!$AG24,"")</f>
        <v>0</v>
      </c>
      <c r="AI24" s="29">
        <v>1000</v>
      </c>
      <c r="AJ24" s="29">
        <f>IFERROR('11-2025'!$Z24+'11-2025'!$AB24+'11-2025'!$AD24+'11-2025'!$AF24+'11-2025'!$AH24+'11-2025'!$AI24,"")</f>
        <v>1000</v>
      </c>
      <c r="AK24" s="30">
        <f>IFERROR('11-2025'!$W24-'11-2025'!$AJ24,"")</f>
        <v>2115</v>
      </c>
      <c r="AL24" s="31"/>
      <c r="AM24" s="31">
        <v>500</v>
      </c>
      <c r="AN24" s="31"/>
      <c r="AO24" s="31">
        <v>80</v>
      </c>
      <c r="AP24" s="31"/>
      <c r="AQ24" s="31"/>
      <c r="AR24" s="31">
        <v>0</v>
      </c>
      <c r="AS24" s="31">
        <v>5465.3924999999999</v>
      </c>
      <c r="AT24" s="31">
        <v>0</v>
      </c>
      <c r="AU24" s="31">
        <v>0</v>
      </c>
      <c r="AV24" s="31">
        <v>0</v>
      </c>
      <c r="AW24" s="31">
        <v>0</v>
      </c>
      <c r="AX24" s="31">
        <v>0</v>
      </c>
      <c r="AY24" s="31">
        <v>0</v>
      </c>
      <c r="AZ24" s="31">
        <v>0</v>
      </c>
      <c r="BA24" s="31">
        <v>0</v>
      </c>
      <c r="BB24" s="31">
        <v>0</v>
      </c>
      <c r="BC24" s="31">
        <v>0</v>
      </c>
      <c r="BD24" s="31">
        <v>0</v>
      </c>
      <c r="BE24" s="31">
        <v>0</v>
      </c>
      <c r="BF24" s="31">
        <v>0</v>
      </c>
      <c r="BG24" s="31">
        <v>0</v>
      </c>
      <c r="BH24" s="31">
        <v>0</v>
      </c>
      <c r="BI24" s="31">
        <v>0</v>
      </c>
      <c r="BJ24" s="32">
        <f t="shared" si="11"/>
        <v>5465.3924999999999</v>
      </c>
      <c r="BK24" s="33">
        <f>BJ24+AM24+AL24+'11-2025'!$N24+AN24+AO24</f>
        <v>9545.3924999999999</v>
      </c>
      <c r="BL24" s="34">
        <f>'11-2025'!$O24</f>
        <v>3500</v>
      </c>
      <c r="BM24" s="34">
        <f t="shared" si="6"/>
        <v>656.25</v>
      </c>
      <c r="BN24" s="34">
        <f t="shared" si="7"/>
        <v>385</v>
      </c>
      <c r="BO24" s="34">
        <f t="shared" si="8"/>
        <v>1666.6666666666667</v>
      </c>
      <c r="BP24" s="35">
        <f t="shared" si="9"/>
        <v>7493.725833333333</v>
      </c>
      <c r="BQ24" s="34">
        <f>IFERROR(BP24/'11-2025'!$J24,0)*12</f>
        <v>89924.709999999992</v>
      </c>
      <c r="BR24" s="34">
        <f>IF(BQ24&lt;=40000,0,
IF(BQ24&lt;=55000,(BQ24-40000)*10%,
IF(BQ24&lt;=70000,(BQ24-55000)*15%+1500,
IF(BQ24&lt;=200000,(BQ24-70000)*20%+1500+2250,
IF(BQ24&lt;=400000,(BQ24-200000)*22.5%+1500+2250+26000,
IF(BQ24&lt;=600000,(BQ24-400000)*25%+1500+2250+26000+45000,
IF(AND(BQ24&gt;600000,BQ24&lt;=1200000),(BQ24-400000)*25%+1500+2250+26000+45000
+IFERROR(LOOKUP(BQ24,{600001;700001;800001;900001},{4000;6750;10250;15250}),0),IF(BQ24&gt;1200000,((BQ24-1200000)*27.5%)+300000,0)
)))))))</f>
        <v>7734.9419999999991</v>
      </c>
      <c r="BS24" s="32">
        <f>(BR24/12*'11-2025'!$J24)</f>
        <v>644.57849999999996</v>
      </c>
      <c r="BT24" s="33">
        <f>BS24-'11-2025'!$V24</f>
        <v>644.57849999999996</v>
      </c>
      <c r="BU24" s="32">
        <f>IFERROR(+'11-2025'!$W24+AL24+AM24+BJ24-'11-2025'!$AJ24-BT24+AN24+AO24,"")-AL24+AP24+AQ24</f>
        <v>7515.8140000000003</v>
      </c>
      <c r="BV24" s="36" t="s">
        <v>430</v>
      </c>
      <c r="BW24" s="37"/>
      <c r="BX24" s="37">
        <f t="shared" si="10"/>
        <v>7515.8140000000003</v>
      </c>
      <c r="BY24" s="37"/>
      <c r="BZ24" s="59"/>
    </row>
    <row r="25" spans="1:78" x14ac:dyDescent="0.25">
      <c r="A25" s="21">
        <v>215</v>
      </c>
      <c r="B25" s="22" t="s">
        <v>120</v>
      </c>
      <c r="C25" s="22" t="s">
        <v>71</v>
      </c>
      <c r="D25" s="22" t="s">
        <v>72</v>
      </c>
      <c r="E25" s="22" t="s">
        <v>88</v>
      </c>
      <c r="F25" s="22" t="s">
        <v>160</v>
      </c>
      <c r="G25" s="23">
        <v>45617</v>
      </c>
      <c r="H25" s="23"/>
      <c r="I25" s="24">
        <v>30503030106403</v>
      </c>
      <c r="J25" s="25">
        <v>1</v>
      </c>
      <c r="K25" s="25">
        <v>3214.5</v>
      </c>
      <c r="L25" s="25"/>
      <c r="M25" s="26"/>
      <c r="N25" s="25">
        <f>SUM('11-2025'!$K25:$M25)</f>
        <v>3214.5</v>
      </c>
      <c r="O25" s="25">
        <v>4250</v>
      </c>
      <c r="P25" s="25">
        <f t="shared" si="0"/>
        <v>796.875</v>
      </c>
      <c r="Q25" s="25">
        <f t="shared" si="1"/>
        <v>467.5</v>
      </c>
      <c r="R25" s="25">
        <v>1666.6666666666667</v>
      </c>
      <c r="S25" s="27">
        <f t="shared" si="2"/>
        <v>1080.3333333333333</v>
      </c>
      <c r="T25" s="25">
        <f t="shared" si="3"/>
        <v>12964</v>
      </c>
      <c r="U25" s="25">
        <f>IF(T25&lt;=40000,0,
IF(T25&lt;=55000,(T25-40000)*10%,
IF(T25&lt;=70000,(T25-55000)*15%+1500,
IF(T25&lt;=200000,(T25-70000)*20%+1500+2250,
IF(T25&lt;=400000,(T25-200000)*22.5%+1500+2250+26000,
IF(T25&lt;=600000,(T25-400000)*25%+1500+2250+26000+45000,
IF(AND(T25&gt;600000,T25&lt;=1200000),(T25-400000)*25%+1500+2250+26000+45000
+IFERROR(LOOKUP(T25,{600001;700001;800001;900001},{4000;6750;10250;15250}),0),IF(T25&gt;1200000,((T25-1200000)*27.5%)+300000,0)
)))))))</f>
        <v>0</v>
      </c>
      <c r="V25" s="25">
        <f t="shared" si="4"/>
        <v>0</v>
      </c>
      <c r="W25" s="28">
        <f>+'11-2025'!$S25-'11-2025'!$V25+'11-2025'!$R25</f>
        <v>2747</v>
      </c>
      <c r="X25" s="28">
        <f t="shared" si="5"/>
        <v>91.566666666666663</v>
      </c>
      <c r="Y25" s="29">
        <v>0</v>
      </c>
      <c r="Z25" s="29">
        <f>IFERROR(+'11-2025'!$X25*'11-2025'!$Y25,"")</f>
        <v>0</v>
      </c>
      <c r="AA25" s="29">
        <v>0</v>
      </c>
      <c r="AB25" s="29">
        <f>IFERROR(+'11-2025'!$X25*'11-2025'!$AA25,"")</f>
        <v>0</v>
      </c>
      <c r="AC25" s="29">
        <v>0</v>
      </c>
      <c r="AD25" s="29">
        <f>IFERROR(+'11-2025'!$X25*'11-2025'!$AC25,"")</f>
        <v>0</v>
      </c>
      <c r="AE25" s="29">
        <v>0</v>
      </c>
      <c r="AF25" s="29">
        <f>IFERROR(+'11-2025'!$X25*'11-2025'!$AE25,"")</f>
        <v>0</v>
      </c>
      <c r="AG25" s="29">
        <v>0</v>
      </c>
      <c r="AH25" s="29">
        <f>IFERROR(+'11-2025'!$X25*'11-2025'!$AG25,"")</f>
        <v>0</v>
      </c>
      <c r="AI25" s="29">
        <v>0</v>
      </c>
      <c r="AJ25" s="29">
        <f>IFERROR('11-2025'!$Z25+'11-2025'!$AB25+'11-2025'!$AD25+'11-2025'!$AF25+'11-2025'!$AH25+'11-2025'!$AI25,"")</f>
        <v>0</v>
      </c>
      <c r="AK25" s="30">
        <f>IFERROR('11-2025'!$W25-'11-2025'!$AJ25,"")</f>
        <v>2747</v>
      </c>
      <c r="AL25" s="31"/>
      <c r="AM25" s="31"/>
      <c r="AN25" s="31"/>
      <c r="AO25" s="31">
        <v>20</v>
      </c>
      <c r="AP25" s="31"/>
      <c r="AQ25" s="31"/>
      <c r="AR25" s="31">
        <v>0</v>
      </c>
      <c r="AS25" s="31">
        <v>0</v>
      </c>
      <c r="AT25" s="31">
        <v>0</v>
      </c>
      <c r="AU25" s="31">
        <v>1106.3819999999998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0</v>
      </c>
      <c r="BG25" s="31">
        <v>0</v>
      </c>
      <c r="BH25" s="31">
        <v>0</v>
      </c>
      <c r="BI25" s="31">
        <v>0</v>
      </c>
      <c r="BJ25" s="32">
        <f t="shared" si="11"/>
        <v>1106.3819999999998</v>
      </c>
      <c r="BK25" s="33">
        <f>BJ25+AM25+AL25+'11-2025'!$N25+AN25+AO25</f>
        <v>4340.8819999999996</v>
      </c>
      <c r="BL25" s="34">
        <f>'11-2025'!$O25</f>
        <v>4250</v>
      </c>
      <c r="BM25" s="34">
        <f t="shared" si="6"/>
        <v>796.875</v>
      </c>
      <c r="BN25" s="34">
        <f t="shared" si="7"/>
        <v>467.5</v>
      </c>
      <c r="BO25" s="34">
        <f t="shared" si="8"/>
        <v>1666.6666666666667</v>
      </c>
      <c r="BP25" s="35">
        <f t="shared" si="9"/>
        <v>2206.7153333333326</v>
      </c>
      <c r="BQ25" s="34">
        <f>IFERROR(BP25/'11-2025'!$J25,0)*12</f>
        <v>26480.583999999992</v>
      </c>
      <c r="BR25" s="34">
        <f>IF(BQ25&lt;=40000,0,
IF(BQ25&lt;=55000,(BQ25-40000)*10%,
IF(BQ25&lt;=70000,(BQ25-55000)*15%+1500,
IF(BQ25&lt;=200000,(BQ25-70000)*20%+1500+2250,
IF(BQ25&lt;=400000,(BQ25-200000)*22.5%+1500+2250+26000,
IF(BQ25&lt;=600000,(BQ25-400000)*25%+1500+2250+26000+45000,
IF(AND(BQ25&gt;600000,BQ25&lt;=1200000),(BQ25-400000)*25%+1500+2250+26000+45000
+IFERROR(LOOKUP(BQ25,{600001;700001;800001;900001},{4000;6750;10250;15250}),0),IF(BQ25&gt;1200000,((BQ25-1200000)*27.5%)+300000,0)
)))))))</f>
        <v>0</v>
      </c>
      <c r="BS25" s="32">
        <f>(BR25/12*'11-2025'!$J25)</f>
        <v>0</v>
      </c>
      <c r="BT25" s="33">
        <f>BS25-'11-2025'!$V25</f>
        <v>0</v>
      </c>
      <c r="BU25" s="32">
        <f>IFERROR(+'11-2025'!$W25+AL25+AM25+BJ25-'11-2025'!$AJ25-BT25+AN25+AO25,"")-AL25+AP25+AQ25</f>
        <v>3873.3819999999996</v>
      </c>
      <c r="BV25" s="36"/>
      <c r="BW25" s="37"/>
      <c r="BX25" s="37">
        <f t="shared" si="10"/>
        <v>3873.3819999999996</v>
      </c>
      <c r="BY25" s="37"/>
    </row>
    <row r="26" spans="1:78" x14ac:dyDescent="0.25">
      <c r="A26" s="21">
        <v>223</v>
      </c>
      <c r="B26" s="22" t="s">
        <v>121</v>
      </c>
      <c r="C26" s="22" t="s">
        <v>81</v>
      </c>
      <c r="D26" s="22" t="s">
        <v>72</v>
      </c>
      <c r="E26" s="22" t="s">
        <v>321</v>
      </c>
      <c r="F26" s="22" t="s">
        <v>86</v>
      </c>
      <c r="G26" s="23">
        <v>45266</v>
      </c>
      <c r="H26" s="23"/>
      <c r="I26" s="24">
        <v>28107120200563</v>
      </c>
      <c r="J26" s="25">
        <v>1</v>
      </c>
      <c r="K26" s="25">
        <v>3000</v>
      </c>
      <c r="L26" s="25"/>
      <c r="M26" s="26"/>
      <c r="N26" s="25">
        <f>SUM('11-2025'!$K26:$M26)</f>
        <v>3000</v>
      </c>
      <c r="O26" s="25"/>
      <c r="P26" s="25">
        <f t="shared" si="0"/>
        <v>0</v>
      </c>
      <c r="Q26" s="25">
        <f t="shared" si="1"/>
        <v>0</v>
      </c>
      <c r="R26" s="25">
        <v>1666.6666666666667</v>
      </c>
      <c r="S26" s="27">
        <f t="shared" si="2"/>
        <v>1333.3333333333333</v>
      </c>
      <c r="T26" s="25">
        <f t="shared" si="3"/>
        <v>16000</v>
      </c>
      <c r="U26" s="25">
        <f>IF(T26&lt;=40000,0,
IF(T26&lt;=55000,(T26-40000)*10%,
IF(T26&lt;=70000,(T26-55000)*15%+1500,
IF(T26&lt;=200000,(T26-70000)*20%+1500+2250,
IF(T26&lt;=400000,(T26-200000)*22.5%+1500+2250+26000,
IF(T26&lt;=600000,(T26-400000)*25%+1500+2250+26000+45000,
IF(AND(T26&gt;600000,T26&lt;=1200000),(T26-400000)*25%+1500+2250+26000+45000
+IFERROR(LOOKUP(T26,{600001;700001;800001;900001},{4000;6750;10250;15250}),0),IF(T26&gt;1200000,((T26-1200000)*27.5%)+300000,0)
)))))))</f>
        <v>0</v>
      </c>
      <c r="V26" s="25">
        <f t="shared" si="4"/>
        <v>0</v>
      </c>
      <c r="W26" s="28">
        <f>+'11-2025'!$S26-'11-2025'!$V26+'11-2025'!$R26</f>
        <v>3000</v>
      </c>
      <c r="X26" s="28">
        <f t="shared" si="5"/>
        <v>100</v>
      </c>
      <c r="Y26" s="29">
        <v>0</v>
      </c>
      <c r="Z26" s="29">
        <f>IFERROR(+'11-2025'!$X26*'11-2025'!$Y26,"")</f>
        <v>0</v>
      </c>
      <c r="AA26" s="29">
        <v>0</v>
      </c>
      <c r="AB26" s="29">
        <f>IFERROR(+'11-2025'!$X26*'11-2025'!$AA26,"")</f>
        <v>0</v>
      </c>
      <c r="AC26" s="29">
        <v>0</v>
      </c>
      <c r="AD26" s="29">
        <f>IFERROR(+'11-2025'!$X26*'11-2025'!$AC26,"")</f>
        <v>0</v>
      </c>
      <c r="AE26" s="29">
        <v>0</v>
      </c>
      <c r="AF26" s="29">
        <f>IFERROR(+'11-2025'!$X26*'11-2025'!$AE26,"")</f>
        <v>0</v>
      </c>
      <c r="AG26" s="29">
        <v>0</v>
      </c>
      <c r="AH26" s="29">
        <f>IFERROR(+'11-2025'!$X26*'11-2025'!$AG26,"")</f>
        <v>0</v>
      </c>
      <c r="AI26" s="29">
        <v>0</v>
      </c>
      <c r="AJ26" s="29">
        <f>IFERROR('11-2025'!$Z26+'11-2025'!$AB26+'11-2025'!$AD26+'11-2025'!$AF26+'11-2025'!$AH26+'11-2025'!$AI26,"")</f>
        <v>0</v>
      </c>
      <c r="AK26" s="30">
        <f>IFERROR('11-2025'!$W26-'11-2025'!$AJ26,"")</f>
        <v>3000</v>
      </c>
      <c r="AL26" s="31"/>
      <c r="AM26" s="31"/>
      <c r="AN26" s="31"/>
      <c r="AO26" s="31">
        <v>560</v>
      </c>
      <c r="AP26" s="31"/>
      <c r="AQ26" s="31"/>
      <c r="AR26" s="31">
        <v>1641.6689000000001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2">
        <f t="shared" si="11"/>
        <v>1641.6689000000001</v>
      </c>
      <c r="BK26" s="33">
        <f>BJ26+AM26+AL26+'11-2025'!$N26+AN26+AO26</f>
        <v>5201.6689000000006</v>
      </c>
      <c r="BL26" s="34">
        <f>'11-2025'!$O26</f>
        <v>0</v>
      </c>
      <c r="BM26" s="34">
        <f t="shared" si="6"/>
        <v>0</v>
      </c>
      <c r="BN26" s="34">
        <f t="shared" si="7"/>
        <v>0</v>
      </c>
      <c r="BO26" s="34">
        <f t="shared" si="8"/>
        <v>1666.6666666666667</v>
      </c>
      <c r="BP26" s="35">
        <f t="shared" si="9"/>
        <v>3535.0022333333336</v>
      </c>
      <c r="BQ26" s="34">
        <f>IFERROR(BP26/'11-2025'!$J26,0)*12</f>
        <v>42420.026800000007</v>
      </c>
      <c r="BR26" s="34">
        <f>IF(BQ26&lt;=40000,0,
IF(BQ26&lt;=55000,(BQ26-40000)*10%,
IF(BQ26&lt;=70000,(BQ26-55000)*15%+1500,
IF(BQ26&lt;=200000,(BQ26-70000)*20%+1500+2250,
IF(BQ26&lt;=400000,(BQ26-200000)*22.5%+1500+2250+26000,
IF(BQ26&lt;=600000,(BQ26-400000)*25%+1500+2250+26000+45000,
IF(AND(BQ26&gt;600000,BQ26&lt;=1200000),(BQ26-400000)*25%+1500+2250+26000+45000
+IFERROR(LOOKUP(BQ26,{600001;700001;800001;900001},{4000;6750;10250;15250}),0),IF(BQ26&gt;1200000,((BQ26-1200000)*27.5%)+300000,0)
)))))))</f>
        <v>242.00268000000071</v>
      </c>
      <c r="BS26" s="32">
        <f>(BR26/12*'11-2025'!$J26)</f>
        <v>20.166890000000059</v>
      </c>
      <c r="BT26" s="33">
        <f>BS26-'11-2025'!$V26</f>
        <v>20.166890000000059</v>
      </c>
      <c r="BU26" s="32">
        <f>IFERROR(+'11-2025'!$W26+AL26+AM26+BJ26-'11-2025'!$AJ26-BT26+AN26+AO26,"")-AL26+AP26+AQ26</f>
        <v>5181.5020100000002</v>
      </c>
      <c r="BV26" s="36"/>
      <c r="BW26" s="37"/>
      <c r="BX26" s="37">
        <f t="shared" si="10"/>
        <v>5181.5020100000002</v>
      </c>
      <c r="BY26" s="37"/>
    </row>
    <row r="27" spans="1:78" x14ac:dyDescent="0.25">
      <c r="A27" s="21">
        <v>238</v>
      </c>
      <c r="B27" s="22" t="s">
        <v>122</v>
      </c>
      <c r="C27" s="22" t="s">
        <v>71</v>
      </c>
      <c r="D27" s="22" t="s">
        <v>72</v>
      </c>
      <c r="E27" s="22" t="s">
        <v>60</v>
      </c>
      <c r="F27" s="22" t="s">
        <v>139</v>
      </c>
      <c r="G27" s="23">
        <v>45385</v>
      </c>
      <c r="H27" s="23"/>
      <c r="I27" s="24">
        <v>30412130100296</v>
      </c>
      <c r="J27" s="25">
        <v>1</v>
      </c>
      <c r="K27" s="25">
        <v>3500</v>
      </c>
      <c r="L27" s="25"/>
      <c r="M27" s="26"/>
      <c r="N27" s="25">
        <f>SUM('11-2025'!$K27:$M27)</f>
        <v>3500</v>
      </c>
      <c r="O27" s="25">
        <v>3500</v>
      </c>
      <c r="P27" s="25">
        <f t="shared" si="0"/>
        <v>656.25</v>
      </c>
      <c r="Q27" s="25">
        <f t="shared" si="1"/>
        <v>385</v>
      </c>
      <c r="R27" s="25">
        <v>1666.6666666666667</v>
      </c>
      <c r="S27" s="27">
        <f t="shared" si="2"/>
        <v>1448.3333333333333</v>
      </c>
      <c r="T27" s="25">
        <f t="shared" si="3"/>
        <v>17380</v>
      </c>
      <c r="U27" s="25">
        <f>IF(T27&lt;=40000,0,
IF(T27&lt;=55000,(T27-40000)*10%,
IF(T27&lt;=70000,(T27-55000)*15%+1500,
IF(T27&lt;=200000,(T27-70000)*20%+1500+2250,
IF(T27&lt;=400000,(T27-200000)*22.5%+1500+2250+26000,
IF(T27&lt;=600000,(T27-400000)*25%+1500+2250+26000+45000,
IF(AND(T27&gt;600000,T27&lt;=1200000),(T27-400000)*25%+1500+2250+26000+45000
+IFERROR(LOOKUP(T27,{600001;700001;800001;900001},{4000;6750;10250;15250}),0),IF(T27&gt;1200000,((T27-1200000)*27.5%)+300000,0)
)))))))</f>
        <v>0</v>
      </c>
      <c r="V27" s="25">
        <f t="shared" si="4"/>
        <v>0</v>
      </c>
      <c r="W27" s="28">
        <f>+'11-2025'!$S27-'11-2025'!$V27+'11-2025'!$R27</f>
        <v>3115</v>
      </c>
      <c r="X27" s="28">
        <f t="shared" si="5"/>
        <v>103.83333333333333</v>
      </c>
      <c r="Y27" s="29">
        <v>0</v>
      </c>
      <c r="Z27" s="29">
        <f>IFERROR(+'11-2025'!$X27*'11-2025'!$Y27,"")</f>
        <v>0</v>
      </c>
      <c r="AA27" s="29">
        <v>0</v>
      </c>
      <c r="AB27" s="29">
        <f>IFERROR(+'11-2025'!$X27*'11-2025'!$AA27,"")</f>
        <v>0</v>
      </c>
      <c r="AC27" s="29">
        <v>0</v>
      </c>
      <c r="AD27" s="29">
        <f>IFERROR(+'11-2025'!$X27*'11-2025'!$AC27,"")</f>
        <v>0</v>
      </c>
      <c r="AE27" s="29">
        <v>0</v>
      </c>
      <c r="AF27" s="29">
        <f>IFERROR(+'11-2025'!$X27*'11-2025'!$AE27,"")</f>
        <v>0</v>
      </c>
      <c r="AG27" s="29">
        <v>0</v>
      </c>
      <c r="AH27" s="29">
        <f>IFERROR(+'11-2025'!$X27*'11-2025'!$AG27,"")</f>
        <v>0</v>
      </c>
      <c r="AI27" s="29">
        <v>500</v>
      </c>
      <c r="AJ27" s="29">
        <f>IFERROR('11-2025'!$Z27+'11-2025'!$AB27+'11-2025'!$AD27+'11-2025'!$AF27+'11-2025'!$AH27+'11-2025'!$AI27,"")</f>
        <v>500</v>
      </c>
      <c r="AK27" s="30">
        <f>IFERROR('11-2025'!$W27-'11-2025'!$AJ27,"")</f>
        <v>2615</v>
      </c>
      <c r="AL27" s="31"/>
      <c r="AM27" s="31">
        <v>500</v>
      </c>
      <c r="AN27" s="31"/>
      <c r="AO27" s="31">
        <v>20</v>
      </c>
      <c r="AP27" s="31"/>
      <c r="AQ27" s="31"/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240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6099.2905499999997</v>
      </c>
      <c r="BH27" s="31">
        <v>0</v>
      </c>
      <c r="BI27" s="31">
        <v>0</v>
      </c>
      <c r="BJ27" s="32">
        <f t="shared" si="11"/>
        <v>6339.2905499999997</v>
      </c>
      <c r="BK27" s="33">
        <f>BJ27+AM27+AL27+'11-2025'!$N27+AN27+AO27</f>
        <v>10359.29055</v>
      </c>
      <c r="BL27" s="34">
        <f>'11-2025'!$O27</f>
        <v>3500</v>
      </c>
      <c r="BM27" s="34">
        <f t="shared" si="6"/>
        <v>656.25</v>
      </c>
      <c r="BN27" s="34">
        <f t="shared" si="7"/>
        <v>385</v>
      </c>
      <c r="BO27" s="34">
        <f t="shared" si="8"/>
        <v>1666.6666666666667</v>
      </c>
      <c r="BP27" s="35">
        <f t="shared" si="9"/>
        <v>8307.6238833333337</v>
      </c>
      <c r="BQ27" s="34">
        <f>IFERROR(BP27/'11-2025'!$J27,0)*12</f>
        <v>99691.486600000004</v>
      </c>
      <c r="BR27" s="34">
        <f>IF(BQ27&lt;=40000,0,
IF(BQ27&lt;=55000,(BQ27-40000)*10%,
IF(BQ27&lt;=70000,(BQ27-55000)*15%+1500,
IF(BQ27&lt;=200000,(BQ27-70000)*20%+1500+2250,
IF(BQ27&lt;=400000,(BQ27-200000)*22.5%+1500+2250+26000,
IF(BQ27&lt;=600000,(BQ27-400000)*25%+1500+2250+26000+45000,
IF(AND(BQ27&gt;600000,BQ27&lt;=1200000),(BQ27-400000)*25%+1500+2250+26000+45000
+IFERROR(LOOKUP(BQ27,{600001;700001;800001;900001},{4000;6750;10250;15250}),0),IF(BQ27&gt;1200000,((BQ27-1200000)*27.5%)+300000,0)
)))))))</f>
        <v>9688.2973200000015</v>
      </c>
      <c r="BS27" s="32">
        <f>(BR27/12*'11-2025'!$J27)</f>
        <v>807.35811000000012</v>
      </c>
      <c r="BT27" s="33">
        <f>BS27-'11-2025'!$V27</f>
        <v>807.35811000000012</v>
      </c>
      <c r="BU27" s="32">
        <f>IFERROR(+'11-2025'!$W27+AL27+AM27+BJ27-'11-2025'!$AJ27-BT27+AN27+AO27,"")-AL27+AP27+AQ27</f>
        <v>8666.9324400000005</v>
      </c>
      <c r="BV27" s="36" t="s">
        <v>430</v>
      </c>
      <c r="BW27" s="37"/>
      <c r="BX27" s="37">
        <f t="shared" si="10"/>
        <v>8666.9324400000005</v>
      </c>
      <c r="BY27" s="37"/>
      <c r="BZ27" s="59"/>
    </row>
    <row r="28" spans="1:78" x14ac:dyDescent="0.25">
      <c r="A28" s="21">
        <v>239</v>
      </c>
      <c r="B28" s="22" t="s">
        <v>123</v>
      </c>
      <c r="C28" s="22" t="s">
        <v>81</v>
      </c>
      <c r="D28" s="22" t="s">
        <v>72</v>
      </c>
      <c r="E28" s="22" t="s">
        <v>321</v>
      </c>
      <c r="F28" s="22" t="s">
        <v>86</v>
      </c>
      <c r="G28" s="23">
        <v>45295</v>
      </c>
      <c r="H28" s="23"/>
      <c r="I28" s="24">
        <v>30405030105677</v>
      </c>
      <c r="J28" s="25">
        <v>1</v>
      </c>
      <c r="K28" s="25">
        <v>3750.46</v>
      </c>
      <c r="L28" s="25"/>
      <c r="M28" s="26"/>
      <c r="N28" s="25">
        <f>SUM('11-2025'!$K28:$M28)</f>
        <v>3750.46</v>
      </c>
      <c r="O28" s="25">
        <v>4576.9230769230771</v>
      </c>
      <c r="P28" s="25">
        <f t="shared" si="0"/>
        <v>858.17307692307691</v>
      </c>
      <c r="Q28" s="25">
        <f t="shared" si="1"/>
        <v>503.46153846153851</v>
      </c>
      <c r="R28" s="25">
        <v>1666.6666666666667</v>
      </c>
      <c r="S28" s="27">
        <f t="shared" si="2"/>
        <v>1580.3317948717947</v>
      </c>
      <c r="T28" s="25">
        <f t="shared" si="3"/>
        <v>18963.981538461536</v>
      </c>
      <c r="U28" s="25">
        <f>IF(T28&lt;=40000,0,
IF(T28&lt;=55000,(T28-40000)*10%,
IF(T28&lt;=70000,(T28-55000)*15%+1500,
IF(T28&lt;=200000,(T28-70000)*20%+1500+2250,
IF(T28&lt;=400000,(T28-200000)*22.5%+1500+2250+26000,
IF(T28&lt;=600000,(T28-400000)*25%+1500+2250+26000+45000,
IF(AND(T28&gt;600000,T28&lt;=1200000),(T28-400000)*25%+1500+2250+26000+45000
+IFERROR(LOOKUP(T28,{600001;700001;800001;900001},{4000;6750;10250;15250}),0),IF(T28&gt;1200000,((T28-1200000)*27.5%)+300000,0)
)))))))</f>
        <v>0</v>
      </c>
      <c r="V28" s="25">
        <f t="shared" si="4"/>
        <v>0</v>
      </c>
      <c r="W28" s="28">
        <f>+'11-2025'!$S28-'11-2025'!$V28+'11-2025'!$R28</f>
        <v>3246.9984615384615</v>
      </c>
      <c r="X28" s="28">
        <f t="shared" si="5"/>
        <v>108.23328205128205</v>
      </c>
      <c r="Y28" s="29">
        <v>0</v>
      </c>
      <c r="Z28" s="29">
        <f>IFERROR(+'11-2025'!$X28*'11-2025'!$Y28,"")</f>
        <v>0</v>
      </c>
      <c r="AA28" s="29">
        <v>0</v>
      </c>
      <c r="AB28" s="29">
        <f>IFERROR(+'11-2025'!$X28*'11-2025'!$AA28,"")</f>
        <v>0</v>
      </c>
      <c r="AC28" s="29">
        <v>0</v>
      </c>
      <c r="AD28" s="29">
        <f>IFERROR(+'11-2025'!$X28*'11-2025'!$AC28,"")</f>
        <v>0</v>
      </c>
      <c r="AE28" s="29">
        <v>0</v>
      </c>
      <c r="AF28" s="29">
        <f>IFERROR(+'11-2025'!$X28*'11-2025'!$AE28,"")</f>
        <v>0</v>
      </c>
      <c r="AG28" s="29">
        <v>0</v>
      </c>
      <c r="AH28" s="29">
        <f>IFERROR(+'11-2025'!$X28*'11-2025'!$AG28,"")</f>
        <v>0</v>
      </c>
      <c r="AI28" s="29">
        <v>200</v>
      </c>
      <c r="AJ28" s="29">
        <f>IFERROR('11-2025'!$Z28+'11-2025'!$AB28+'11-2025'!$AD28+'11-2025'!$AF28+'11-2025'!$AH28+'11-2025'!$AI28,"")</f>
        <v>200</v>
      </c>
      <c r="AK28" s="30">
        <f>IFERROR('11-2025'!$W28-'11-2025'!$AJ28,"")</f>
        <v>3046.9984615384615</v>
      </c>
      <c r="AL28" s="31"/>
      <c r="AM28" s="31">
        <v>2500</v>
      </c>
      <c r="AN28" s="31"/>
      <c r="AO28" s="31">
        <v>240</v>
      </c>
      <c r="AP28" s="31"/>
      <c r="AQ28" s="31"/>
      <c r="AR28" s="31">
        <v>0</v>
      </c>
      <c r="AS28" s="31">
        <v>0</v>
      </c>
      <c r="AT28" s="31">
        <v>0</v>
      </c>
      <c r="AU28" s="31">
        <v>0</v>
      </c>
      <c r="AV28" s="31">
        <v>6184.921150000001</v>
      </c>
      <c r="AW28" s="31">
        <v>0</v>
      </c>
      <c r="AX28" s="31">
        <v>0</v>
      </c>
      <c r="AY28" s="31">
        <v>0</v>
      </c>
      <c r="AZ28" s="31">
        <v>0</v>
      </c>
      <c r="BA28" s="31">
        <v>0</v>
      </c>
      <c r="BB28" s="31">
        <v>0</v>
      </c>
      <c r="BC28" s="31">
        <v>0</v>
      </c>
      <c r="BD28" s="31">
        <v>0</v>
      </c>
      <c r="BE28" s="31">
        <v>0</v>
      </c>
      <c r="BF28" s="31">
        <v>0</v>
      </c>
      <c r="BG28" s="31">
        <v>0</v>
      </c>
      <c r="BH28" s="31">
        <v>0</v>
      </c>
      <c r="BI28" s="31">
        <v>0</v>
      </c>
      <c r="BJ28" s="32">
        <f t="shared" si="11"/>
        <v>6184.921150000001</v>
      </c>
      <c r="BK28" s="33">
        <f>BJ28+AM28+AL28+'11-2025'!$N28+AN28+AO28</f>
        <v>12675.381150000001</v>
      </c>
      <c r="BL28" s="34">
        <f>'11-2025'!$O28</f>
        <v>4576.9230769230771</v>
      </c>
      <c r="BM28" s="34">
        <f t="shared" si="6"/>
        <v>858.17307692307691</v>
      </c>
      <c r="BN28" s="34">
        <f t="shared" si="7"/>
        <v>503.46153846153851</v>
      </c>
      <c r="BO28" s="34">
        <f t="shared" si="8"/>
        <v>1666.6666666666667</v>
      </c>
      <c r="BP28" s="35">
        <f t="shared" si="9"/>
        <v>10505.252944871796</v>
      </c>
      <c r="BQ28" s="34">
        <f>IFERROR(BP28/'11-2025'!$J28,0)*12</f>
        <v>126063.03533846154</v>
      </c>
      <c r="BR28" s="34">
        <f>IF(BQ28&lt;=40000,0,
IF(BQ28&lt;=55000,(BQ28-40000)*10%,
IF(BQ28&lt;=70000,(BQ28-55000)*15%+1500,
IF(BQ28&lt;=200000,(BQ28-70000)*20%+1500+2250,
IF(BQ28&lt;=400000,(BQ28-200000)*22.5%+1500+2250+26000,
IF(BQ28&lt;=600000,(BQ28-400000)*25%+1500+2250+26000+45000,
IF(AND(BQ28&gt;600000,BQ28&lt;=1200000),(BQ28-400000)*25%+1500+2250+26000+45000
+IFERROR(LOOKUP(BQ28,{600001;700001;800001;900001},{4000;6750;10250;15250}),0),IF(BQ28&gt;1200000,((BQ28-1200000)*27.5%)+300000,0)
)))))))</f>
        <v>14962.60706769231</v>
      </c>
      <c r="BS28" s="32">
        <f>(BR28/12*'11-2025'!$J28)</f>
        <v>1246.8839223076925</v>
      </c>
      <c r="BT28" s="33">
        <f>BS28-'11-2025'!$V28</f>
        <v>1246.8839223076925</v>
      </c>
      <c r="BU28" s="32">
        <f>IFERROR(+'11-2025'!$W28+AL28+AM28+BJ28-'11-2025'!$AJ28-BT28+AN28+AO28,"")-AL28+AP28+AQ28</f>
        <v>10725.03568923077</v>
      </c>
      <c r="BV28" s="36" t="s">
        <v>426</v>
      </c>
      <c r="BW28" s="37"/>
      <c r="BX28" s="37">
        <f t="shared" si="10"/>
        <v>10725.03568923077</v>
      </c>
      <c r="BY28" s="37"/>
      <c r="BZ28" s="59"/>
    </row>
    <row r="29" spans="1:78" x14ac:dyDescent="0.25">
      <c r="A29" s="21">
        <v>258</v>
      </c>
      <c r="B29" s="22" t="s">
        <v>125</v>
      </c>
      <c r="C29" s="22" t="s">
        <v>81</v>
      </c>
      <c r="D29" s="22" t="s">
        <v>72</v>
      </c>
      <c r="E29" s="22" t="s">
        <v>124</v>
      </c>
      <c r="F29" s="22" t="s">
        <v>89</v>
      </c>
      <c r="G29" s="23">
        <v>45330</v>
      </c>
      <c r="H29" s="23"/>
      <c r="I29" s="24">
        <v>30005070100726</v>
      </c>
      <c r="J29" s="25">
        <v>1</v>
      </c>
      <c r="K29" s="25">
        <v>5322.38</v>
      </c>
      <c r="L29" s="25"/>
      <c r="M29" s="26"/>
      <c r="N29" s="25">
        <f>SUM('11-2025'!$K29:$M29)</f>
        <v>5322.38</v>
      </c>
      <c r="O29" s="25">
        <v>5230.7692307692305</v>
      </c>
      <c r="P29" s="25">
        <f t="shared" si="0"/>
        <v>980.76923076923072</v>
      </c>
      <c r="Q29" s="25">
        <f t="shared" si="1"/>
        <v>575.38461538461536</v>
      </c>
      <c r="R29" s="25">
        <v>1666.6666666666667</v>
      </c>
      <c r="S29" s="27">
        <f t="shared" si="2"/>
        <v>3080.3287179487179</v>
      </c>
      <c r="T29" s="25">
        <f t="shared" si="3"/>
        <v>36963.944615384615</v>
      </c>
      <c r="U29" s="25">
        <f>IF(T29&lt;=40000,0,
IF(T29&lt;=55000,(T29-40000)*10%,
IF(T29&lt;=70000,(T29-55000)*15%+1500,
IF(T29&lt;=200000,(T29-70000)*20%+1500+2250,
IF(T29&lt;=400000,(T29-200000)*22.5%+1500+2250+26000,
IF(T29&lt;=600000,(T29-400000)*25%+1500+2250+26000+45000,
IF(AND(T29&gt;600000,T29&lt;=1200000),(T29-400000)*25%+1500+2250+26000+45000
+IFERROR(LOOKUP(T29,{600001;700001;800001;900001},{4000;6750;10250;15250}),0),IF(T29&gt;1200000,((T29-1200000)*27.5%)+300000,0)
)))))))</f>
        <v>0</v>
      </c>
      <c r="V29" s="25">
        <f t="shared" si="4"/>
        <v>0</v>
      </c>
      <c r="W29" s="28">
        <f>+'11-2025'!$S29-'11-2025'!$V29+'11-2025'!$R29</f>
        <v>4746.9953846153849</v>
      </c>
      <c r="X29" s="28">
        <f t="shared" si="5"/>
        <v>158.23317948717948</v>
      </c>
      <c r="Y29" s="29">
        <v>0</v>
      </c>
      <c r="Z29" s="29">
        <f>IFERROR(+'11-2025'!$X29*'11-2025'!$Y29,"")</f>
        <v>0</v>
      </c>
      <c r="AA29" s="29">
        <v>0</v>
      </c>
      <c r="AB29" s="29">
        <f>IFERROR(+'11-2025'!$X29*'11-2025'!$AA29,"")</f>
        <v>0</v>
      </c>
      <c r="AC29" s="29">
        <v>0</v>
      </c>
      <c r="AD29" s="29">
        <f>IFERROR(+'11-2025'!$X29*'11-2025'!$AC29,"")</f>
        <v>0</v>
      </c>
      <c r="AE29" s="29">
        <v>0</v>
      </c>
      <c r="AF29" s="29">
        <f>IFERROR(+'11-2025'!$X29*'11-2025'!$AE29,"")</f>
        <v>0</v>
      </c>
      <c r="AG29" s="29">
        <v>0</v>
      </c>
      <c r="AH29" s="29">
        <f>IFERROR(+'11-2025'!$X29*'11-2025'!$AG29,"")</f>
        <v>0</v>
      </c>
      <c r="AI29" s="29">
        <v>0</v>
      </c>
      <c r="AJ29" s="29">
        <f>IFERROR('11-2025'!$Z29+'11-2025'!$AB29+'11-2025'!$AD29+'11-2025'!$AF29+'11-2025'!$AH29+'11-2025'!$AI29,"")</f>
        <v>0</v>
      </c>
      <c r="AK29" s="30">
        <f>IFERROR('11-2025'!$W29-'11-2025'!$AJ29,"")</f>
        <v>4746.9953846153849</v>
      </c>
      <c r="AL29" s="31"/>
      <c r="AM29" s="31">
        <v>1500</v>
      </c>
      <c r="AN29" s="31"/>
      <c r="AO29" s="31">
        <v>140</v>
      </c>
      <c r="AP29" s="31"/>
      <c r="AQ29" s="31"/>
      <c r="AR29" s="31">
        <v>0</v>
      </c>
      <c r="AS29" s="31">
        <v>0</v>
      </c>
      <c r="AT29" s="31">
        <v>0</v>
      </c>
      <c r="AU29" s="31">
        <v>0</v>
      </c>
      <c r="AV29" s="31">
        <v>2268.11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2">
        <f t="shared" si="11"/>
        <v>2268.11</v>
      </c>
      <c r="BK29" s="33">
        <f>BJ29+AM29+AL29+'11-2025'!$N29+AN29+AO29</f>
        <v>9230.49</v>
      </c>
      <c r="BL29" s="34">
        <f>'11-2025'!$O29</f>
        <v>5230.7692307692305</v>
      </c>
      <c r="BM29" s="34">
        <f t="shared" si="6"/>
        <v>980.76923076923072</v>
      </c>
      <c r="BN29" s="34">
        <f t="shared" si="7"/>
        <v>575.38461538461536</v>
      </c>
      <c r="BO29" s="34">
        <f t="shared" si="8"/>
        <v>1666.6666666666667</v>
      </c>
      <c r="BP29" s="35">
        <f t="shared" si="9"/>
        <v>6988.4387179487176</v>
      </c>
      <c r="BQ29" s="34">
        <f>IFERROR(BP29/'11-2025'!$J29,0)*12</f>
        <v>83861.264615384614</v>
      </c>
      <c r="BR29" s="34">
        <f>IF(BQ29&lt;=40000,0,
IF(BQ29&lt;=55000,(BQ29-40000)*10%,
IF(BQ29&lt;=70000,(BQ29-55000)*15%+1500,
IF(BQ29&lt;=200000,(BQ29-70000)*20%+1500+2250,
IF(BQ29&lt;=400000,(BQ29-200000)*22.5%+1500+2250+26000,
IF(BQ29&lt;=600000,(BQ29-400000)*25%+1500+2250+26000+45000,
IF(AND(BQ29&gt;600000,BQ29&lt;=1200000),(BQ29-400000)*25%+1500+2250+26000+45000
+IFERROR(LOOKUP(BQ29,{600001;700001;800001;900001},{4000;6750;10250;15250}),0),IF(BQ29&gt;1200000,((BQ29-1200000)*27.5%)+300000,0)
)))))))</f>
        <v>6522.2529230769233</v>
      </c>
      <c r="BS29" s="32">
        <f>(BR29/12*'11-2025'!$J29)</f>
        <v>543.52107692307698</v>
      </c>
      <c r="BT29" s="33">
        <f>BS29-'11-2025'!$V29</f>
        <v>543.52107692307698</v>
      </c>
      <c r="BU29" s="32">
        <f>IFERROR(+'11-2025'!$W29+AL29+AM29+BJ29-'11-2025'!$AJ29-BT29+AN29+AO29,"")-AL29+AP29+AQ29</f>
        <v>8111.5843076923074</v>
      </c>
      <c r="BV29" s="36" t="s">
        <v>428</v>
      </c>
      <c r="BW29" s="37"/>
      <c r="BX29" s="37">
        <f t="shared" si="10"/>
        <v>8111.5843076923074</v>
      </c>
      <c r="BY29" s="37" t="s">
        <v>75</v>
      </c>
    </row>
    <row r="30" spans="1:78" x14ac:dyDescent="0.25">
      <c r="A30" s="21">
        <v>262</v>
      </c>
      <c r="B30" s="22" t="s">
        <v>126</v>
      </c>
      <c r="C30" s="22" t="s">
        <v>71</v>
      </c>
      <c r="D30" s="22" t="s">
        <v>72</v>
      </c>
      <c r="E30" s="22" t="s">
        <v>73</v>
      </c>
      <c r="F30" s="22" t="s">
        <v>102</v>
      </c>
      <c r="G30" s="23">
        <v>45333</v>
      </c>
      <c r="H30" s="23"/>
      <c r="I30" s="24">
        <v>30401011401723</v>
      </c>
      <c r="J30" s="25">
        <v>1</v>
      </c>
      <c r="K30" s="25">
        <v>2700</v>
      </c>
      <c r="L30" s="25"/>
      <c r="M30" s="26"/>
      <c r="N30" s="25">
        <f>SUM('11-2025'!$K30:$M30)</f>
        <v>2700</v>
      </c>
      <c r="O30" s="25">
        <v>2700</v>
      </c>
      <c r="P30" s="25">
        <f t="shared" si="0"/>
        <v>506.25</v>
      </c>
      <c r="Q30" s="25">
        <f t="shared" si="1"/>
        <v>297</v>
      </c>
      <c r="R30" s="25">
        <v>1666.6666666666667</v>
      </c>
      <c r="S30" s="27">
        <f t="shared" si="2"/>
        <v>736.33333333333326</v>
      </c>
      <c r="T30" s="25">
        <f t="shared" si="3"/>
        <v>8836</v>
      </c>
      <c r="U30" s="25">
        <f>IF(T30&lt;=40000,0,
IF(T30&lt;=55000,(T30-40000)*10%,
IF(T30&lt;=70000,(T30-55000)*15%+1500,
IF(T30&lt;=200000,(T30-70000)*20%+1500+2250,
IF(T30&lt;=400000,(T30-200000)*22.5%+1500+2250+26000,
IF(T30&lt;=600000,(T30-400000)*25%+1500+2250+26000+45000,
IF(AND(T30&gt;600000,T30&lt;=1200000),(T30-400000)*25%+1500+2250+26000+45000
+IFERROR(LOOKUP(T30,{600001;700001;800001;900001},{4000;6750;10250;15250}),0),IF(T30&gt;1200000,((T30-1200000)*27.5%)+300000,0)
)))))))</f>
        <v>0</v>
      </c>
      <c r="V30" s="25">
        <f t="shared" si="4"/>
        <v>0</v>
      </c>
      <c r="W30" s="28">
        <f>+'11-2025'!$S30-'11-2025'!$V30+'11-2025'!$R30</f>
        <v>2403</v>
      </c>
      <c r="X30" s="28">
        <f t="shared" si="5"/>
        <v>80.099999999999994</v>
      </c>
      <c r="Y30" s="29">
        <v>0</v>
      </c>
      <c r="Z30" s="29">
        <f>IFERROR(+'11-2025'!$X30*'11-2025'!$Y30,"")</f>
        <v>0</v>
      </c>
      <c r="AA30" s="29">
        <v>3</v>
      </c>
      <c r="AB30" s="29">
        <f>IFERROR(+'11-2025'!$X30*'11-2025'!$AA30,"")</f>
        <v>240.29999999999998</v>
      </c>
      <c r="AC30" s="29">
        <v>0</v>
      </c>
      <c r="AD30" s="29">
        <f>IFERROR(+'11-2025'!$X30*'11-2025'!$AC30,"")</f>
        <v>0</v>
      </c>
      <c r="AE30" s="29">
        <v>1</v>
      </c>
      <c r="AF30" s="29">
        <f>IFERROR(+'11-2025'!$X30*'11-2025'!$AE30,"")</f>
        <v>80.099999999999994</v>
      </c>
      <c r="AG30" s="29">
        <v>1.75</v>
      </c>
      <c r="AH30" s="29">
        <f>IFERROR(+'11-2025'!$X30*'11-2025'!$AG30,"")</f>
        <v>140.17499999999998</v>
      </c>
      <c r="AI30" s="29">
        <v>0</v>
      </c>
      <c r="AJ30" s="29">
        <f>IFERROR('11-2025'!$Z30+'11-2025'!$AB30+'11-2025'!$AD30+'11-2025'!$AF30+'11-2025'!$AH30+'11-2025'!$AI30,"")</f>
        <v>460.57499999999993</v>
      </c>
      <c r="AK30" s="30">
        <f>IFERROR('11-2025'!$W30-'11-2025'!$AJ30,"")</f>
        <v>1942.4250000000002</v>
      </c>
      <c r="AL30" s="31"/>
      <c r="AM30" s="31"/>
      <c r="AN30" s="31"/>
      <c r="AO30" s="31">
        <v>0</v>
      </c>
      <c r="AP30" s="31"/>
      <c r="AQ30" s="31"/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2428.7925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2">
        <f t="shared" si="11"/>
        <v>2428.7925</v>
      </c>
      <c r="BK30" s="33">
        <f>BJ30+AM30+AL30+'11-2025'!$N30+AN30+AO30</f>
        <v>5128.7924999999996</v>
      </c>
      <c r="BL30" s="34">
        <f>'11-2025'!$O30</f>
        <v>2700</v>
      </c>
      <c r="BM30" s="34">
        <f t="shared" si="6"/>
        <v>506.25</v>
      </c>
      <c r="BN30" s="34">
        <f t="shared" si="7"/>
        <v>297</v>
      </c>
      <c r="BO30" s="34">
        <f t="shared" si="8"/>
        <v>1666.6666666666667</v>
      </c>
      <c r="BP30" s="35">
        <f t="shared" si="9"/>
        <v>3165.1258333333326</v>
      </c>
      <c r="BQ30" s="34">
        <f>IFERROR(BP30/'11-2025'!$J30,0)*12</f>
        <v>37981.509999999995</v>
      </c>
      <c r="BR30" s="34">
        <f>IF(BQ30&lt;=40000,0,
IF(BQ30&lt;=55000,(BQ30-40000)*10%,
IF(BQ30&lt;=70000,(BQ30-55000)*15%+1500,
IF(BQ30&lt;=200000,(BQ30-70000)*20%+1500+2250,
IF(BQ30&lt;=400000,(BQ30-200000)*22.5%+1500+2250+26000,
IF(BQ30&lt;=600000,(BQ30-400000)*25%+1500+2250+26000+45000,
IF(AND(BQ30&gt;600000,BQ30&lt;=1200000),(BQ30-400000)*25%+1500+2250+26000+45000
+IFERROR(LOOKUP(BQ30,{600001;700001;800001;900001},{4000;6750;10250;15250}),0),IF(BQ30&gt;1200000,((BQ30-1200000)*27.5%)+300000,0)
)))))))</f>
        <v>0</v>
      </c>
      <c r="BS30" s="32">
        <f>(BR30/12*'11-2025'!$J30)</f>
        <v>0</v>
      </c>
      <c r="BT30" s="33">
        <f>BS30-'11-2025'!$V30</f>
        <v>0</v>
      </c>
      <c r="BU30" s="32">
        <f>IFERROR(+'11-2025'!$W30+AL30+AM30+BJ30-'11-2025'!$AJ30-BT30+AN30+AO30,"")-AL30+AP30+AQ30</f>
        <v>4371.2174999999997</v>
      </c>
      <c r="BV30" s="36"/>
      <c r="BW30" s="37"/>
      <c r="BX30" s="37">
        <f t="shared" si="10"/>
        <v>4371.2174999999997</v>
      </c>
      <c r="BY30" s="37"/>
    </row>
    <row r="31" spans="1:78" x14ac:dyDescent="0.25">
      <c r="A31" s="21">
        <v>269</v>
      </c>
      <c r="B31" s="22" t="s">
        <v>127</v>
      </c>
      <c r="C31" s="22" t="s">
        <v>81</v>
      </c>
      <c r="D31" s="22" t="s">
        <v>72</v>
      </c>
      <c r="E31" s="22" t="s">
        <v>93</v>
      </c>
      <c r="F31" s="22" t="s">
        <v>86</v>
      </c>
      <c r="G31" s="23">
        <v>45344</v>
      </c>
      <c r="H31" s="23"/>
      <c r="I31" s="24">
        <v>30103260102301</v>
      </c>
      <c r="J31" s="25">
        <v>1</v>
      </c>
      <c r="K31" s="25">
        <v>3000</v>
      </c>
      <c r="L31" s="25"/>
      <c r="M31" s="26"/>
      <c r="N31" s="25">
        <f>SUM('11-2025'!$K31:$M31)</f>
        <v>3000</v>
      </c>
      <c r="O31" s="25">
        <v>3000</v>
      </c>
      <c r="P31" s="25">
        <f t="shared" si="0"/>
        <v>562.5</v>
      </c>
      <c r="Q31" s="25">
        <f t="shared" si="1"/>
        <v>330</v>
      </c>
      <c r="R31" s="25">
        <v>1666.6666666666667</v>
      </c>
      <c r="S31" s="27">
        <f t="shared" si="2"/>
        <v>1003.3333333333333</v>
      </c>
      <c r="T31" s="25">
        <f t="shared" si="3"/>
        <v>12040</v>
      </c>
      <c r="U31" s="25">
        <f>IF(T31&lt;=40000,0,
IF(T31&lt;=55000,(T31-40000)*10%,
IF(T31&lt;=70000,(T31-55000)*15%+1500,
IF(T31&lt;=200000,(T31-70000)*20%+1500+2250,
IF(T31&lt;=400000,(T31-200000)*22.5%+1500+2250+26000,
IF(T31&lt;=600000,(T31-400000)*25%+1500+2250+26000+45000,
IF(AND(T31&gt;600000,T31&lt;=1200000),(T31-400000)*25%+1500+2250+26000+45000
+IFERROR(LOOKUP(T31,{600001;700001;800001;900001},{4000;6750;10250;15250}),0),IF(T31&gt;1200000,((T31-1200000)*27.5%)+300000,0)
)))))))</f>
        <v>0</v>
      </c>
      <c r="V31" s="25">
        <f t="shared" si="4"/>
        <v>0</v>
      </c>
      <c r="W31" s="28">
        <f>+'11-2025'!$S31-'11-2025'!$V31+'11-2025'!$R31</f>
        <v>2670</v>
      </c>
      <c r="X31" s="28">
        <f t="shared" si="5"/>
        <v>89</v>
      </c>
      <c r="Y31" s="29">
        <v>0</v>
      </c>
      <c r="Z31" s="29">
        <f>IFERROR(+'11-2025'!$X31*'11-2025'!$Y31,"")</f>
        <v>0</v>
      </c>
      <c r="AA31" s="29">
        <v>0</v>
      </c>
      <c r="AB31" s="29">
        <f>IFERROR(+'11-2025'!$X31*'11-2025'!$AA31,"")</f>
        <v>0</v>
      </c>
      <c r="AC31" s="29">
        <v>30</v>
      </c>
      <c r="AD31" s="29">
        <f>IFERROR(+'11-2025'!$X31*'11-2025'!$AC31,"")</f>
        <v>2670</v>
      </c>
      <c r="AE31" s="29">
        <v>0</v>
      </c>
      <c r="AF31" s="29">
        <f>IFERROR(+'11-2025'!$X31*'11-2025'!$AE31,"")</f>
        <v>0</v>
      </c>
      <c r="AG31" s="29">
        <v>0</v>
      </c>
      <c r="AH31" s="29">
        <f>IFERROR(+'11-2025'!$X31*'11-2025'!$AG31,"")</f>
        <v>0</v>
      </c>
      <c r="AI31" s="29">
        <v>0</v>
      </c>
      <c r="AJ31" s="29">
        <f>IFERROR('11-2025'!$Z31+'11-2025'!$AB31+'11-2025'!$AD31+'11-2025'!$AF31+'11-2025'!$AH31+'11-2025'!$AI31,"")</f>
        <v>2670</v>
      </c>
      <c r="AK31" s="30">
        <f>IFERROR('11-2025'!$W31-'11-2025'!$AJ31,"")</f>
        <v>0</v>
      </c>
      <c r="AL31" s="31"/>
      <c r="AM31" s="31"/>
      <c r="AN31" s="31"/>
      <c r="AO31" s="31">
        <v>0</v>
      </c>
      <c r="AP31" s="31"/>
      <c r="AQ31" s="31"/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2">
        <f t="shared" si="11"/>
        <v>0</v>
      </c>
      <c r="BK31" s="33">
        <f>BJ31+AM31+AL31+'11-2025'!$N31+AN31+AO31</f>
        <v>3000</v>
      </c>
      <c r="BL31" s="34">
        <f>'11-2025'!$O31</f>
        <v>3000</v>
      </c>
      <c r="BM31" s="34">
        <f t="shared" si="6"/>
        <v>562.5</v>
      </c>
      <c r="BN31" s="34">
        <f t="shared" si="7"/>
        <v>330</v>
      </c>
      <c r="BO31" s="34">
        <f t="shared" si="8"/>
        <v>1666.6666666666667</v>
      </c>
      <c r="BP31" s="35">
        <f t="shared" si="9"/>
        <v>1003.3333333333333</v>
      </c>
      <c r="BQ31" s="34">
        <f>IFERROR(BP31/'11-2025'!$J31,0)*12</f>
        <v>12040</v>
      </c>
      <c r="BR31" s="34">
        <f>IF(BQ31&lt;=40000,0,
IF(BQ31&lt;=55000,(BQ31-40000)*10%,
IF(BQ31&lt;=70000,(BQ31-55000)*15%+1500,
IF(BQ31&lt;=200000,(BQ31-70000)*20%+1500+2250,
IF(BQ31&lt;=400000,(BQ31-200000)*22.5%+1500+2250+26000,
IF(BQ31&lt;=600000,(BQ31-400000)*25%+1500+2250+26000+45000,
IF(AND(BQ31&gt;600000,BQ31&lt;=1200000),(BQ31-400000)*25%+1500+2250+26000+45000
+IFERROR(LOOKUP(BQ31,{600001;700001;800001;900001},{4000;6750;10250;15250}),0),IF(BQ31&gt;1200000,((BQ31-1200000)*27.5%)+300000,0)
)))))))</f>
        <v>0</v>
      </c>
      <c r="BS31" s="32">
        <f>(BR31/12*'11-2025'!$J31)</f>
        <v>0</v>
      </c>
      <c r="BT31" s="33">
        <f>BS31-'11-2025'!$V31</f>
        <v>0</v>
      </c>
      <c r="BU31" s="32">
        <f>IFERROR(+'11-2025'!$W31+AL31+AM31+BJ31-'11-2025'!$AJ31-BT31+AN31+AO31,"")-AL31+AP31+AQ31</f>
        <v>0</v>
      </c>
      <c r="BV31" s="36"/>
      <c r="BW31" s="37"/>
      <c r="BX31" s="37">
        <f t="shared" si="10"/>
        <v>0</v>
      </c>
      <c r="BY31" s="37"/>
    </row>
    <row r="32" spans="1:78" x14ac:dyDescent="0.25">
      <c r="A32" s="21">
        <v>273</v>
      </c>
      <c r="B32" s="22" t="s">
        <v>128</v>
      </c>
      <c r="C32" s="22" t="s">
        <v>71</v>
      </c>
      <c r="D32" s="22" t="s">
        <v>72</v>
      </c>
      <c r="E32" s="22" t="s">
        <v>99</v>
      </c>
      <c r="F32" s="22" t="s">
        <v>102</v>
      </c>
      <c r="G32" s="23">
        <v>45355</v>
      </c>
      <c r="H32" s="23"/>
      <c r="I32" s="24">
        <v>30602171401202</v>
      </c>
      <c r="J32" s="25">
        <v>1</v>
      </c>
      <c r="K32" s="25">
        <v>2949.73</v>
      </c>
      <c r="L32" s="25"/>
      <c r="M32" s="26"/>
      <c r="N32" s="25">
        <f>SUM('11-2025'!$K32:$M32)</f>
        <v>2949.73</v>
      </c>
      <c r="O32" s="25">
        <v>4088.5</v>
      </c>
      <c r="P32" s="25">
        <f t="shared" si="0"/>
        <v>766.59375</v>
      </c>
      <c r="Q32" s="25">
        <f t="shared" si="1"/>
        <v>449.73500000000001</v>
      </c>
      <c r="R32" s="25">
        <v>1666.6666666666667</v>
      </c>
      <c r="S32" s="27">
        <f t="shared" si="2"/>
        <v>833.32833333333315</v>
      </c>
      <c r="T32" s="25">
        <f t="shared" si="3"/>
        <v>9999.9399999999987</v>
      </c>
      <c r="U32" s="25">
        <f>IF(T32&lt;=40000,0,
IF(T32&lt;=55000,(T32-40000)*10%,
IF(T32&lt;=70000,(T32-55000)*15%+1500,
IF(T32&lt;=200000,(T32-70000)*20%+1500+2250,
IF(T32&lt;=400000,(T32-200000)*22.5%+1500+2250+26000,
IF(T32&lt;=600000,(T32-400000)*25%+1500+2250+26000+45000,
IF(AND(T32&gt;600000,T32&lt;=1200000),(T32-400000)*25%+1500+2250+26000+45000
+IFERROR(LOOKUP(T32,{600001;700001;800001;900001},{4000;6750;10250;15250}),0),IF(T32&gt;1200000,((T32-1200000)*27.5%)+300000,0)
)))))))</f>
        <v>0</v>
      </c>
      <c r="V32" s="25">
        <f t="shared" si="4"/>
        <v>0</v>
      </c>
      <c r="W32" s="28">
        <f>+'11-2025'!$S32-'11-2025'!$V32+'11-2025'!$R32</f>
        <v>2499.9949999999999</v>
      </c>
      <c r="X32" s="28">
        <f t="shared" si="5"/>
        <v>83.333166666666656</v>
      </c>
      <c r="Y32" s="29">
        <v>0</v>
      </c>
      <c r="Z32" s="29">
        <f>IFERROR(+'11-2025'!$X32*'11-2025'!$Y32,"")</f>
        <v>0</v>
      </c>
      <c r="AA32" s="29">
        <v>0</v>
      </c>
      <c r="AB32" s="29">
        <f>IFERROR(+'11-2025'!$X32*'11-2025'!$AA32,"")</f>
        <v>0</v>
      </c>
      <c r="AC32" s="29">
        <v>4</v>
      </c>
      <c r="AD32" s="29">
        <f>IFERROR(+'11-2025'!$X32*'11-2025'!$AC32,"")</f>
        <v>333.33266666666663</v>
      </c>
      <c r="AE32" s="29">
        <v>0</v>
      </c>
      <c r="AF32" s="29">
        <f>IFERROR(+'11-2025'!$X32*'11-2025'!$AE32,"")</f>
        <v>0</v>
      </c>
      <c r="AG32" s="29">
        <v>1.5</v>
      </c>
      <c r="AH32" s="29">
        <f>IFERROR(+'11-2025'!$X32*'11-2025'!$AG32,"")</f>
        <v>124.99974999999998</v>
      </c>
      <c r="AI32" s="29">
        <v>0</v>
      </c>
      <c r="AJ32" s="29">
        <f>IFERROR('11-2025'!$Z32+'11-2025'!$AB32+'11-2025'!$AD32+'11-2025'!$AF32+'11-2025'!$AH32+'11-2025'!$AI32,"")</f>
        <v>458.33241666666663</v>
      </c>
      <c r="AK32" s="30">
        <f>IFERROR('11-2025'!$W32-'11-2025'!$AJ32,"")</f>
        <v>2041.6625833333333</v>
      </c>
      <c r="AL32" s="31"/>
      <c r="AM32" s="31"/>
      <c r="AN32" s="31"/>
      <c r="AO32" s="31">
        <v>0</v>
      </c>
      <c r="AP32" s="31"/>
      <c r="AQ32" s="31"/>
      <c r="AR32" s="31">
        <v>0</v>
      </c>
      <c r="AS32" s="31">
        <v>760.74250000000006</v>
      </c>
      <c r="AT32" s="31">
        <v>0</v>
      </c>
      <c r="AU32" s="31">
        <v>0</v>
      </c>
      <c r="AV32" s="31">
        <v>0</v>
      </c>
      <c r="AW32" s="31">
        <v>0</v>
      </c>
      <c r="AX32" s="31">
        <v>0</v>
      </c>
      <c r="AY32" s="31">
        <v>0</v>
      </c>
      <c r="AZ32" s="31">
        <v>0</v>
      </c>
      <c r="BA32" s="31">
        <v>0</v>
      </c>
      <c r="BB32" s="31">
        <v>0</v>
      </c>
      <c r="BC32" s="31">
        <v>0</v>
      </c>
      <c r="BD32" s="31">
        <v>0</v>
      </c>
      <c r="BE32" s="31">
        <v>0</v>
      </c>
      <c r="BF32" s="31">
        <v>0</v>
      </c>
      <c r="BG32" s="31">
        <v>0</v>
      </c>
      <c r="BH32" s="31">
        <v>0</v>
      </c>
      <c r="BI32" s="31">
        <v>0</v>
      </c>
      <c r="BJ32" s="32">
        <f t="shared" si="11"/>
        <v>760.74250000000006</v>
      </c>
      <c r="BK32" s="33">
        <f>BJ32+AM32+AL32+'11-2025'!$N32+AN32+AO32</f>
        <v>3710.4724999999999</v>
      </c>
      <c r="BL32" s="34">
        <f>'11-2025'!$O32</f>
        <v>4088.5</v>
      </c>
      <c r="BM32" s="34">
        <f t="shared" si="6"/>
        <v>766.59375</v>
      </c>
      <c r="BN32" s="34">
        <f t="shared" si="7"/>
        <v>449.73500000000001</v>
      </c>
      <c r="BO32" s="34">
        <f t="shared" si="8"/>
        <v>1666.6666666666667</v>
      </c>
      <c r="BP32" s="35">
        <f t="shared" si="9"/>
        <v>1594.070833333333</v>
      </c>
      <c r="BQ32" s="34">
        <f>IFERROR(BP32/'11-2025'!$J32,0)*12</f>
        <v>19128.849999999995</v>
      </c>
      <c r="BR32" s="34">
        <f>IF(BQ32&lt;=40000,0,
IF(BQ32&lt;=55000,(BQ32-40000)*10%,
IF(BQ32&lt;=70000,(BQ32-55000)*15%+1500,
IF(BQ32&lt;=200000,(BQ32-70000)*20%+1500+2250,
IF(BQ32&lt;=400000,(BQ32-200000)*22.5%+1500+2250+26000,
IF(BQ32&lt;=600000,(BQ32-400000)*25%+1500+2250+26000+45000,
IF(AND(BQ32&gt;600000,BQ32&lt;=1200000),(BQ32-400000)*25%+1500+2250+26000+45000
+IFERROR(LOOKUP(BQ32,{600001;700001;800001;900001},{4000;6750;10250;15250}),0),IF(BQ32&gt;1200000,((BQ32-1200000)*27.5%)+300000,0)
)))))))</f>
        <v>0</v>
      </c>
      <c r="BS32" s="32">
        <f>(BR32/12*'11-2025'!$J32)</f>
        <v>0</v>
      </c>
      <c r="BT32" s="33">
        <f>BS32-'11-2025'!$V32</f>
        <v>0</v>
      </c>
      <c r="BU32" s="32">
        <f>IFERROR(+'11-2025'!$W32+AL32+AM32+BJ32-'11-2025'!$AJ32-BT32+AN32+AO32,"")-AL32+AP32+AQ32</f>
        <v>2802.4050833333336</v>
      </c>
      <c r="BV32" s="36"/>
      <c r="BW32" s="37"/>
      <c r="BX32" s="37">
        <f t="shared" si="10"/>
        <v>2802.4050833333336</v>
      </c>
      <c r="BY32" s="37"/>
    </row>
    <row r="33" spans="1:78" s="75" customFormat="1" x14ac:dyDescent="0.25">
      <c r="A33" s="38">
        <v>278</v>
      </c>
      <c r="B33" s="40" t="s">
        <v>129</v>
      </c>
      <c r="C33" s="40" t="s">
        <v>81</v>
      </c>
      <c r="D33" s="40" t="s">
        <v>72</v>
      </c>
      <c r="E33" s="40" t="s">
        <v>124</v>
      </c>
      <c r="F33" s="40" t="s">
        <v>86</v>
      </c>
      <c r="G33" s="61">
        <v>45358</v>
      </c>
      <c r="H33" s="61">
        <v>45931</v>
      </c>
      <c r="I33" s="62">
        <v>26303201400474</v>
      </c>
      <c r="J33" s="63">
        <v>1</v>
      </c>
      <c r="K33" s="63">
        <v>3700</v>
      </c>
      <c r="L33" s="63"/>
      <c r="M33" s="64"/>
      <c r="N33" s="63">
        <f>SUM('11-2025'!$K33:$M33)</f>
        <v>3700</v>
      </c>
      <c r="O33" s="63"/>
      <c r="P33" s="63">
        <f t="shared" si="0"/>
        <v>0</v>
      </c>
      <c r="Q33" s="63">
        <f t="shared" si="1"/>
        <v>0</v>
      </c>
      <c r="R33" s="63">
        <v>1666.6666666666667</v>
      </c>
      <c r="S33" s="65">
        <f t="shared" si="2"/>
        <v>2033.3333333333333</v>
      </c>
      <c r="T33" s="63">
        <f t="shared" si="3"/>
        <v>24400</v>
      </c>
      <c r="U33" s="63">
        <f>IF(T33&lt;=40000,0,
IF(T33&lt;=55000,(T33-40000)*10%,
IF(T33&lt;=70000,(T33-55000)*15%+1500,
IF(T33&lt;=200000,(T33-70000)*20%+1500+2250,
IF(T33&lt;=400000,(T33-200000)*22.5%+1500+2250+26000,
IF(T33&lt;=600000,(T33-400000)*25%+1500+2250+26000+45000,
IF(AND(T33&gt;600000,T33&lt;=1200000),(T33-400000)*25%+1500+2250+26000+45000
+IFERROR(LOOKUP(T33,{600001;700001;800001;900001},{4000;6750;10250;15250}),0),IF(T33&gt;1200000,((T33-1200000)*27.5%)+300000,0)
)))))))</f>
        <v>0</v>
      </c>
      <c r="V33" s="63">
        <f t="shared" si="4"/>
        <v>0</v>
      </c>
      <c r="W33" s="66">
        <f>+'11-2025'!$S33-'11-2025'!$V33+'11-2025'!$R33</f>
        <v>3700</v>
      </c>
      <c r="X33" s="66">
        <f t="shared" si="5"/>
        <v>123.33333333333333</v>
      </c>
      <c r="Y33" s="67"/>
      <c r="Z33" s="67">
        <f>IFERROR(+'11-2025'!$X33*'11-2025'!$Y33,"")</f>
        <v>0</v>
      </c>
      <c r="AA33" s="67"/>
      <c r="AB33" s="67">
        <f>IFERROR(+'11-2025'!$X33*'11-2025'!$AA33,"")</f>
        <v>0</v>
      </c>
      <c r="AC33" s="67">
        <v>30</v>
      </c>
      <c r="AD33" s="67">
        <f>IFERROR(+'11-2025'!$X33*'11-2025'!$AC33,"")</f>
        <v>3700</v>
      </c>
      <c r="AE33" s="67"/>
      <c r="AF33" s="67">
        <f>IFERROR(+'11-2025'!$X33*'11-2025'!$AE33,"")</f>
        <v>0</v>
      </c>
      <c r="AG33" s="67"/>
      <c r="AH33" s="67">
        <f>IFERROR(+'11-2025'!$X33*'11-2025'!$AG33,"")</f>
        <v>0</v>
      </c>
      <c r="AI33" s="29">
        <v>0</v>
      </c>
      <c r="AJ33" s="67">
        <f>IFERROR('11-2025'!$Z33+'11-2025'!$AB33+'11-2025'!$AD33+'11-2025'!$AF33+'11-2025'!$AH33+'11-2025'!$AI33,"")</f>
        <v>3700</v>
      </c>
      <c r="AK33" s="68">
        <f>IFERROR('11-2025'!$W33-'11-2025'!$AJ33,"")</f>
        <v>0</v>
      </c>
      <c r="AL33" s="69"/>
      <c r="AM33" s="69"/>
      <c r="AN33" s="69"/>
      <c r="AO33" s="69"/>
      <c r="AP33" s="69"/>
      <c r="AQ33" s="69"/>
      <c r="AR33" s="31">
        <v>0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0</v>
      </c>
      <c r="AY33" s="31">
        <v>0</v>
      </c>
      <c r="AZ33" s="31">
        <v>0</v>
      </c>
      <c r="BA33" s="31">
        <v>0</v>
      </c>
      <c r="BB33" s="31">
        <v>0</v>
      </c>
      <c r="BC33" s="31">
        <v>0</v>
      </c>
      <c r="BD33" s="31">
        <v>0</v>
      </c>
      <c r="BE33" s="31">
        <v>0</v>
      </c>
      <c r="BF33" s="31">
        <v>0</v>
      </c>
      <c r="BG33" s="31">
        <v>0</v>
      </c>
      <c r="BH33" s="31">
        <v>0</v>
      </c>
      <c r="BI33" s="31">
        <v>0</v>
      </c>
      <c r="BJ33" s="39">
        <f t="shared" si="11"/>
        <v>0</v>
      </c>
      <c r="BK33" s="70">
        <f>BJ33+AM33+AL33+'11-2025'!$N33+AN33+AO33</f>
        <v>3700</v>
      </c>
      <c r="BL33" s="71">
        <f>'11-2025'!$O33</f>
        <v>0</v>
      </c>
      <c r="BM33" s="71">
        <f t="shared" si="6"/>
        <v>0</v>
      </c>
      <c r="BN33" s="71">
        <f t="shared" si="7"/>
        <v>0</v>
      </c>
      <c r="BO33" s="71">
        <f t="shared" si="8"/>
        <v>1666.6666666666667</v>
      </c>
      <c r="BP33" s="72">
        <f t="shared" si="9"/>
        <v>2033.3333333333333</v>
      </c>
      <c r="BQ33" s="71">
        <f>IFERROR(BP33/'11-2025'!$J33,0)*12</f>
        <v>24400</v>
      </c>
      <c r="BR33" s="71">
        <f>IF(BQ33&lt;=40000,0,
IF(BQ33&lt;=55000,(BQ33-40000)*10%,
IF(BQ33&lt;=70000,(BQ33-55000)*15%+1500,
IF(BQ33&lt;=200000,(BQ33-70000)*20%+1500+2250,
IF(BQ33&lt;=400000,(BQ33-200000)*22.5%+1500+2250+26000,
IF(BQ33&lt;=600000,(BQ33-400000)*25%+1500+2250+26000+45000,
IF(AND(BQ33&gt;600000,BQ33&lt;=1200000),(BQ33-400000)*25%+1500+2250+26000+45000
+IFERROR(LOOKUP(BQ33,{600001;700001;800001;900001},{4000;6750;10250;15250}),0),IF(BQ33&gt;1200000,((BQ33-1200000)*27.5%)+300000,0)
)))))))</f>
        <v>0</v>
      </c>
      <c r="BS33" s="39">
        <f>(BR33/12*'11-2025'!$J33)</f>
        <v>0</v>
      </c>
      <c r="BT33" s="70">
        <f>BS33-'11-2025'!$V33</f>
        <v>0</v>
      </c>
      <c r="BU33" s="39">
        <f>IFERROR(+'11-2025'!$W33+AL33+AM33+BJ33-'11-2025'!$AJ33-BT33+AN33+AO33,"")-AL33+AP33+AQ33</f>
        <v>0</v>
      </c>
      <c r="BV33" s="73"/>
      <c r="BW33" s="74"/>
      <c r="BX33" s="74">
        <f t="shared" si="10"/>
        <v>0</v>
      </c>
      <c r="BY33" s="74"/>
      <c r="BZ33" s="76"/>
    </row>
    <row r="34" spans="1:78" x14ac:dyDescent="0.25">
      <c r="A34" s="38">
        <v>284</v>
      </c>
      <c r="B34" s="22" t="s">
        <v>130</v>
      </c>
      <c r="C34" s="22" t="s">
        <v>71</v>
      </c>
      <c r="D34" s="22" t="s">
        <v>72</v>
      </c>
      <c r="E34" s="22" t="s">
        <v>60</v>
      </c>
      <c r="F34" s="22" t="s">
        <v>86</v>
      </c>
      <c r="G34" s="23">
        <v>45370</v>
      </c>
      <c r="H34" s="23">
        <v>45961</v>
      </c>
      <c r="I34" s="24">
        <v>30208171403094</v>
      </c>
      <c r="J34" s="25">
        <v>1</v>
      </c>
      <c r="K34" s="25">
        <v>3500</v>
      </c>
      <c r="L34" s="25"/>
      <c r="M34" s="26"/>
      <c r="N34" s="25">
        <f>SUM('11-2025'!$K34:$M34)</f>
        <v>3500</v>
      </c>
      <c r="O34" s="25"/>
      <c r="P34" s="25">
        <f t="shared" si="0"/>
        <v>0</v>
      </c>
      <c r="Q34" s="25">
        <f t="shared" si="1"/>
        <v>0</v>
      </c>
      <c r="R34" s="25">
        <v>1666.6666666666667</v>
      </c>
      <c r="S34" s="27">
        <f t="shared" si="2"/>
        <v>1833.3333333333333</v>
      </c>
      <c r="T34" s="25">
        <f t="shared" si="3"/>
        <v>22000</v>
      </c>
      <c r="U34" s="25">
        <f>IF(T34&lt;=40000,0,
IF(T34&lt;=55000,(T34-40000)*10%,
IF(T34&lt;=70000,(T34-55000)*15%+1500,
IF(T34&lt;=200000,(T34-70000)*20%+1500+2250,
IF(T34&lt;=400000,(T34-200000)*22.5%+1500+2250+26000,
IF(T34&lt;=600000,(T34-400000)*25%+1500+2250+26000+45000,
IF(AND(T34&gt;600000,T34&lt;=1200000),(T34-400000)*25%+1500+2250+26000+45000
+IFERROR(LOOKUP(T34,{600001;700001;800001;900001},{4000;6750;10250;15250}),0),IF(T34&gt;1200000,((T34-1200000)*27.5%)+300000,0)
)))))))</f>
        <v>0</v>
      </c>
      <c r="V34" s="25">
        <f t="shared" si="4"/>
        <v>0</v>
      </c>
      <c r="W34" s="28">
        <f>+'11-2025'!$S34-'11-2025'!$V34+'11-2025'!$R34</f>
        <v>3500</v>
      </c>
      <c r="X34" s="28">
        <f t="shared" si="5"/>
        <v>116.66666666666667</v>
      </c>
      <c r="Y34" s="29"/>
      <c r="Z34" s="29">
        <f>IFERROR(+'11-2025'!$X34*'11-2025'!$Y34,"")</f>
        <v>0</v>
      </c>
      <c r="AA34" s="29">
        <v>0</v>
      </c>
      <c r="AB34" s="29">
        <f>IFERROR(+'11-2025'!$X34*'11-2025'!$AA34,"")</f>
        <v>0</v>
      </c>
      <c r="AC34" s="29">
        <v>23</v>
      </c>
      <c r="AD34" s="29">
        <f>IFERROR(+'11-2025'!$X34*'11-2025'!$AC34,"")</f>
        <v>2683.3333333333335</v>
      </c>
      <c r="AE34" s="29">
        <v>3</v>
      </c>
      <c r="AF34" s="29">
        <f>IFERROR(+'11-2025'!$X34*'11-2025'!$AE34,"")</f>
        <v>350</v>
      </c>
      <c r="AG34" s="29"/>
      <c r="AH34" s="29">
        <f>IFERROR(+'11-2025'!$X34*'11-2025'!$AG34,"")</f>
        <v>0</v>
      </c>
      <c r="AI34" s="29">
        <v>1000</v>
      </c>
      <c r="AJ34" s="29">
        <f>IFERROR('11-2025'!$Z34+'11-2025'!$AB34+'11-2025'!$AD34+'11-2025'!$AF34+'11-2025'!$AH34+'11-2025'!$AI34,"")</f>
        <v>4033.3333333333335</v>
      </c>
      <c r="AK34" s="30">
        <f>IFERROR('11-2025'!$W34-'11-2025'!$AJ34,"")</f>
        <v>-533.33333333333348</v>
      </c>
      <c r="AL34" s="31"/>
      <c r="AM34" s="31"/>
      <c r="AN34" s="31"/>
      <c r="AO34" s="31"/>
      <c r="AP34" s="31"/>
      <c r="AQ34" s="31"/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2">
        <f t="shared" si="11"/>
        <v>0</v>
      </c>
      <c r="BK34" s="33">
        <f>BJ34+AM34+AL34+'11-2025'!$N34+AN34+AO34</f>
        <v>3500</v>
      </c>
      <c r="BL34" s="34">
        <f>'11-2025'!$O34</f>
        <v>0</v>
      </c>
      <c r="BM34" s="34">
        <f t="shared" si="6"/>
        <v>0</v>
      </c>
      <c r="BN34" s="34">
        <f t="shared" si="7"/>
        <v>0</v>
      </c>
      <c r="BO34" s="34">
        <f t="shared" si="8"/>
        <v>1666.6666666666667</v>
      </c>
      <c r="BP34" s="35">
        <f t="shared" si="9"/>
        <v>1833.3333333333333</v>
      </c>
      <c r="BQ34" s="34">
        <f>IFERROR(BP34/'11-2025'!$J34,0)*12</f>
        <v>22000</v>
      </c>
      <c r="BR34" s="34">
        <f>IF(BQ34&lt;=40000,0,
IF(BQ34&lt;=55000,(BQ34-40000)*10%,
IF(BQ34&lt;=70000,(BQ34-55000)*15%+1500,
IF(BQ34&lt;=200000,(BQ34-70000)*20%+1500+2250,
IF(BQ34&lt;=400000,(BQ34-200000)*22.5%+1500+2250+26000,
IF(BQ34&lt;=600000,(BQ34-400000)*25%+1500+2250+26000+45000,
IF(AND(BQ34&gt;600000,BQ34&lt;=1200000),(BQ34-400000)*25%+1500+2250+26000+45000
+IFERROR(LOOKUP(BQ34,{600001;700001;800001;900001},{4000;6750;10250;15250}),0),IF(BQ34&gt;1200000,((BQ34-1200000)*27.5%)+300000,0)
)))))))</f>
        <v>0</v>
      </c>
      <c r="BS34" s="32">
        <f>(BR34/12*'11-2025'!$J34)</f>
        <v>0</v>
      </c>
      <c r="BT34" s="33">
        <f>BS34-'11-2025'!$V34</f>
        <v>0</v>
      </c>
      <c r="BU34" s="32">
        <f>IFERROR(+'11-2025'!$W34+AL34+AM34+BJ34-'11-2025'!$AJ34-BT34+AN34+AO34,"")-AL34+AP34+AQ34</f>
        <v>-533.33333333333348</v>
      </c>
      <c r="BV34" s="36"/>
      <c r="BW34" s="37"/>
      <c r="BX34" s="37">
        <f t="shared" si="10"/>
        <v>-533.33333333333348</v>
      </c>
      <c r="BY34" s="37"/>
      <c r="BZ34" s="59"/>
    </row>
    <row r="35" spans="1:78" x14ac:dyDescent="0.25">
      <c r="A35" s="21">
        <v>289</v>
      </c>
      <c r="B35" s="22" t="s">
        <v>131</v>
      </c>
      <c r="C35" s="22" t="s">
        <v>106</v>
      </c>
      <c r="D35" s="22" t="s">
        <v>77</v>
      </c>
      <c r="E35" s="22" t="s">
        <v>132</v>
      </c>
      <c r="F35" s="22" t="s">
        <v>133</v>
      </c>
      <c r="G35" s="23">
        <v>45399</v>
      </c>
      <c r="H35" s="23"/>
      <c r="I35" s="24">
        <v>28509251202635</v>
      </c>
      <c r="J35" s="25">
        <v>1</v>
      </c>
      <c r="K35" s="25">
        <v>4657.3900000000003</v>
      </c>
      <c r="L35" s="25"/>
      <c r="M35" s="26"/>
      <c r="N35" s="25">
        <f>SUM('11-2025'!$K35:$M35)</f>
        <v>4657.3900000000003</v>
      </c>
      <c r="O35" s="25">
        <v>3730.8461538461534</v>
      </c>
      <c r="P35" s="25">
        <f t="shared" si="0"/>
        <v>699.53365384615381</v>
      </c>
      <c r="Q35" s="25">
        <f t="shared" si="1"/>
        <v>410.39307692307688</v>
      </c>
      <c r="R35" s="25">
        <v>1666.6666666666667</v>
      </c>
      <c r="S35" s="27">
        <f t="shared" si="2"/>
        <v>2580.3302564102569</v>
      </c>
      <c r="T35" s="25">
        <f t="shared" si="3"/>
        <v>30963.963076923083</v>
      </c>
      <c r="U35" s="25">
        <f>IF(T35&lt;=40000,0,
IF(T35&lt;=55000,(T35-40000)*10%,
IF(T35&lt;=70000,(T35-55000)*15%+1500,
IF(T35&lt;=200000,(T35-70000)*20%+1500+2250,
IF(T35&lt;=400000,(T35-200000)*22.5%+1500+2250+26000,
IF(T35&lt;=600000,(T35-400000)*25%+1500+2250+26000+45000,
IF(AND(T35&gt;600000,T35&lt;=1200000),(T35-400000)*25%+1500+2250+26000+45000
+IFERROR(LOOKUP(T35,{600001;700001;800001;900001},{4000;6750;10250;15250}),0),IF(T35&gt;1200000,((T35-1200000)*27.5%)+300000,0)
)))))))</f>
        <v>0</v>
      </c>
      <c r="V35" s="25">
        <f t="shared" si="4"/>
        <v>0</v>
      </c>
      <c r="W35" s="28">
        <f>+'11-2025'!$S35-'11-2025'!$V35+'11-2025'!$R35</f>
        <v>4246.9969230769238</v>
      </c>
      <c r="X35" s="28">
        <f t="shared" si="5"/>
        <v>141.56656410256412</v>
      </c>
      <c r="Y35" s="29">
        <v>0</v>
      </c>
      <c r="Z35" s="29">
        <f>IFERROR(+'11-2025'!$X35*'11-2025'!$Y35,"")</f>
        <v>0</v>
      </c>
      <c r="AA35" s="29">
        <v>0</v>
      </c>
      <c r="AB35" s="29">
        <f>IFERROR(+'11-2025'!$X35*'11-2025'!$AA35,"")</f>
        <v>0</v>
      </c>
      <c r="AC35" s="29">
        <v>0</v>
      </c>
      <c r="AD35" s="29">
        <f>IFERROR(+'11-2025'!$X35*'11-2025'!$AC35,"")</f>
        <v>0</v>
      </c>
      <c r="AE35" s="29">
        <v>0</v>
      </c>
      <c r="AF35" s="29">
        <f>IFERROR(+'11-2025'!$X35*'11-2025'!$AE35,"")</f>
        <v>0</v>
      </c>
      <c r="AG35" s="29">
        <v>0</v>
      </c>
      <c r="AH35" s="29">
        <f>IFERROR(+'11-2025'!$X35*'11-2025'!$AG35,"")</f>
        <v>0</v>
      </c>
      <c r="AI35" s="29">
        <v>500</v>
      </c>
      <c r="AJ35" s="29">
        <f>IFERROR('11-2025'!$Z35+'11-2025'!$AB35+'11-2025'!$AD35+'11-2025'!$AF35+'11-2025'!$AH35+'11-2025'!$AI35,"")</f>
        <v>500</v>
      </c>
      <c r="AK35" s="30">
        <f>IFERROR('11-2025'!$W35-'11-2025'!$AJ35,"")</f>
        <v>3746.9969230769238</v>
      </c>
      <c r="AL35" s="31"/>
      <c r="AM35" s="31"/>
      <c r="AN35" s="31"/>
      <c r="AO35" s="31">
        <v>140</v>
      </c>
      <c r="AP35" s="29">
        <v>283.13312820512823</v>
      </c>
      <c r="AQ35" s="31"/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0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2">
        <f t="shared" si="11"/>
        <v>0</v>
      </c>
      <c r="BK35" s="33">
        <f>BJ35+AM35+AL35+'11-2025'!$N35+AN35+AO35</f>
        <v>4797.3900000000003</v>
      </c>
      <c r="BL35" s="34">
        <f>'11-2025'!$O35</f>
        <v>3730.8461538461534</v>
      </c>
      <c r="BM35" s="34">
        <f t="shared" si="6"/>
        <v>699.53365384615381</v>
      </c>
      <c r="BN35" s="34">
        <f t="shared" si="7"/>
        <v>410.39307692307688</v>
      </c>
      <c r="BO35" s="34">
        <f t="shared" si="8"/>
        <v>1666.6666666666667</v>
      </c>
      <c r="BP35" s="35">
        <f t="shared" si="9"/>
        <v>2720.3302564102569</v>
      </c>
      <c r="BQ35" s="34">
        <f>IFERROR(BP35/'11-2025'!$J35,0)*12</f>
        <v>32643.963076923083</v>
      </c>
      <c r="BR35" s="34">
        <f>IF(BQ35&lt;=40000,0,
IF(BQ35&lt;=55000,(BQ35-40000)*10%,
IF(BQ35&lt;=70000,(BQ35-55000)*15%+1500,
IF(BQ35&lt;=200000,(BQ35-70000)*20%+1500+2250,
IF(BQ35&lt;=400000,(BQ35-200000)*22.5%+1500+2250+26000,
IF(BQ35&lt;=600000,(BQ35-400000)*25%+1500+2250+26000+45000,
IF(AND(BQ35&gt;600000,BQ35&lt;=1200000),(BQ35-400000)*25%+1500+2250+26000+45000
+IFERROR(LOOKUP(BQ35,{600001;700001;800001;900001},{4000;6750;10250;15250}),0),IF(BQ35&gt;1200000,((BQ35-1200000)*27.5%)+300000,0)
)))))))</f>
        <v>0</v>
      </c>
      <c r="BS35" s="32">
        <f>(BR35/12*'11-2025'!$J35)</f>
        <v>0</v>
      </c>
      <c r="BT35" s="33">
        <v>0</v>
      </c>
      <c r="BU35" s="32">
        <f>IFERROR(+'11-2025'!$W35+AL35+AM35+BJ35-'11-2025'!$AJ35-BT35+AN35+AO35,"")-AL35+AP35+AQ35</f>
        <v>4170.1300512820517</v>
      </c>
      <c r="BV35" s="36" t="s">
        <v>353</v>
      </c>
      <c r="BW35" s="37"/>
      <c r="BX35" s="37">
        <f t="shared" si="10"/>
        <v>4170.1300512820517</v>
      </c>
      <c r="BY35" s="37" t="s">
        <v>75</v>
      </c>
    </row>
    <row r="36" spans="1:78" x14ac:dyDescent="0.25">
      <c r="A36" s="21">
        <v>294</v>
      </c>
      <c r="B36" s="22" t="s">
        <v>134</v>
      </c>
      <c r="C36" s="22" t="s">
        <v>106</v>
      </c>
      <c r="D36" s="22" t="s">
        <v>77</v>
      </c>
      <c r="E36" s="22" t="s">
        <v>115</v>
      </c>
      <c r="F36" s="22" t="s">
        <v>135</v>
      </c>
      <c r="G36" s="23">
        <v>45400</v>
      </c>
      <c r="H36" s="23"/>
      <c r="I36" s="24">
        <v>29005011201254</v>
      </c>
      <c r="J36" s="25">
        <v>1</v>
      </c>
      <c r="K36" s="25">
        <v>5157.3900000000003</v>
      </c>
      <c r="L36" s="25"/>
      <c r="M36" s="26"/>
      <c r="N36" s="25">
        <f>SUM('11-2025'!$K36:$M36)</f>
        <v>5157.3900000000003</v>
      </c>
      <c r="O36" s="25">
        <v>3730.8461538461534</v>
      </c>
      <c r="P36" s="25">
        <f t="shared" si="0"/>
        <v>699.53365384615381</v>
      </c>
      <c r="Q36" s="25">
        <f t="shared" si="1"/>
        <v>410.39307692307688</v>
      </c>
      <c r="R36" s="25">
        <v>1666.6666666666667</v>
      </c>
      <c r="S36" s="27">
        <f t="shared" si="2"/>
        <v>3080.3302564102569</v>
      </c>
      <c r="T36" s="25">
        <f t="shared" si="3"/>
        <v>36963.963076923086</v>
      </c>
      <c r="U36" s="25">
        <f>IF(T36&lt;=40000,0,
IF(T36&lt;=55000,(T36-40000)*10%,
IF(T36&lt;=70000,(T36-55000)*15%+1500,
IF(T36&lt;=200000,(T36-70000)*20%+1500+2250,
IF(T36&lt;=400000,(T36-200000)*22.5%+1500+2250+26000,
IF(T36&lt;=600000,(T36-400000)*25%+1500+2250+26000+45000,
IF(AND(T36&gt;600000,T36&lt;=1200000),(T36-400000)*25%+1500+2250+26000+45000
+IFERROR(LOOKUP(T36,{600001;700001;800001;900001},{4000;6750;10250;15250}),0),IF(T36&gt;1200000,((T36-1200000)*27.5%)+300000,0)
)))))))</f>
        <v>0</v>
      </c>
      <c r="V36" s="25">
        <f t="shared" si="4"/>
        <v>0</v>
      </c>
      <c r="W36" s="28">
        <f>+'11-2025'!$S36-'11-2025'!$V36+'11-2025'!$R36</f>
        <v>4746.9969230769238</v>
      </c>
      <c r="X36" s="28">
        <f t="shared" si="5"/>
        <v>158.2332307692308</v>
      </c>
      <c r="Y36" s="29">
        <v>0</v>
      </c>
      <c r="Z36" s="29">
        <f>IFERROR(+'11-2025'!$X36*'11-2025'!$Y36,"")</f>
        <v>0</v>
      </c>
      <c r="AA36" s="29">
        <v>0</v>
      </c>
      <c r="AB36" s="29">
        <f>IFERROR(+'11-2025'!$X36*'11-2025'!$AA36,"")</f>
        <v>0</v>
      </c>
      <c r="AC36" s="29">
        <v>0</v>
      </c>
      <c r="AD36" s="29">
        <f>IFERROR(+'11-2025'!$X36*'11-2025'!$AC36,"")</f>
        <v>0</v>
      </c>
      <c r="AE36" s="29">
        <v>0</v>
      </c>
      <c r="AF36" s="29">
        <f>IFERROR(+'11-2025'!$X36*'11-2025'!$AE36,"")</f>
        <v>0</v>
      </c>
      <c r="AG36" s="29">
        <v>0</v>
      </c>
      <c r="AH36" s="29">
        <f>IFERROR(+'11-2025'!$X36*'11-2025'!$AG36,"")</f>
        <v>0</v>
      </c>
      <c r="AI36" s="29">
        <v>1000</v>
      </c>
      <c r="AJ36" s="29">
        <f>IFERROR('11-2025'!$Z36+'11-2025'!$AB36+'11-2025'!$AD36+'11-2025'!$AF36+'11-2025'!$AH36+'11-2025'!$AI36,"")</f>
        <v>1000</v>
      </c>
      <c r="AK36" s="30">
        <f>IFERROR('11-2025'!$W36-'11-2025'!$AJ36,"")</f>
        <v>3746.9969230769238</v>
      </c>
      <c r="AL36" s="31"/>
      <c r="AM36" s="31">
        <v>1000</v>
      </c>
      <c r="AN36" s="31"/>
      <c r="AO36" s="31">
        <v>120</v>
      </c>
      <c r="AP36" s="31"/>
      <c r="AQ36" s="31"/>
      <c r="AR36" s="31">
        <v>0</v>
      </c>
      <c r="AS36" s="31">
        <v>0</v>
      </c>
      <c r="AT36" s="31">
        <v>0</v>
      </c>
      <c r="AU36" s="31">
        <v>0</v>
      </c>
      <c r="AV36" s="31">
        <v>0</v>
      </c>
      <c r="AW36" s="31">
        <v>0</v>
      </c>
      <c r="AX36" s="31">
        <v>0</v>
      </c>
      <c r="AY36" s="31">
        <v>0</v>
      </c>
      <c r="AZ36" s="31">
        <v>0</v>
      </c>
      <c r="BA36" s="31">
        <v>0</v>
      </c>
      <c r="BB36" s="31">
        <v>0</v>
      </c>
      <c r="BC36" s="31">
        <v>0</v>
      </c>
      <c r="BD36" s="31">
        <v>0</v>
      </c>
      <c r="BE36" s="31">
        <v>0</v>
      </c>
      <c r="BF36" s="31">
        <v>0</v>
      </c>
      <c r="BG36" s="31">
        <v>0</v>
      </c>
      <c r="BH36" s="31">
        <v>0</v>
      </c>
      <c r="BI36" s="31">
        <v>0</v>
      </c>
      <c r="BJ36" s="32">
        <f t="shared" si="11"/>
        <v>0</v>
      </c>
      <c r="BK36" s="33">
        <f>BJ36+AM36+AL36+'11-2025'!$N36+AN36+AO36</f>
        <v>6277.39</v>
      </c>
      <c r="BL36" s="34">
        <f>'11-2025'!$O36</f>
        <v>3730.8461538461534</v>
      </c>
      <c r="BM36" s="34">
        <f t="shared" si="6"/>
        <v>699.53365384615381</v>
      </c>
      <c r="BN36" s="34">
        <f t="shared" si="7"/>
        <v>410.39307692307688</v>
      </c>
      <c r="BO36" s="34">
        <f t="shared" si="8"/>
        <v>1666.6666666666667</v>
      </c>
      <c r="BP36" s="35">
        <f t="shared" si="9"/>
        <v>4200.3302564102569</v>
      </c>
      <c r="BQ36" s="34">
        <f>IFERROR(BP36/'11-2025'!$J36,0)*12</f>
        <v>50403.963076923086</v>
      </c>
      <c r="BR36" s="34">
        <f>IF(BQ36&lt;=40000,0,
IF(BQ36&lt;=55000,(BQ36-40000)*10%,
IF(BQ36&lt;=70000,(BQ36-55000)*15%+1500,
IF(BQ36&lt;=200000,(BQ36-70000)*20%+1500+2250,
IF(BQ36&lt;=400000,(BQ36-200000)*22.5%+1500+2250+26000,
IF(BQ36&lt;=600000,(BQ36-400000)*25%+1500+2250+26000+45000,
IF(AND(BQ36&gt;600000,BQ36&lt;=1200000),(BQ36-400000)*25%+1500+2250+26000+45000
+IFERROR(LOOKUP(BQ36,{600001;700001;800001;900001},{4000;6750;10250;15250}),0),IF(BQ36&gt;1200000,((BQ36-1200000)*27.5%)+300000,0)
)))))))</f>
        <v>1040.3963076923087</v>
      </c>
      <c r="BS36" s="32">
        <f>(BR36/12*'11-2025'!$J36)</f>
        <v>86.699692307692388</v>
      </c>
      <c r="BT36" s="33">
        <v>0</v>
      </c>
      <c r="BU36" s="32">
        <f>IFERROR(+'11-2025'!$W36+AL36+AM36+BJ36-'11-2025'!$AJ36-BT36+AN36+AO36,"")-AL36+AP36+AQ36</f>
        <v>4866.9969230769238</v>
      </c>
      <c r="BV36" s="36" t="s">
        <v>431</v>
      </c>
      <c r="BW36" s="37"/>
      <c r="BX36" s="37">
        <f t="shared" si="10"/>
        <v>4866.9969230769238</v>
      </c>
      <c r="BY36" s="37" t="s">
        <v>75</v>
      </c>
    </row>
    <row r="37" spans="1:78" x14ac:dyDescent="0.25">
      <c r="A37" s="21">
        <v>302</v>
      </c>
      <c r="B37" s="22" t="s">
        <v>136</v>
      </c>
      <c r="C37" s="22" t="s">
        <v>106</v>
      </c>
      <c r="D37" s="22" t="s">
        <v>77</v>
      </c>
      <c r="E37" s="22" t="s">
        <v>85</v>
      </c>
      <c r="F37" s="22" t="s">
        <v>180</v>
      </c>
      <c r="G37" s="23">
        <v>45416</v>
      </c>
      <c r="H37" s="23"/>
      <c r="I37" s="24">
        <v>30207051201769</v>
      </c>
      <c r="J37" s="25">
        <v>1</v>
      </c>
      <c r="K37" s="25">
        <v>2700</v>
      </c>
      <c r="L37" s="25"/>
      <c r="M37" s="26"/>
      <c r="N37" s="25">
        <f>SUM('11-2025'!$K37:$M37)</f>
        <v>2700</v>
      </c>
      <c r="O37" s="25"/>
      <c r="P37" s="25">
        <f t="shared" si="0"/>
        <v>0</v>
      </c>
      <c r="Q37" s="25">
        <f t="shared" si="1"/>
        <v>0</v>
      </c>
      <c r="R37" s="25">
        <v>1666.6666666666667</v>
      </c>
      <c r="S37" s="27">
        <f t="shared" si="2"/>
        <v>1033.3333333333333</v>
      </c>
      <c r="T37" s="25">
        <f t="shared" si="3"/>
        <v>12400</v>
      </c>
      <c r="U37" s="25">
        <f>IF(T37&lt;=40000,0,
IF(T37&lt;=55000,(T37-40000)*10%,
IF(T37&lt;=70000,(T37-55000)*15%+1500,
IF(T37&lt;=200000,(T37-70000)*20%+1500+2250,
IF(T37&lt;=400000,(T37-200000)*22.5%+1500+2250+26000,
IF(T37&lt;=600000,(T37-400000)*25%+1500+2250+26000+45000,
IF(AND(T37&gt;600000,T37&lt;=1200000),(T37-400000)*25%+1500+2250+26000+45000
+IFERROR(LOOKUP(T37,{600001;700001;800001;900001},{4000;6750;10250;15250}),0),IF(T37&gt;1200000,((T37-1200000)*27.5%)+300000,0)
)))))))</f>
        <v>0</v>
      </c>
      <c r="V37" s="25">
        <f t="shared" si="4"/>
        <v>0</v>
      </c>
      <c r="W37" s="28">
        <f>+'11-2025'!$S37-'11-2025'!$V37+'11-2025'!$R37</f>
        <v>2700</v>
      </c>
      <c r="X37" s="28">
        <f t="shared" si="5"/>
        <v>90</v>
      </c>
      <c r="Y37" s="29">
        <v>0</v>
      </c>
      <c r="Z37" s="29">
        <f>IFERROR(+'11-2025'!$X37*'11-2025'!$Y37,"")</f>
        <v>0</v>
      </c>
      <c r="AA37" s="29">
        <v>0</v>
      </c>
      <c r="AB37" s="29">
        <f>IFERROR(+'11-2025'!$X37*'11-2025'!$AA37,"")</f>
        <v>0</v>
      </c>
      <c r="AC37" s="29">
        <v>1</v>
      </c>
      <c r="AD37" s="29">
        <f>IFERROR(+'11-2025'!$X37*'11-2025'!$AC37,"")</f>
        <v>90</v>
      </c>
      <c r="AE37" s="29">
        <v>0</v>
      </c>
      <c r="AF37" s="29">
        <f>IFERROR(+'11-2025'!$X37*'11-2025'!$AE37,"")</f>
        <v>0</v>
      </c>
      <c r="AG37" s="29">
        <v>2.25</v>
      </c>
      <c r="AH37" s="29">
        <f>IFERROR(+'11-2025'!$X37*'11-2025'!$AG37,"")</f>
        <v>202.5</v>
      </c>
      <c r="AI37" s="29">
        <v>300</v>
      </c>
      <c r="AJ37" s="29">
        <f>IFERROR('11-2025'!$Z37+'11-2025'!$AB37+'11-2025'!$AD37+'11-2025'!$AF37+'11-2025'!$AH37+'11-2025'!$AI37,"")</f>
        <v>592.5</v>
      </c>
      <c r="AK37" s="30">
        <f>IFERROR('11-2025'!$W37-'11-2025'!$AJ37,"")</f>
        <v>2107.5</v>
      </c>
      <c r="AL37" s="31"/>
      <c r="AM37" s="31"/>
      <c r="AN37" s="31"/>
      <c r="AO37" s="31">
        <v>20</v>
      </c>
      <c r="AP37" s="31"/>
      <c r="AQ37" s="31"/>
      <c r="AR37" s="31">
        <v>0</v>
      </c>
      <c r="AS37" s="31">
        <v>0</v>
      </c>
      <c r="AT37" s="31">
        <v>0</v>
      </c>
      <c r="AU37" s="31">
        <v>0</v>
      </c>
      <c r="AV37" s="31">
        <v>0</v>
      </c>
      <c r="AW37" s="31">
        <v>0</v>
      </c>
      <c r="AX37" s="31">
        <v>0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1991.8600000000001</v>
      </c>
      <c r="BF37" s="31">
        <v>0</v>
      </c>
      <c r="BG37" s="31">
        <v>0</v>
      </c>
      <c r="BH37" s="31">
        <v>0</v>
      </c>
      <c r="BI37" s="31">
        <v>0</v>
      </c>
      <c r="BJ37" s="32">
        <f t="shared" si="11"/>
        <v>1991.8600000000001</v>
      </c>
      <c r="BK37" s="33">
        <f>BJ37+AM37+AL37+'11-2025'!$N37+AN37+AO37</f>
        <v>4711.8600000000006</v>
      </c>
      <c r="BL37" s="34">
        <f>'11-2025'!$O37</f>
        <v>0</v>
      </c>
      <c r="BM37" s="34">
        <f t="shared" si="6"/>
        <v>0</v>
      </c>
      <c r="BN37" s="34">
        <f t="shared" si="7"/>
        <v>0</v>
      </c>
      <c r="BO37" s="34">
        <f t="shared" si="8"/>
        <v>1666.6666666666667</v>
      </c>
      <c r="BP37" s="35">
        <f t="shared" si="9"/>
        <v>3045.1933333333336</v>
      </c>
      <c r="BQ37" s="34">
        <f>IFERROR(BP37/'11-2025'!$J37,0)*12</f>
        <v>36542.320000000007</v>
      </c>
      <c r="BR37" s="34">
        <f>IF(BQ37&lt;=40000,0,
IF(BQ37&lt;=55000,(BQ37-40000)*10%,
IF(BQ37&lt;=70000,(BQ37-55000)*15%+1500,
IF(BQ37&lt;=200000,(BQ37-70000)*20%+1500+2250,
IF(BQ37&lt;=400000,(BQ37-200000)*22.5%+1500+2250+26000,
IF(BQ37&lt;=600000,(BQ37-400000)*25%+1500+2250+26000+45000,
IF(AND(BQ37&gt;600000,BQ37&lt;=1200000),(BQ37-400000)*25%+1500+2250+26000+45000
+IFERROR(LOOKUP(BQ37,{600001;700001;800001;900001},{4000;6750;10250;15250}),0),IF(BQ37&gt;1200000,((BQ37-1200000)*27.5%)+300000,0)
)))))))</f>
        <v>0</v>
      </c>
      <c r="BS37" s="32">
        <f>(BR37/12*'11-2025'!$J37)</f>
        <v>0</v>
      </c>
      <c r="BT37" s="33">
        <f>BS37-'11-2025'!$V37</f>
        <v>0</v>
      </c>
      <c r="BU37" s="32">
        <f>IFERROR(+'11-2025'!$W37+AL37+AM37+BJ37-'11-2025'!$AJ37-BT37+AN37+AO37,"")-AL37+AP37+AQ37</f>
        <v>4119.3600000000006</v>
      </c>
      <c r="BV37" s="36"/>
      <c r="BW37" s="37"/>
      <c r="BX37" s="37">
        <f t="shared" si="10"/>
        <v>4119.3600000000006</v>
      </c>
      <c r="BY37" s="37" t="s">
        <v>75</v>
      </c>
    </row>
    <row r="38" spans="1:78" s="75" customFormat="1" x14ac:dyDescent="0.25">
      <c r="A38" s="38">
        <v>324</v>
      </c>
      <c r="B38" s="40" t="s">
        <v>137</v>
      </c>
      <c r="C38" s="40" t="s">
        <v>106</v>
      </c>
      <c r="D38" s="40" t="s">
        <v>72</v>
      </c>
      <c r="E38" s="40" t="s">
        <v>82</v>
      </c>
      <c r="F38" s="40" t="s">
        <v>102</v>
      </c>
      <c r="G38" s="61">
        <v>45880</v>
      </c>
      <c r="H38" s="61">
        <v>45931</v>
      </c>
      <c r="I38" s="62">
        <v>29706171200384</v>
      </c>
      <c r="J38" s="63">
        <v>1</v>
      </c>
      <c r="K38" s="63">
        <v>2500</v>
      </c>
      <c r="L38" s="63"/>
      <c r="M38" s="64"/>
      <c r="N38" s="63">
        <f>SUM('11-2025'!$K38:$M38)</f>
        <v>2500</v>
      </c>
      <c r="O38" s="63"/>
      <c r="P38" s="63">
        <f t="shared" si="0"/>
        <v>0</v>
      </c>
      <c r="Q38" s="63">
        <f t="shared" si="1"/>
        <v>0</v>
      </c>
      <c r="R38" s="63">
        <v>1666.6666666666667</v>
      </c>
      <c r="S38" s="65">
        <f t="shared" si="2"/>
        <v>833.33333333333326</v>
      </c>
      <c r="T38" s="63">
        <f t="shared" si="3"/>
        <v>10000</v>
      </c>
      <c r="U38" s="63">
        <f>IF(T38&lt;=40000,0,
IF(T38&lt;=55000,(T38-40000)*10%,
IF(T38&lt;=70000,(T38-55000)*15%+1500,
IF(T38&lt;=200000,(T38-70000)*20%+1500+2250,
IF(T38&lt;=400000,(T38-200000)*22.5%+1500+2250+26000,
IF(T38&lt;=600000,(T38-400000)*25%+1500+2250+26000+45000,
IF(AND(T38&gt;600000,T38&lt;=1200000),(T38-400000)*25%+1500+2250+26000+45000
+IFERROR(LOOKUP(T38,{600001;700001;800001;900001},{4000;6750;10250;15250}),0),IF(T38&gt;1200000,((T38-1200000)*27.5%)+300000,0)
)))))))</f>
        <v>0</v>
      </c>
      <c r="V38" s="63">
        <f t="shared" si="4"/>
        <v>0</v>
      </c>
      <c r="W38" s="66">
        <f>+'11-2025'!$S38-'11-2025'!$V38+'11-2025'!$R38</f>
        <v>2500</v>
      </c>
      <c r="X38" s="66">
        <f t="shared" si="5"/>
        <v>83.333333333333329</v>
      </c>
      <c r="Y38" s="67"/>
      <c r="Z38" s="67">
        <f>IFERROR(+'11-2025'!$X38*'11-2025'!$Y38,"")</f>
        <v>0</v>
      </c>
      <c r="AA38" s="67"/>
      <c r="AB38" s="67">
        <f>IFERROR(+'11-2025'!$X38*'11-2025'!$AA38,"")</f>
        <v>0</v>
      </c>
      <c r="AC38" s="67">
        <v>30</v>
      </c>
      <c r="AD38" s="67">
        <f>IFERROR(+'11-2025'!$X38*'11-2025'!$AC38,"")</f>
        <v>2500</v>
      </c>
      <c r="AE38" s="67"/>
      <c r="AF38" s="67">
        <f>IFERROR(+'11-2025'!$X38*'11-2025'!$AE38,"")</f>
        <v>0</v>
      </c>
      <c r="AG38" s="67"/>
      <c r="AH38" s="67">
        <f>IFERROR(+'11-2025'!$X38*'11-2025'!$AG38,"")</f>
        <v>0</v>
      </c>
      <c r="AI38" s="29">
        <v>0</v>
      </c>
      <c r="AJ38" s="67">
        <f>IFERROR('11-2025'!$Z38+'11-2025'!$AB38+'11-2025'!$AD38+'11-2025'!$AF38+'11-2025'!$AH38+'11-2025'!$AI38,"")</f>
        <v>2500</v>
      </c>
      <c r="AK38" s="68">
        <f>IFERROR('11-2025'!$W38-'11-2025'!$AJ38,"")</f>
        <v>0</v>
      </c>
      <c r="AL38" s="69"/>
      <c r="AM38" s="69"/>
      <c r="AN38" s="69"/>
      <c r="AO38" s="69"/>
      <c r="AP38" s="69"/>
      <c r="AQ38" s="69"/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9">
        <f t="shared" si="11"/>
        <v>0</v>
      </c>
      <c r="BK38" s="70">
        <f>BJ38+AM38+AL38+'11-2025'!$N38+AN38+AO38</f>
        <v>2500</v>
      </c>
      <c r="BL38" s="71">
        <f>'11-2025'!$O38</f>
        <v>0</v>
      </c>
      <c r="BM38" s="71">
        <f t="shared" si="6"/>
        <v>0</v>
      </c>
      <c r="BN38" s="71">
        <f t="shared" si="7"/>
        <v>0</v>
      </c>
      <c r="BO38" s="71">
        <f t="shared" si="8"/>
        <v>1666.6666666666667</v>
      </c>
      <c r="BP38" s="72">
        <f t="shared" si="9"/>
        <v>833.33333333333326</v>
      </c>
      <c r="BQ38" s="71">
        <f>IFERROR(BP38/'11-2025'!$J38,0)*12</f>
        <v>10000</v>
      </c>
      <c r="BR38" s="71">
        <f>IF(BQ38&lt;=40000,0,
IF(BQ38&lt;=55000,(BQ38-40000)*10%,
IF(BQ38&lt;=70000,(BQ38-55000)*15%+1500,
IF(BQ38&lt;=200000,(BQ38-70000)*20%+1500+2250,
IF(BQ38&lt;=400000,(BQ38-200000)*22.5%+1500+2250+26000,
IF(BQ38&lt;=600000,(BQ38-400000)*25%+1500+2250+26000+45000,
IF(AND(BQ38&gt;600000,BQ38&lt;=1200000),(BQ38-400000)*25%+1500+2250+26000+45000
+IFERROR(LOOKUP(BQ38,{600001;700001;800001;900001},{4000;6750;10250;15250}),0),IF(BQ38&gt;1200000,((BQ38-1200000)*27.5%)+300000,0)
)))))))</f>
        <v>0</v>
      </c>
      <c r="BS38" s="39">
        <f>(BR38/12*'11-2025'!$J38)</f>
        <v>0</v>
      </c>
      <c r="BT38" s="70">
        <f>BS38-'11-2025'!$V38</f>
        <v>0</v>
      </c>
      <c r="BU38" s="39">
        <f>IFERROR(+'11-2025'!$W38+AL38+AM38+BJ38-'11-2025'!$AJ38-BT38+AN38+AO38,"")-AL38+AP38+AQ38</f>
        <v>0</v>
      </c>
      <c r="BV38" s="73"/>
      <c r="BW38" s="74"/>
      <c r="BX38" s="74">
        <f t="shared" si="10"/>
        <v>0</v>
      </c>
      <c r="BY38" s="74"/>
    </row>
    <row r="39" spans="1:78" x14ac:dyDescent="0.25">
      <c r="A39" s="21">
        <v>332</v>
      </c>
      <c r="B39" s="22" t="s">
        <v>138</v>
      </c>
      <c r="C39" s="22" t="s">
        <v>81</v>
      </c>
      <c r="D39" s="22" t="s">
        <v>72</v>
      </c>
      <c r="E39" s="22" t="s">
        <v>124</v>
      </c>
      <c r="F39" s="22" t="s">
        <v>139</v>
      </c>
      <c r="G39" s="23">
        <v>45465</v>
      </c>
      <c r="H39" s="23"/>
      <c r="I39" s="24">
        <v>30601161400333</v>
      </c>
      <c r="J39" s="25">
        <v>1</v>
      </c>
      <c r="K39" s="25">
        <v>3214.5</v>
      </c>
      <c r="L39" s="25"/>
      <c r="M39" s="26"/>
      <c r="N39" s="25">
        <f>SUM('11-2025'!$K39:$M39)</f>
        <v>3214.5</v>
      </c>
      <c r="O39" s="25">
        <v>4250</v>
      </c>
      <c r="P39" s="25">
        <f t="shared" si="0"/>
        <v>796.875</v>
      </c>
      <c r="Q39" s="25">
        <f t="shared" si="1"/>
        <v>467.5</v>
      </c>
      <c r="R39" s="25">
        <v>1666.6666666666667</v>
      </c>
      <c r="S39" s="27">
        <f t="shared" si="2"/>
        <v>1080.3333333333333</v>
      </c>
      <c r="T39" s="25">
        <f t="shared" si="3"/>
        <v>12964</v>
      </c>
      <c r="U39" s="25">
        <f>IF(T39&lt;=40000,0,
IF(T39&lt;=55000,(T39-40000)*10%,
IF(T39&lt;=70000,(T39-55000)*15%+1500,
IF(T39&lt;=200000,(T39-70000)*20%+1500+2250,
IF(T39&lt;=400000,(T39-200000)*22.5%+1500+2250+26000,
IF(T39&lt;=600000,(T39-400000)*25%+1500+2250+26000+45000,
IF(AND(T39&gt;600000,T39&lt;=1200000),(T39-400000)*25%+1500+2250+26000+45000
+IFERROR(LOOKUP(T39,{600001;700001;800001;900001},{4000;6750;10250;15250}),0),IF(T39&gt;1200000,((T39-1200000)*27.5%)+300000,0)
)))))))</f>
        <v>0</v>
      </c>
      <c r="V39" s="25">
        <f t="shared" si="4"/>
        <v>0</v>
      </c>
      <c r="W39" s="28">
        <f>+'11-2025'!$S39-'11-2025'!$V39+'11-2025'!$R39</f>
        <v>2747</v>
      </c>
      <c r="X39" s="28">
        <f t="shared" si="5"/>
        <v>91.566666666666663</v>
      </c>
      <c r="Y39" s="29">
        <v>0</v>
      </c>
      <c r="Z39" s="29">
        <f>IFERROR(+'11-2025'!$X39*'11-2025'!$Y39,"")</f>
        <v>0</v>
      </c>
      <c r="AA39" s="29">
        <v>0</v>
      </c>
      <c r="AB39" s="29">
        <f>IFERROR(+'11-2025'!$X39*'11-2025'!$AA39,"")</f>
        <v>0</v>
      </c>
      <c r="AC39" s="29">
        <v>0.5</v>
      </c>
      <c r="AD39" s="29">
        <f>IFERROR(+'11-2025'!$X39*'11-2025'!$AC39,"")</f>
        <v>45.783333333333331</v>
      </c>
      <c r="AE39" s="29">
        <v>0</v>
      </c>
      <c r="AF39" s="29">
        <f>IFERROR(+'11-2025'!$X39*'11-2025'!$AE39,"")</f>
        <v>0</v>
      </c>
      <c r="AG39" s="29">
        <v>1.5</v>
      </c>
      <c r="AH39" s="29">
        <f>IFERROR(+'11-2025'!$X39*'11-2025'!$AG39,"")</f>
        <v>137.35</v>
      </c>
      <c r="AI39" s="29">
        <v>1000</v>
      </c>
      <c r="AJ39" s="29">
        <f>IFERROR('11-2025'!$Z39+'11-2025'!$AB39+'11-2025'!$AD39+'11-2025'!$AF39+'11-2025'!$AH39+'11-2025'!$AI39,"")</f>
        <v>1183.1333333333332</v>
      </c>
      <c r="AK39" s="30">
        <f>IFERROR('11-2025'!$W39-'11-2025'!$AJ39,"")</f>
        <v>1563.8666666666668</v>
      </c>
      <c r="AL39" s="31"/>
      <c r="AM39" s="31">
        <v>2500</v>
      </c>
      <c r="AN39" s="31"/>
      <c r="AO39" s="31">
        <v>160</v>
      </c>
      <c r="AP39" s="31"/>
      <c r="AQ39" s="31"/>
      <c r="AR39" s="31">
        <v>0</v>
      </c>
      <c r="AS39" s="31">
        <v>0</v>
      </c>
      <c r="AT39" s="31">
        <v>0</v>
      </c>
      <c r="AU39" s="31">
        <v>0</v>
      </c>
      <c r="AV39" s="31">
        <v>4590.9058999999997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2">
        <f t="shared" si="11"/>
        <v>4590.9058999999997</v>
      </c>
      <c r="BK39" s="33">
        <f>BJ39+AM39+AL39+'11-2025'!$N39+AN39+AO39</f>
        <v>10465.4059</v>
      </c>
      <c r="BL39" s="34">
        <f>'11-2025'!$O39</f>
        <v>4250</v>
      </c>
      <c r="BM39" s="34">
        <f t="shared" si="6"/>
        <v>796.875</v>
      </c>
      <c r="BN39" s="34">
        <f t="shared" si="7"/>
        <v>467.5</v>
      </c>
      <c r="BO39" s="34">
        <f t="shared" si="8"/>
        <v>1666.6666666666667</v>
      </c>
      <c r="BP39" s="35">
        <f t="shared" si="9"/>
        <v>8331.2392333333337</v>
      </c>
      <c r="BQ39" s="34">
        <f>IFERROR(BP39/'11-2025'!$J39,0)*12</f>
        <v>99974.870800000004</v>
      </c>
      <c r="BR39" s="34">
        <f>IF(BQ39&lt;=40000,0,
IF(BQ39&lt;=55000,(BQ39-40000)*10%,
IF(BQ39&lt;=70000,(BQ39-55000)*15%+1500,
IF(BQ39&lt;=200000,(BQ39-70000)*20%+1500+2250,
IF(BQ39&lt;=400000,(BQ39-200000)*22.5%+1500+2250+26000,
IF(BQ39&lt;=600000,(BQ39-400000)*25%+1500+2250+26000+45000,
IF(AND(BQ39&gt;600000,BQ39&lt;=1200000),(BQ39-400000)*25%+1500+2250+26000+45000
+IFERROR(LOOKUP(BQ39,{600001;700001;800001;900001},{4000;6750;10250;15250}),0),IF(BQ39&gt;1200000,((BQ39-1200000)*27.5%)+300000,0)
)))))))</f>
        <v>9744.9741600000016</v>
      </c>
      <c r="BS39" s="32">
        <f>(BR39/12*'11-2025'!$J39)</f>
        <v>812.08118000000013</v>
      </c>
      <c r="BT39" s="33">
        <f>BS39-'11-2025'!$V39</f>
        <v>812.08118000000013</v>
      </c>
      <c r="BU39" s="32">
        <f>IFERROR(+'11-2025'!$W39+AL39+AM39+BJ39-'11-2025'!$AJ39-BT39+AN39+AO39,"")-AL39+AP39+AQ39</f>
        <v>8002.6913866666664</v>
      </c>
      <c r="BV39" s="36" t="s">
        <v>426</v>
      </c>
      <c r="BW39" s="37"/>
      <c r="BX39" s="37">
        <f t="shared" si="10"/>
        <v>8002.6913866666664</v>
      </c>
      <c r="BY39" s="37"/>
      <c r="BZ39" s="59"/>
    </row>
    <row r="40" spans="1:78" s="75" customFormat="1" x14ac:dyDescent="0.25">
      <c r="A40" s="38">
        <v>336</v>
      </c>
      <c r="B40" s="40" t="s">
        <v>140</v>
      </c>
      <c r="C40" s="40" t="s">
        <v>71</v>
      </c>
      <c r="D40" s="40" t="s">
        <v>72</v>
      </c>
      <c r="E40" s="40" t="s">
        <v>88</v>
      </c>
      <c r="F40" s="40" t="s">
        <v>139</v>
      </c>
      <c r="G40" s="61">
        <v>45732</v>
      </c>
      <c r="H40" s="61">
        <v>45916</v>
      </c>
      <c r="I40" s="62">
        <v>30507250100398</v>
      </c>
      <c r="J40" s="63">
        <v>1</v>
      </c>
      <c r="K40" s="63">
        <v>3000</v>
      </c>
      <c r="L40" s="63"/>
      <c r="M40" s="64"/>
      <c r="N40" s="63">
        <f>SUM('11-2025'!$K40:$M40)</f>
        <v>3000</v>
      </c>
      <c r="O40" s="63"/>
      <c r="P40" s="63">
        <f t="shared" si="0"/>
        <v>0</v>
      </c>
      <c r="Q40" s="63">
        <f t="shared" si="1"/>
        <v>0</v>
      </c>
      <c r="R40" s="63">
        <v>1666.6666666666667</v>
      </c>
      <c r="S40" s="65">
        <f t="shared" si="2"/>
        <v>1333.3333333333333</v>
      </c>
      <c r="T40" s="63">
        <f t="shared" si="3"/>
        <v>16000</v>
      </c>
      <c r="U40" s="63">
        <f>IF(T40&lt;=40000,0,
IF(T40&lt;=55000,(T40-40000)*10%,
IF(T40&lt;=70000,(T40-55000)*15%+1500,
IF(T40&lt;=200000,(T40-70000)*20%+1500+2250,
IF(T40&lt;=400000,(T40-200000)*22.5%+1500+2250+26000,
IF(T40&lt;=600000,(T40-400000)*25%+1500+2250+26000+45000,
IF(AND(T40&gt;600000,T40&lt;=1200000),(T40-400000)*25%+1500+2250+26000+45000
+IFERROR(LOOKUP(T40,{600001;700001;800001;900001},{4000;6750;10250;15250}),0),IF(T40&gt;1200000,((T40-1200000)*27.5%)+300000,0)
)))))))</f>
        <v>0</v>
      </c>
      <c r="V40" s="63">
        <f t="shared" si="4"/>
        <v>0</v>
      </c>
      <c r="W40" s="66">
        <f>+'11-2025'!$S40-'11-2025'!$V40+'11-2025'!$R40</f>
        <v>3000</v>
      </c>
      <c r="X40" s="66">
        <f t="shared" si="5"/>
        <v>100</v>
      </c>
      <c r="Y40" s="67"/>
      <c r="Z40" s="67">
        <f>IFERROR(+'11-2025'!$X40*'11-2025'!$Y40,"")</f>
        <v>0</v>
      </c>
      <c r="AA40" s="67"/>
      <c r="AB40" s="67">
        <f>IFERROR(+'11-2025'!$X40*'11-2025'!$AA40,"")</f>
        <v>0</v>
      </c>
      <c r="AC40" s="67">
        <v>30</v>
      </c>
      <c r="AD40" s="67">
        <f>IFERROR(+'11-2025'!$X40*'11-2025'!$AC40,"")</f>
        <v>3000</v>
      </c>
      <c r="AE40" s="67"/>
      <c r="AF40" s="67">
        <f>IFERROR(+'11-2025'!$X40*'11-2025'!$AE40,"")</f>
        <v>0</v>
      </c>
      <c r="AG40" s="67"/>
      <c r="AH40" s="67">
        <f>IFERROR(+'11-2025'!$X40*'11-2025'!$AG40,"")</f>
        <v>0</v>
      </c>
      <c r="AI40" s="29">
        <v>0</v>
      </c>
      <c r="AJ40" s="67">
        <f>IFERROR('11-2025'!$Z40+'11-2025'!$AB40+'11-2025'!$AD40+'11-2025'!$AF40+'11-2025'!$AH40+'11-2025'!$AI40,"")</f>
        <v>3000</v>
      </c>
      <c r="AK40" s="68">
        <f>IFERROR('11-2025'!$W40-'11-2025'!$AJ40,"")</f>
        <v>0</v>
      </c>
      <c r="AL40" s="69"/>
      <c r="AM40" s="69"/>
      <c r="AN40" s="69"/>
      <c r="AO40" s="69"/>
      <c r="AP40" s="69"/>
      <c r="AQ40" s="69"/>
      <c r="AR40" s="31">
        <v>0</v>
      </c>
      <c r="AS40" s="31">
        <v>0</v>
      </c>
      <c r="AT40" s="31">
        <v>0</v>
      </c>
      <c r="AU40" s="31">
        <v>0</v>
      </c>
      <c r="AV40" s="31">
        <v>0</v>
      </c>
      <c r="AW40" s="31">
        <v>0</v>
      </c>
      <c r="AX40" s="31">
        <v>0</v>
      </c>
      <c r="AY40" s="31">
        <v>0</v>
      </c>
      <c r="AZ40" s="31">
        <v>0</v>
      </c>
      <c r="BA40" s="31">
        <v>0</v>
      </c>
      <c r="BB40" s="31">
        <v>0</v>
      </c>
      <c r="BC40" s="31">
        <v>0</v>
      </c>
      <c r="BD40" s="31">
        <v>0</v>
      </c>
      <c r="BE40" s="31">
        <v>0</v>
      </c>
      <c r="BF40" s="31">
        <v>0</v>
      </c>
      <c r="BG40" s="31">
        <v>0</v>
      </c>
      <c r="BH40" s="31">
        <v>0</v>
      </c>
      <c r="BI40" s="31">
        <v>0</v>
      </c>
      <c r="BJ40" s="39">
        <f t="shared" si="11"/>
        <v>0</v>
      </c>
      <c r="BK40" s="70">
        <f>BJ40+AM40+AL40+'11-2025'!$N40+AN40+AO40</f>
        <v>3000</v>
      </c>
      <c r="BL40" s="71">
        <f>'11-2025'!$O40</f>
        <v>0</v>
      </c>
      <c r="BM40" s="71">
        <f t="shared" si="6"/>
        <v>0</v>
      </c>
      <c r="BN40" s="71">
        <f t="shared" si="7"/>
        <v>0</v>
      </c>
      <c r="BO40" s="71">
        <f t="shared" si="8"/>
        <v>1666.6666666666667</v>
      </c>
      <c r="BP40" s="72">
        <f t="shared" si="9"/>
        <v>1333.3333333333333</v>
      </c>
      <c r="BQ40" s="71">
        <f>IFERROR(BP40/'11-2025'!$J40,0)*12</f>
        <v>16000</v>
      </c>
      <c r="BR40" s="71">
        <f>IF(BQ40&lt;=40000,0,
IF(BQ40&lt;=55000,(BQ40-40000)*10%,
IF(BQ40&lt;=70000,(BQ40-55000)*15%+1500,
IF(BQ40&lt;=200000,(BQ40-70000)*20%+1500+2250,
IF(BQ40&lt;=400000,(BQ40-200000)*22.5%+1500+2250+26000,
IF(BQ40&lt;=600000,(BQ40-400000)*25%+1500+2250+26000+45000,
IF(AND(BQ40&gt;600000,BQ40&lt;=1200000),(BQ40-400000)*25%+1500+2250+26000+45000
+IFERROR(LOOKUP(BQ40,{600001;700001;800001;900001},{4000;6750;10250;15250}),0),IF(BQ40&gt;1200000,((BQ40-1200000)*27.5%)+300000,0)
)))))))</f>
        <v>0</v>
      </c>
      <c r="BS40" s="39">
        <f>(BR40/12*'11-2025'!$J40)</f>
        <v>0</v>
      </c>
      <c r="BT40" s="70">
        <f>BS40-'11-2025'!$V40</f>
        <v>0</v>
      </c>
      <c r="BU40" s="39">
        <f>IFERROR(+'11-2025'!$W40+AL40+AM40+BJ40-'11-2025'!$AJ40-BT40+AN40+AO40,"")-AL40+AP40+AQ40</f>
        <v>0</v>
      </c>
      <c r="BV40" s="73"/>
      <c r="BW40" s="74"/>
      <c r="BX40" s="74">
        <f t="shared" si="10"/>
        <v>0</v>
      </c>
      <c r="BY40" s="74"/>
      <c r="BZ40" s="76"/>
    </row>
    <row r="41" spans="1:78" x14ac:dyDescent="0.25">
      <c r="A41" s="21">
        <v>340</v>
      </c>
      <c r="B41" s="22" t="s">
        <v>141</v>
      </c>
      <c r="C41" s="22" t="s">
        <v>71</v>
      </c>
      <c r="D41" s="22" t="s">
        <v>72</v>
      </c>
      <c r="E41" s="22" t="s">
        <v>82</v>
      </c>
      <c r="F41" s="22" t="s">
        <v>83</v>
      </c>
      <c r="G41" s="23">
        <v>45497</v>
      </c>
      <c r="H41" s="23"/>
      <c r="I41" s="24">
        <v>29203050102561</v>
      </c>
      <c r="J41" s="25">
        <v>1</v>
      </c>
      <c r="K41" s="25">
        <v>8515.6200000000008</v>
      </c>
      <c r="L41" s="25"/>
      <c r="M41" s="26"/>
      <c r="N41" s="25">
        <f>SUM('11-2025'!$K41:$M41)</f>
        <v>8515.6200000000008</v>
      </c>
      <c r="O41" s="25"/>
      <c r="P41" s="25">
        <f t="shared" si="0"/>
        <v>0</v>
      </c>
      <c r="Q41" s="25">
        <f t="shared" si="1"/>
        <v>0</v>
      </c>
      <c r="R41" s="25">
        <v>1666.6666666666667</v>
      </c>
      <c r="S41" s="27">
        <f t="shared" si="2"/>
        <v>6848.9533333333338</v>
      </c>
      <c r="T41" s="25">
        <f t="shared" si="3"/>
        <v>82187.44</v>
      </c>
      <c r="U41" s="25">
        <f>IF(T41&lt;=40000,0,
IF(T41&lt;=55000,(T41-40000)*10%,
IF(T41&lt;=70000,(T41-55000)*15%+1500,
IF(T41&lt;=200000,(T41-70000)*20%+1500+2250,
IF(T41&lt;=400000,(T41-200000)*22.5%+1500+2250+26000,
IF(T41&lt;=600000,(T41-400000)*25%+1500+2250+26000+45000,
IF(AND(T41&gt;600000,T41&lt;=1200000),(T41-400000)*25%+1500+2250+26000+45000
+IFERROR(LOOKUP(T41,{600001;700001;800001;900001},{4000;6750;10250;15250}),0),IF(T41&gt;1200000,((T41-1200000)*27.5%)+300000,0)
)))))))</f>
        <v>6187.4880000000012</v>
      </c>
      <c r="V41" s="25">
        <f t="shared" si="4"/>
        <v>515.62400000000014</v>
      </c>
      <c r="W41" s="28">
        <f>+'11-2025'!$S41-'11-2025'!$V41+'11-2025'!$R41</f>
        <v>7999.996000000001</v>
      </c>
      <c r="X41" s="28">
        <f t="shared" si="5"/>
        <v>266.66653333333335</v>
      </c>
      <c r="Y41" s="29">
        <v>0</v>
      </c>
      <c r="Z41" s="29">
        <f>IFERROR(+'11-2025'!$X41*'11-2025'!$Y41,"")</f>
        <v>0</v>
      </c>
      <c r="AA41" s="29">
        <v>0</v>
      </c>
      <c r="AB41" s="29">
        <f>IFERROR(+'11-2025'!$X41*'11-2025'!$AA41,"")</f>
        <v>0</v>
      </c>
      <c r="AC41" s="29">
        <v>0</v>
      </c>
      <c r="AD41" s="29">
        <f>IFERROR(+'11-2025'!$X41*'11-2025'!$AC41,"")</f>
        <v>0</v>
      </c>
      <c r="AE41" s="29">
        <v>0</v>
      </c>
      <c r="AF41" s="29">
        <f>IFERROR(+'11-2025'!$X41*'11-2025'!$AE41,"")</f>
        <v>0</v>
      </c>
      <c r="AG41" s="29">
        <v>0</v>
      </c>
      <c r="AH41" s="29">
        <f>IFERROR(+'11-2025'!$X41*'11-2025'!$AG41,"")</f>
        <v>0</v>
      </c>
      <c r="AI41" s="29">
        <v>2500</v>
      </c>
      <c r="AJ41" s="29">
        <f>IFERROR('11-2025'!$Z41+'11-2025'!$AB41+'11-2025'!$AD41+'11-2025'!$AF41+'11-2025'!$AH41+'11-2025'!$AI41,"")</f>
        <v>2500</v>
      </c>
      <c r="AK41" s="30">
        <f>IFERROR('11-2025'!$W41-'11-2025'!$AJ41,"")</f>
        <v>5499.996000000001</v>
      </c>
      <c r="AL41" s="31"/>
      <c r="AM41" s="31"/>
      <c r="AN41" s="31"/>
      <c r="AO41" s="31">
        <v>0</v>
      </c>
      <c r="AP41" s="31"/>
      <c r="AQ41" s="31"/>
      <c r="AR41" s="31">
        <v>0</v>
      </c>
      <c r="AS41" s="31">
        <v>0</v>
      </c>
      <c r="AT41" s="31">
        <v>3516.0785050000004</v>
      </c>
      <c r="AU41" s="31">
        <v>2236.1298750000001</v>
      </c>
      <c r="AV41" s="31">
        <v>0</v>
      </c>
      <c r="AW41" s="31">
        <v>0</v>
      </c>
      <c r="AX41" s="31">
        <v>0</v>
      </c>
      <c r="AY41" s="31">
        <v>0</v>
      </c>
      <c r="AZ41" s="31">
        <v>0</v>
      </c>
      <c r="BA41" s="31">
        <v>0</v>
      </c>
      <c r="BB41" s="31">
        <v>0</v>
      </c>
      <c r="BC41" s="31">
        <v>0</v>
      </c>
      <c r="BD41" s="31">
        <v>0</v>
      </c>
      <c r="BE41" s="31">
        <v>861.07400000000007</v>
      </c>
      <c r="BF41" s="31">
        <v>0</v>
      </c>
      <c r="BG41" s="31">
        <v>0</v>
      </c>
      <c r="BH41" s="31">
        <v>0</v>
      </c>
      <c r="BI41" s="31">
        <v>0</v>
      </c>
      <c r="BJ41" s="32">
        <f t="shared" si="11"/>
        <v>6613.2823800000006</v>
      </c>
      <c r="BK41" s="33">
        <f>BJ41+AM41+AL41+'11-2025'!$N41+AN41+AO41</f>
        <v>15128.902380000001</v>
      </c>
      <c r="BL41" s="34">
        <f>'11-2025'!$O41</f>
        <v>0</v>
      </c>
      <c r="BM41" s="34">
        <f t="shared" si="6"/>
        <v>0</v>
      </c>
      <c r="BN41" s="34">
        <f t="shared" si="7"/>
        <v>0</v>
      </c>
      <c r="BO41" s="34">
        <f t="shared" si="8"/>
        <v>1666.6666666666667</v>
      </c>
      <c r="BP41" s="35">
        <f t="shared" si="9"/>
        <v>13462.235713333335</v>
      </c>
      <c r="BQ41" s="34">
        <f>IFERROR(BP41/'11-2025'!$J41,0)*12</f>
        <v>161546.82856000002</v>
      </c>
      <c r="BR41" s="34">
        <f>IF(BQ41&lt;=40000,0,
IF(BQ41&lt;=55000,(BQ41-40000)*10%,
IF(BQ41&lt;=70000,(BQ41-55000)*15%+1500,
IF(BQ41&lt;=200000,(BQ41-70000)*20%+1500+2250,
IF(BQ41&lt;=400000,(BQ41-200000)*22.5%+1500+2250+26000,
IF(BQ41&lt;=600000,(BQ41-400000)*25%+1500+2250+26000+45000,
IF(AND(BQ41&gt;600000,BQ41&lt;=1200000),(BQ41-400000)*25%+1500+2250+26000+45000
+IFERROR(LOOKUP(BQ41,{600001;700001;800001;900001},{4000;6750;10250;15250}),0),IF(BQ41&gt;1200000,((BQ41-1200000)*27.5%)+300000,0)
)))))))</f>
        <v>22059.365712000006</v>
      </c>
      <c r="BS41" s="32">
        <f>(BR41/12*'11-2025'!$J41)</f>
        <v>1838.2804760000006</v>
      </c>
      <c r="BT41" s="33">
        <f>BS41-'11-2025'!$V41</f>
        <v>1322.6564760000006</v>
      </c>
      <c r="BU41" s="32">
        <f>IFERROR(+'11-2025'!$W41+AL41+AM41+BJ41-'11-2025'!$AJ41-BT41+AN41+AO41,"")-AL41+AP41+AQ41</f>
        <v>10790.621904000001</v>
      </c>
      <c r="BV41" s="36"/>
      <c r="BW41" s="37"/>
      <c r="BX41" s="37">
        <f t="shared" si="10"/>
        <v>10790.621904000001</v>
      </c>
      <c r="BY41" s="37"/>
    </row>
    <row r="42" spans="1:78" s="75" customFormat="1" x14ac:dyDescent="0.25">
      <c r="A42" s="38">
        <v>341</v>
      </c>
      <c r="B42" s="40" t="s">
        <v>142</v>
      </c>
      <c r="C42" s="40" t="s">
        <v>71</v>
      </c>
      <c r="D42" s="40" t="s">
        <v>72</v>
      </c>
      <c r="E42" s="40" t="s">
        <v>88</v>
      </c>
      <c r="F42" s="40" t="s">
        <v>86</v>
      </c>
      <c r="G42" s="61">
        <v>45482</v>
      </c>
      <c r="H42" s="61">
        <v>45894</v>
      </c>
      <c r="I42" s="62">
        <v>30203190102583</v>
      </c>
      <c r="J42" s="63">
        <v>1</v>
      </c>
      <c r="K42" s="63">
        <v>4250.46</v>
      </c>
      <c r="L42" s="63"/>
      <c r="M42" s="64"/>
      <c r="N42" s="63">
        <f>SUM('11-2025'!$K42:$M42)</f>
        <v>4250.46</v>
      </c>
      <c r="O42" s="63">
        <v>4576.9230769230771</v>
      </c>
      <c r="P42" s="63">
        <f t="shared" si="0"/>
        <v>858.17307692307691</v>
      </c>
      <c r="Q42" s="63">
        <f t="shared" si="1"/>
        <v>503.46153846153851</v>
      </c>
      <c r="R42" s="63">
        <v>1666.6666666666667</v>
      </c>
      <c r="S42" s="65">
        <f t="shared" si="2"/>
        <v>2080.331794871795</v>
      </c>
      <c r="T42" s="63">
        <f t="shared" si="3"/>
        <v>24963.981538461539</v>
      </c>
      <c r="U42" s="63">
        <f>IF(T42&lt;=40000,0,
IF(T42&lt;=55000,(T42-40000)*10%,
IF(T42&lt;=70000,(T42-55000)*15%+1500,
IF(T42&lt;=200000,(T42-70000)*20%+1500+2250,
IF(T42&lt;=400000,(T42-200000)*22.5%+1500+2250+26000,
IF(T42&lt;=600000,(T42-400000)*25%+1500+2250+26000+45000,
IF(AND(T42&gt;600000,T42&lt;=1200000),(T42-400000)*25%+1500+2250+26000+45000
+IFERROR(LOOKUP(T42,{600001;700001;800001;900001},{4000;6750;10250;15250}),0),IF(T42&gt;1200000,((T42-1200000)*27.5%)+300000,0)
)))))))</f>
        <v>0</v>
      </c>
      <c r="V42" s="63">
        <f t="shared" si="4"/>
        <v>0</v>
      </c>
      <c r="W42" s="66">
        <f>+'11-2025'!$S42-'11-2025'!$V42+'11-2025'!$R42</f>
        <v>3746.9984615384619</v>
      </c>
      <c r="X42" s="66">
        <f t="shared" si="5"/>
        <v>124.89994871794873</v>
      </c>
      <c r="Y42" s="67"/>
      <c r="Z42" s="67">
        <f>IFERROR(+'11-2025'!$X42*'11-2025'!$Y42,"")</f>
        <v>0</v>
      </c>
      <c r="AA42" s="67"/>
      <c r="AB42" s="67">
        <f>IFERROR(+'11-2025'!$X42*'11-2025'!$AA42,"")</f>
        <v>0</v>
      </c>
      <c r="AC42" s="67">
        <v>30</v>
      </c>
      <c r="AD42" s="67">
        <f>IFERROR(+'11-2025'!$X42*'11-2025'!$AC42,"")</f>
        <v>3746.9984615384619</v>
      </c>
      <c r="AE42" s="67"/>
      <c r="AF42" s="67">
        <f>IFERROR(+'11-2025'!$X42*'11-2025'!$AE42,"")</f>
        <v>0</v>
      </c>
      <c r="AG42" s="67"/>
      <c r="AH42" s="67">
        <f>IFERROR(+'11-2025'!$X42*'11-2025'!$AG42,"")</f>
        <v>0</v>
      </c>
      <c r="AI42" s="29">
        <v>0</v>
      </c>
      <c r="AJ42" s="67">
        <f>IFERROR('11-2025'!$Z42+'11-2025'!$AB42+'11-2025'!$AD42+'11-2025'!$AF42+'11-2025'!$AH42+'11-2025'!$AI42,"")</f>
        <v>3746.9984615384619</v>
      </c>
      <c r="AK42" s="68">
        <f>IFERROR('11-2025'!$W42-'11-2025'!$AJ42,"")</f>
        <v>0</v>
      </c>
      <c r="AL42" s="69"/>
      <c r="AM42" s="69"/>
      <c r="AN42" s="69"/>
      <c r="AO42" s="69"/>
      <c r="AP42" s="69"/>
      <c r="AQ42" s="69"/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0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9">
        <f t="shared" si="11"/>
        <v>0</v>
      </c>
      <c r="BK42" s="70">
        <f>BJ42+AM42+AL42+'11-2025'!$N42+AN42+AO42</f>
        <v>4250.46</v>
      </c>
      <c r="BL42" s="71">
        <f>'11-2025'!$O42</f>
        <v>4576.9230769230771</v>
      </c>
      <c r="BM42" s="71">
        <f t="shared" si="6"/>
        <v>858.17307692307691</v>
      </c>
      <c r="BN42" s="71">
        <f t="shared" si="7"/>
        <v>503.46153846153851</v>
      </c>
      <c r="BO42" s="71">
        <f t="shared" si="8"/>
        <v>1666.6666666666667</v>
      </c>
      <c r="BP42" s="72">
        <f t="shared" si="9"/>
        <v>2080.331794871795</v>
      </c>
      <c r="BQ42" s="71">
        <f>IFERROR(BP42/'11-2025'!$J42,0)*12</f>
        <v>24963.981538461539</v>
      </c>
      <c r="BR42" s="71">
        <f>IF(BQ42&lt;=40000,0,
IF(BQ42&lt;=55000,(BQ42-40000)*10%,
IF(BQ42&lt;=70000,(BQ42-55000)*15%+1500,
IF(BQ42&lt;=200000,(BQ42-70000)*20%+1500+2250,
IF(BQ42&lt;=400000,(BQ42-200000)*22.5%+1500+2250+26000,
IF(BQ42&lt;=600000,(BQ42-400000)*25%+1500+2250+26000+45000,
IF(AND(BQ42&gt;600000,BQ42&lt;=1200000),(BQ42-400000)*25%+1500+2250+26000+45000
+IFERROR(LOOKUP(BQ42,{600001;700001;800001;900001},{4000;6750;10250;15250}),0),IF(BQ42&gt;1200000,((BQ42-1200000)*27.5%)+300000,0)
)))))))</f>
        <v>0</v>
      </c>
      <c r="BS42" s="39">
        <f>(BR42/12*'11-2025'!$J42)</f>
        <v>0</v>
      </c>
      <c r="BT42" s="70">
        <f>BS42-'11-2025'!$V42</f>
        <v>0</v>
      </c>
      <c r="BU42" s="39">
        <f>IFERROR(+'11-2025'!$W42+AL42+AM42+BJ42-'11-2025'!$AJ42-BT42+AN42+AO42,"")-AL42+AP42+AQ42</f>
        <v>0</v>
      </c>
      <c r="BV42" s="73"/>
      <c r="BW42" s="74"/>
      <c r="BX42" s="74">
        <f t="shared" si="10"/>
        <v>0</v>
      </c>
      <c r="BY42" s="74"/>
    </row>
    <row r="43" spans="1:78" x14ac:dyDescent="0.25">
      <c r="A43" s="21">
        <v>355</v>
      </c>
      <c r="B43" s="22" t="s">
        <v>143</v>
      </c>
      <c r="C43" s="22" t="s">
        <v>71</v>
      </c>
      <c r="D43" s="22" t="s">
        <v>72</v>
      </c>
      <c r="E43" s="22" t="s">
        <v>82</v>
      </c>
      <c r="F43" s="22" t="s">
        <v>160</v>
      </c>
      <c r="G43" s="23">
        <v>45699</v>
      </c>
      <c r="H43" s="23"/>
      <c r="I43" s="24">
        <v>29903160102844</v>
      </c>
      <c r="J43" s="25">
        <v>1</v>
      </c>
      <c r="K43" s="25">
        <v>3000</v>
      </c>
      <c r="L43" s="25"/>
      <c r="M43" s="26"/>
      <c r="N43" s="25">
        <f>SUM('11-2025'!$K43:$M43)</f>
        <v>3000</v>
      </c>
      <c r="O43" s="25">
        <v>2700</v>
      </c>
      <c r="P43" s="25">
        <f t="shared" si="0"/>
        <v>506.25</v>
      </c>
      <c r="Q43" s="25">
        <f t="shared" si="1"/>
        <v>297</v>
      </c>
      <c r="R43" s="25">
        <v>1666.6666666666667</v>
      </c>
      <c r="S43" s="27">
        <f t="shared" si="2"/>
        <v>1036.3333333333333</v>
      </c>
      <c r="T43" s="25">
        <f t="shared" si="3"/>
        <v>12436</v>
      </c>
      <c r="U43" s="25">
        <f>IF(T43&lt;=40000,0,
IF(T43&lt;=55000,(T43-40000)*10%,
IF(T43&lt;=70000,(T43-55000)*15%+1500,
IF(T43&lt;=200000,(T43-70000)*20%+1500+2250,
IF(T43&lt;=400000,(T43-200000)*22.5%+1500+2250+26000,
IF(T43&lt;=600000,(T43-400000)*25%+1500+2250+26000+45000,
IF(AND(T43&gt;600000,T43&lt;=1200000),(T43-400000)*25%+1500+2250+26000+45000
+IFERROR(LOOKUP(T43,{600001;700001;800001;900001},{4000;6750;10250;15250}),0),IF(T43&gt;1200000,((T43-1200000)*27.5%)+300000,0)
)))))))</f>
        <v>0</v>
      </c>
      <c r="V43" s="25">
        <f t="shared" si="4"/>
        <v>0</v>
      </c>
      <c r="W43" s="28">
        <f>+'11-2025'!$S43-'11-2025'!$V43+'11-2025'!$R43</f>
        <v>2703</v>
      </c>
      <c r="X43" s="28">
        <f t="shared" si="5"/>
        <v>90.1</v>
      </c>
      <c r="Y43" s="29">
        <v>0</v>
      </c>
      <c r="Z43" s="29">
        <f>IFERROR(+'11-2025'!$X43*'11-2025'!$Y43,"")</f>
        <v>0</v>
      </c>
      <c r="AA43" s="29">
        <v>0</v>
      </c>
      <c r="AB43" s="29">
        <f>IFERROR(+'11-2025'!$X43*'11-2025'!$AA43,"")</f>
        <v>0</v>
      </c>
      <c r="AC43" s="29">
        <v>0</v>
      </c>
      <c r="AD43" s="29">
        <f>IFERROR(+'11-2025'!$X43*'11-2025'!$AC43,"")</f>
        <v>0</v>
      </c>
      <c r="AE43" s="29">
        <v>0</v>
      </c>
      <c r="AF43" s="29">
        <f>IFERROR(+'11-2025'!$X43*'11-2025'!$AE43,"")</f>
        <v>0</v>
      </c>
      <c r="AG43" s="29">
        <v>6.5</v>
      </c>
      <c r="AH43" s="29">
        <f>IFERROR(+'11-2025'!$X43*'11-2025'!$AG43,"")</f>
        <v>585.65</v>
      </c>
      <c r="AI43" s="29">
        <v>0</v>
      </c>
      <c r="AJ43" s="29">
        <f>IFERROR('11-2025'!$Z43+'11-2025'!$AB43+'11-2025'!$AD43+'11-2025'!$AF43+'11-2025'!$AH43+'11-2025'!$AI43,"")</f>
        <v>585.65</v>
      </c>
      <c r="AK43" s="30">
        <f>IFERROR('11-2025'!$W43-'11-2025'!$AJ43,"")</f>
        <v>2117.35</v>
      </c>
      <c r="AL43" s="31"/>
      <c r="AM43" s="31"/>
      <c r="AN43" s="31"/>
      <c r="AO43" s="31">
        <v>0</v>
      </c>
      <c r="AP43" s="31"/>
      <c r="AQ43" s="31"/>
      <c r="AR43" s="31">
        <v>0</v>
      </c>
      <c r="AS43" s="31">
        <v>0</v>
      </c>
      <c r="AT43" s="31">
        <v>0</v>
      </c>
      <c r="AU43" s="31">
        <v>715.70857500000011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2">
        <f t="shared" si="11"/>
        <v>715.70857500000011</v>
      </c>
      <c r="BK43" s="33">
        <f>BJ43+AM43+AL43+'11-2025'!$N43+AN43+AO43</f>
        <v>3715.7085750000001</v>
      </c>
      <c r="BL43" s="34">
        <f>'11-2025'!$O43</f>
        <v>2700</v>
      </c>
      <c r="BM43" s="34">
        <f t="shared" si="6"/>
        <v>506.25</v>
      </c>
      <c r="BN43" s="34">
        <f t="shared" si="7"/>
        <v>297</v>
      </c>
      <c r="BO43" s="34">
        <f t="shared" si="8"/>
        <v>1666.6666666666667</v>
      </c>
      <c r="BP43" s="35">
        <f t="shared" si="9"/>
        <v>1752.0419083333334</v>
      </c>
      <c r="BQ43" s="34">
        <f>IFERROR(BP43/'11-2025'!$J43,0)*12</f>
        <v>21024.502899999999</v>
      </c>
      <c r="BR43" s="34">
        <f>IF(BQ43&lt;=40000,0,
IF(BQ43&lt;=55000,(BQ43-40000)*10%,
IF(BQ43&lt;=70000,(BQ43-55000)*15%+1500,
IF(BQ43&lt;=200000,(BQ43-70000)*20%+1500+2250,
IF(BQ43&lt;=400000,(BQ43-200000)*22.5%+1500+2250+26000,
IF(BQ43&lt;=600000,(BQ43-400000)*25%+1500+2250+26000+45000,
IF(AND(BQ43&gt;600000,BQ43&lt;=1200000),(BQ43-400000)*25%+1500+2250+26000+45000
+IFERROR(LOOKUP(BQ43,{600001;700001;800001;900001},{4000;6750;10250;15250}),0),IF(BQ43&gt;1200000,((BQ43-1200000)*27.5%)+300000,0)
)))))))</f>
        <v>0</v>
      </c>
      <c r="BS43" s="32">
        <f>(BR43/12*'11-2025'!$J43)</f>
        <v>0</v>
      </c>
      <c r="BT43" s="33">
        <f>BS43-'11-2025'!$V43</f>
        <v>0</v>
      </c>
      <c r="BU43" s="32">
        <f>IFERROR(+'11-2025'!$W43+AL43+AM43+BJ43-'11-2025'!$AJ43-BT43+AN43+AO43,"")-AL43+AP43+AQ43</f>
        <v>2833.058575</v>
      </c>
      <c r="BV43" s="36"/>
      <c r="BW43" s="37"/>
      <c r="BX43" s="37">
        <f t="shared" si="10"/>
        <v>2833.058575</v>
      </c>
      <c r="BY43" s="37" t="s">
        <v>75</v>
      </c>
    </row>
    <row r="44" spans="1:78" s="75" customFormat="1" x14ac:dyDescent="0.25">
      <c r="A44" s="38">
        <v>378</v>
      </c>
      <c r="B44" s="40" t="s">
        <v>144</v>
      </c>
      <c r="C44" s="40" t="s">
        <v>81</v>
      </c>
      <c r="D44" s="40" t="s">
        <v>72</v>
      </c>
      <c r="E44" s="40" t="s">
        <v>124</v>
      </c>
      <c r="F44" s="40" t="s">
        <v>86</v>
      </c>
      <c r="G44" s="61">
        <v>45508</v>
      </c>
      <c r="H44" s="61"/>
      <c r="I44" s="62">
        <v>28102150100511</v>
      </c>
      <c r="J44" s="63">
        <v>1</v>
      </c>
      <c r="K44" s="63">
        <v>4822.38</v>
      </c>
      <c r="L44" s="63"/>
      <c r="M44" s="64"/>
      <c r="N44" s="63">
        <f>SUM('11-2025'!$K44:$M44)</f>
        <v>4822.38</v>
      </c>
      <c r="O44" s="63">
        <v>5230.7692307692305</v>
      </c>
      <c r="P44" s="63">
        <f t="shared" si="0"/>
        <v>980.76923076923072</v>
      </c>
      <c r="Q44" s="63">
        <f t="shared" si="1"/>
        <v>575.38461538461536</v>
      </c>
      <c r="R44" s="63">
        <v>1666.6666666666667</v>
      </c>
      <c r="S44" s="65">
        <f t="shared" si="2"/>
        <v>2580.3287179487179</v>
      </c>
      <c r="T44" s="63">
        <f t="shared" si="3"/>
        <v>30963.944615384615</v>
      </c>
      <c r="U44" s="63">
        <f>IF(T44&lt;=40000,0,
IF(T44&lt;=55000,(T44-40000)*10%,
IF(T44&lt;=70000,(T44-55000)*15%+1500,
IF(T44&lt;=200000,(T44-70000)*20%+1500+2250,
IF(T44&lt;=400000,(T44-200000)*22.5%+1500+2250+26000,
IF(T44&lt;=600000,(T44-400000)*25%+1500+2250+26000+45000,
IF(AND(T44&gt;600000,T44&lt;=1200000),(T44-400000)*25%+1500+2250+26000+45000
+IFERROR(LOOKUP(T44,{600001;700001;800001;900001},{4000;6750;10250;15250}),0),IF(T44&gt;1200000,((T44-1200000)*27.5%)+300000,0)
)))))))</f>
        <v>0</v>
      </c>
      <c r="V44" s="63">
        <f t="shared" si="4"/>
        <v>0</v>
      </c>
      <c r="W44" s="66">
        <f>+'11-2025'!$S44-'11-2025'!$V44+'11-2025'!$R44</f>
        <v>4246.9953846153849</v>
      </c>
      <c r="X44" s="66">
        <f t="shared" si="5"/>
        <v>141.56651282051283</v>
      </c>
      <c r="Y44" s="67"/>
      <c r="Z44" s="67">
        <f>IFERROR(+'11-2025'!$X44*'11-2025'!$Y44,"")</f>
        <v>0</v>
      </c>
      <c r="AA44" s="67"/>
      <c r="AB44" s="67">
        <f>IFERROR(+'11-2025'!$X44*'11-2025'!$AA44,"")</f>
        <v>0</v>
      </c>
      <c r="AC44" s="67">
        <v>30</v>
      </c>
      <c r="AD44" s="67">
        <f>IFERROR(+'11-2025'!$X44*'11-2025'!$AC44,"")</f>
        <v>4246.9953846153849</v>
      </c>
      <c r="AE44" s="67"/>
      <c r="AF44" s="67">
        <f>IFERROR(+'11-2025'!$X44*'11-2025'!$AE44,"")</f>
        <v>0</v>
      </c>
      <c r="AG44" s="67"/>
      <c r="AH44" s="67">
        <f>IFERROR(+'11-2025'!$X44*'11-2025'!$AG44,"")</f>
        <v>0</v>
      </c>
      <c r="AI44" s="67">
        <v>0</v>
      </c>
      <c r="AJ44" s="67">
        <f>IFERROR('11-2025'!$Z44+'11-2025'!$AB44+'11-2025'!$AD44+'11-2025'!$AF44+'11-2025'!$AH44+'11-2025'!$AI44,"")</f>
        <v>4246.9953846153849</v>
      </c>
      <c r="AK44" s="68">
        <f>IFERROR('11-2025'!$W44-'11-2025'!$AJ44,"")</f>
        <v>0</v>
      </c>
      <c r="AL44" s="69"/>
      <c r="AM44" s="69"/>
      <c r="AN44" s="69"/>
      <c r="AO44" s="69"/>
      <c r="AP44" s="69"/>
      <c r="AQ44" s="69"/>
      <c r="AR44" s="31">
        <v>0</v>
      </c>
      <c r="AS44" s="31">
        <v>0</v>
      </c>
      <c r="AT44" s="31">
        <v>0</v>
      </c>
      <c r="AU44" s="31">
        <v>0</v>
      </c>
      <c r="AV44" s="31">
        <v>1273.4575000000002</v>
      </c>
      <c r="AW44" s="31">
        <v>0</v>
      </c>
      <c r="AX44" s="31">
        <v>0</v>
      </c>
      <c r="AY44" s="31">
        <v>0</v>
      </c>
      <c r="AZ44" s="31">
        <v>0</v>
      </c>
      <c r="BA44" s="31">
        <v>0</v>
      </c>
      <c r="BB44" s="31">
        <v>0</v>
      </c>
      <c r="BC44" s="31">
        <v>0</v>
      </c>
      <c r="BD44" s="31">
        <v>0</v>
      </c>
      <c r="BE44" s="31">
        <v>0</v>
      </c>
      <c r="BF44" s="31">
        <v>0</v>
      </c>
      <c r="BG44" s="31">
        <v>0</v>
      </c>
      <c r="BH44" s="31">
        <v>0</v>
      </c>
      <c r="BI44" s="31">
        <v>0</v>
      </c>
      <c r="BJ44" s="39">
        <f t="shared" si="11"/>
        <v>1273.4575000000002</v>
      </c>
      <c r="BK44" s="70">
        <f>BJ44+AM44+AL44+'11-2025'!$N44+AN44+AO44</f>
        <v>6095.8375000000005</v>
      </c>
      <c r="BL44" s="71">
        <f>'11-2025'!$O44</f>
        <v>5230.7692307692305</v>
      </c>
      <c r="BM44" s="71">
        <f t="shared" si="6"/>
        <v>980.76923076923072</v>
      </c>
      <c r="BN44" s="71">
        <f t="shared" si="7"/>
        <v>575.38461538461536</v>
      </c>
      <c r="BO44" s="71">
        <f t="shared" si="8"/>
        <v>1666.6666666666667</v>
      </c>
      <c r="BP44" s="72">
        <f t="shared" si="9"/>
        <v>3853.7862179487183</v>
      </c>
      <c r="BQ44" s="71">
        <f>IFERROR(BP44/'11-2025'!$J44,0)*12</f>
        <v>46245.43461538462</v>
      </c>
      <c r="BR44" s="71">
        <f>IF(BQ44&lt;=40000,0,
IF(BQ44&lt;=55000,(BQ44-40000)*10%,
IF(BQ44&lt;=70000,(BQ44-55000)*15%+1500,
IF(BQ44&lt;=200000,(BQ44-70000)*20%+1500+2250,
IF(BQ44&lt;=400000,(BQ44-200000)*22.5%+1500+2250+26000,
IF(BQ44&lt;=600000,(BQ44-400000)*25%+1500+2250+26000+45000,
IF(AND(BQ44&gt;600000,BQ44&lt;=1200000),(BQ44-400000)*25%+1500+2250+26000+45000
+IFERROR(LOOKUP(BQ44,{600001;700001;800001;900001},{4000;6750;10250;15250}),0),IF(BQ44&gt;1200000,((BQ44-1200000)*27.5%)+300000,0)
)))))))</f>
        <v>624.543461538462</v>
      </c>
      <c r="BS44" s="39">
        <f>(BR44/12*'11-2025'!$J44)</f>
        <v>52.045288461538497</v>
      </c>
      <c r="BT44" s="70">
        <f>BS44-'11-2025'!$V44</f>
        <v>52.045288461538497</v>
      </c>
      <c r="BU44" s="39">
        <f>IFERROR(+'11-2025'!$W44+AL44+AM44+BJ44-'11-2025'!$AJ44-BT44+AN44+AO44,"")-AL44+AP44+AQ44</f>
        <v>1221.4122115384619</v>
      </c>
      <c r="BV44" s="73"/>
      <c r="BW44" s="74"/>
      <c r="BX44" s="74">
        <f t="shared" si="10"/>
        <v>1221.4122115384619</v>
      </c>
      <c r="BY44" s="74"/>
      <c r="BZ44" s="76"/>
    </row>
    <row r="45" spans="1:78" x14ac:dyDescent="0.25">
      <c r="A45" s="21">
        <v>389</v>
      </c>
      <c r="B45" s="22" t="s">
        <v>145</v>
      </c>
      <c r="C45" s="22" t="s">
        <v>81</v>
      </c>
      <c r="D45" s="22" t="s">
        <v>72</v>
      </c>
      <c r="E45" s="22" t="s">
        <v>124</v>
      </c>
      <c r="F45" s="22" t="s">
        <v>102</v>
      </c>
      <c r="G45" s="23">
        <v>45713</v>
      </c>
      <c r="H45" s="23"/>
      <c r="I45" s="24">
        <v>30407270101515</v>
      </c>
      <c r="J45" s="25">
        <v>1</v>
      </c>
      <c r="K45" s="25">
        <v>3000</v>
      </c>
      <c r="L45" s="25"/>
      <c r="M45" s="26"/>
      <c r="N45" s="25">
        <f>SUM('11-2025'!$K45:$M45)</f>
        <v>3000</v>
      </c>
      <c r="O45" s="25">
        <v>2500</v>
      </c>
      <c r="P45" s="25">
        <f t="shared" si="0"/>
        <v>468.75</v>
      </c>
      <c r="Q45" s="25">
        <f t="shared" si="1"/>
        <v>275</v>
      </c>
      <c r="R45" s="25">
        <v>1666.6666666666667</v>
      </c>
      <c r="S45" s="27">
        <f t="shared" si="2"/>
        <v>1058.3333333333333</v>
      </c>
      <c r="T45" s="25">
        <f t="shared" si="3"/>
        <v>12700</v>
      </c>
      <c r="U45" s="25">
        <f>IF(T45&lt;=40000,0,
IF(T45&lt;=55000,(T45-40000)*10%,
IF(T45&lt;=70000,(T45-55000)*15%+1500,
IF(T45&lt;=200000,(T45-70000)*20%+1500+2250,
IF(T45&lt;=400000,(T45-200000)*22.5%+1500+2250+26000,
IF(T45&lt;=600000,(T45-400000)*25%+1500+2250+26000+45000,
IF(AND(T45&gt;600000,T45&lt;=1200000),(T45-400000)*25%+1500+2250+26000+45000
+IFERROR(LOOKUP(T45,{600001;700001;800001;900001},{4000;6750;10250;15250}),0),IF(T45&gt;1200000,((T45-1200000)*27.5%)+300000,0)
)))))))</f>
        <v>0</v>
      </c>
      <c r="V45" s="25">
        <f t="shared" si="4"/>
        <v>0</v>
      </c>
      <c r="W45" s="28">
        <f>+'11-2025'!$S45-'11-2025'!$V45+'11-2025'!$R45</f>
        <v>2725</v>
      </c>
      <c r="X45" s="28">
        <f t="shared" si="5"/>
        <v>90.833333333333329</v>
      </c>
      <c r="Y45" s="29">
        <v>0</v>
      </c>
      <c r="Z45" s="29">
        <f>IFERROR(+'11-2025'!$X45*'11-2025'!$Y45,"")</f>
        <v>0</v>
      </c>
      <c r="AA45" s="29">
        <v>2</v>
      </c>
      <c r="AB45" s="29">
        <f>IFERROR(+'11-2025'!$X45*'11-2025'!$AA45,"")</f>
        <v>181.66666666666666</v>
      </c>
      <c r="AC45" s="29">
        <v>0</v>
      </c>
      <c r="AD45" s="29">
        <f>IFERROR(+'11-2025'!$X45*'11-2025'!$AC45,"")</f>
        <v>0</v>
      </c>
      <c r="AE45" s="29">
        <v>0</v>
      </c>
      <c r="AF45" s="29">
        <f>IFERROR(+'11-2025'!$X45*'11-2025'!$AE45,"")</f>
        <v>0</v>
      </c>
      <c r="AG45" s="29">
        <v>0</v>
      </c>
      <c r="AH45" s="29">
        <f>IFERROR(+'11-2025'!$X45*'11-2025'!$AG45,"")</f>
        <v>0</v>
      </c>
      <c r="AI45" s="29">
        <v>0</v>
      </c>
      <c r="AJ45" s="29">
        <f>IFERROR('11-2025'!$Z45+'11-2025'!$AB45+'11-2025'!$AD45+'11-2025'!$AF45+'11-2025'!$AH45+'11-2025'!$AI45,"")</f>
        <v>181.66666666666666</v>
      </c>
      <c r="AK45" s="30">
        <f>IFERROR('11-2025'!$W45-'11-2025'!$AJ45,"")</f>
        <v>2543.3333333333335</v>
      </c>
      <c r="AL45" s="31"/>
      <c r="AM45" s="31"/>
      <c r="AN45" s="31"/>
      <c r="AO45" s="31">
        <v>140</v>
      </c>
      <c r="AP45" s="31"/>
      <c r="AQ45" s="31"/>
      <c r="AR45" s="31">
        <v>0</v>
      </c>
      <c r="AS45" s="31">
        <v>0</v>
      </c>
      <c r="AT45" s="31">
        <v>0</v>
      </c>
      <c r="AU45" s="31">
        <v>0</v>
      </c>
      <c r="AV45" s="31">
        <v>2675.4780000000001</v>
      </c>
      <c r="AW45" s="31">
        <v>0</v>
      </c>
      <c r="AX45" s="31">
        <v>0</v>
      </c>
      <c r="AY45" s="31">
        <v>0</v>
      </c>
      <c r="AZ45" s="31">
        <v>0</v>
      </c>
      <c r="BA45" s="31">
        <v>0</v>
      </c>
      <c r="BB45" s="31">
        <v>0</v>
      </c>
      <c r="BC45" s="31">
        <v>0</v>
      </c>
      <c r="BD45" s="31">
        <v>2269.7399999999998</v>
      </c>
      <c r="BE45" s="31">
        <v>0</v>
      </c>
      <c r="BF45" s="31">
        <v>0</v>
      </c>
      <c r="BG45" s="31">
        <v>0</v>
      </c>
      <c r="BH45" s="31">
        <v>0</v>
      </c>
      <c r="BI45" s="31">
        <v>0</v>
      </c>
      <c r="BJ45" s="32">
        <f t="shared" si="11"/>
        <v>4945.2179999999998</v>
      </c>
      <c r="BK45" s="33">
        <f>BJ45+AM45+AL45+'11-2025'!$N45+AN45+AO45</f>
        <v>8085.2179999999998</v>
      </c>
      <c r="BL45" s="34">
        <f>'11-2025'!$O45</f>
        <v>2500</v>
      </c>
      <c r="BM45" s="34">
        <f t="shared" si="6"/>
        <v>468.75</v>
      </c>
      <c r="BN45" s="34">
        <f t="shared" si="7"/>
        <v>275</v>
      </c>
      <c r="BO45" s="34">
        <f t="shared" si="8"/>
        <v>1666.6666666666667</v>
      </c>
      <c r="BP45" s="35">
        <f t="shared" si="9"/>
        <v>6143.5513333333329</v>
      </c>
      <c r="BQ45" s="34">
        <f>IFERROR(BP45/'11-2025'!$J45,0)*12</f>
        <v>73722.615999999995</v>
      </c>
      <c r="BR45" s="34">
        <f>IF(BQ45&lt;=40000,0,
IF(BQ45&lt;=55000,(BQ45-40000)*10%,
IF(BQ45&lt;=70000,(BQ45-55000)*15%+1500,
IF(BQ45&lt;=200000,(BQ45-70000)*20%+1500+2250,
IF(BQ45&lt;=400000,(BQ45-200000)*22.5%+1500+2250+26000,
IF(BQ45&lt;=600000,(BQ45-400000)*25%+1500+2250+26000+45000,
IF(AND(BQ45&gt;600000,BQ45&lt;=1200000),(BQ45-400000)*25%+1500+2250+26000+45000
+IFERROR(LOOKUP(BQ45,{600001;700001;800001;900001},{4000;6750;10250;15250}),0),IF(BQ45&gt;1200000,((BQ45-1200000)*27.5%)+300000,0)
)))))))</f>
        <v>4494.5231999999987</v>
      </c>
      <c r="BS45" s="32">
        <f>(BR45/12*'11-2025'!$J45)</f>
        <v>374.54359999999991</v>
      </c>
      <c r="BT45" s="33">
        <f>BS45-'11-2025'!$V45</f>
        <v>374.54359999999991</v>
      </c>
      <c r="BU45" s="32">
        <f>IFERROR(+'11-2025'!$W45+AL45+AM45+BJ45-'11-2025'!$AJ45-BT45+AN45+AO45,"")-AL45+AP45+AQ45</f>
        <v>7254.0077333333329</v>
      </c>
      <c r="BV45" s="36"/>
      <c r="BW45" s="37"/>
      <c r="BX45" s="37">
        <f t="shared" si="10"/>
        <v>7254.0077333333329</v>
      </c>
      <c r="BY45" s="37"/>
      <c r="BZ45" s="59"/>
    </row>
    <row r="46" spans="1:78" x14ac:dyDescent="0.25">
      <c r="A46" s="21">
        <v>395</v>
      </c>
      <c r="B46" s="22" t="s">
        <v>146</v>
      </c>
      <c r="C46" s="22" t="s">
        <v>71</v>
      </c>
      <c r="D46" s="22" t="s">
        <v>72</v>
      </c>
      <c r="E46" s="22" t="s">
        <v>88</v>
      </c>
      <c r="F46" s="22" t="s">
        <v>180</v>
      </c>
      <c r="G46" s="23">
        <v>45718</v>
      </c>
      <c r="H46" s="23"/>
      <c r="I46" s="24">
        <v>29705010106934</v>
      </c>
      <c r="J46" s="25">
        <v>1</v>
      </c>
      <c r="K46" s="25">
        <v>3100</v>
      </c>
      <c r="L46" s="25"/>
      <c r="M46" s="26"/>
      <c r="N46" s="25">
        <f>SUM('11-2025'!$K46:$M46)</f>
        <v>3100</v>
      </c>
      <c r="O46" s="25">
        <v>3100</v>
      </c>
      <c r="P46" s="25">
        <f t="shared" si="0"/>
        <v>581.25</v>
      </c>
      <c r="Q46" s="25">
        <f t="shared" si="1"/>
        <v>341</v>
      </c>
      <c r="R46" s="25">
        <v>1666.6666666666667</v>
      </c>
      <c r="S46" s="27">
        <f t="shared" si="2"/>
        <v>1092.3333333333333</v>
      </c>
      <c r="T46" s="25">
        <f t="shared" si="3"/>
        <v>13108</v>
      </c>
      <c r="U46" s="25">
        <f>IF(T46&lt;=40000,0,
IF(T46&lt;=55000,(T46-40000)*10%,
IF(T46&lt;=70000,(T46-55000)*15%+1500,
IF(T46&lt;=200000,(T46-70000)*20%+1500+2250,
IF(T46&lt;=400000,(T46-200000)*22.5%+1500+2250+26000,
IF(T46&lt;=600000,(T46-400000)*25%+1500+2250+26000+45000,
IF(AND(T46&gt;600000,T46&lt;=1200000),(T46-400000)*25%+1500+2250+26000+45000
+IFERROR(LOOKUP(T46,{600001;700001;800001;900001},{4000;6750;10250;15250}),0),IF(T46&gt;1200000,((T46-1200000)*27.5%)+300000,0)
)))))))</f>
        <v>0</v>
      </c>
      <c r="V46" s="25">
        <f t="shared" si="4"/>
        <v>0</v>
      </c>
      <c r="W46" s="28">
        <f>+'11-2025'!$S46-'11-2025'!$V46+'11-2025'!$R46</f>
        <v>2759</v>
      </c>
      <c r="X46" s="28">
        <f t="shared" si="5"/>
        <v>91.966666666666669</v>
      </c>
      <c r="Y46" s="29">
        <v>0</v>
      </c>
      <c r="Z46" s="29">
        <f>IFERROR(+'11-2025'!$X46*'11-2025'!$Y46,"")</f>
        <v>0</v>
      </c>
      <c r="AA46" s="29">
        <v>0</v>
      </c>
      <c r="AB46" s="29">
        <f>IFERROR(+'11-2025'!$X46*'11-2025'!$AA46,"")</f>
        <v>0</v>
      </c>
      <c r="AC46" s="29">
        <v>0</v>
      </c>
      <c r="AD46" s="29">
        <f>IFERROR(+'11-2025'!$X46*'11-2025'!$AC46,"")</f>
        <v>0</v>
      </c>
      <c r="AE46" s="29">
        <v>0</v>
      </c>
      <c r="AF46" s="29">
        <f>IFERROR(+'11-2025'!$X46*'11-2025'!$AE46,"")</f>
        <v>0</v>
      </c>
      <c r="AG46" s="29">
        <v>0</v>
      </c>
      <c r="AH46" s="29">
        <f>IFERROR(+'11-2025'!$X46*'11-2025'!$AG46,"")</f>
        <v>0</v>
      </c>
      <c r="AI46" s="29">
        <v>0</v>
      </c>
      <c r="AJ46" s="29">
        <f>IFERROR('11-2025'!$Z46+'11-2025'!$AB46+'11-2025'!$AD46+'11-2025'!$AF46+'11-2025'!$AH46+'11-2025'!$AI46,"")</f>
        <v>0</v>
      </c>
      <c r="AK46" s="30">
        <f>IFERROR('11-2025'!$W46-'11-2025'!$AJ46,"")</f>
        <v>2759</v>
      </c>
      <c r="AL46" s="31"/>
      <c r="AM46" s="31"/>
      <c r="AN46" s="31"/>
      <c r="AO46" s="31">
        <v>0</v>
      </c>
      <c r="AP46" s="31"/>
      <c r="AQ46" s="31"/>
      <c r="AR46" s="31">
        <v>0</v>
      </c>
      <c r="AS46" s="31">
        <v>0</v>
      </c>
      <c r="AT46" s="31">
        <v>0</v>
      </c>
      <c r="AU46" s="31">
        <v>3371.3398750000006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2">
        <f t="shared" si="11"/>
        <v>3371.3398750000006</v>
      </c>
      <c r="BK46" s="33">
        <f>BJ46+AM46+AL46+'11-2025'!$N46+AN46+AO46</f>
        <v>6471.3398750000006</v>
      </c>
      <c r="BL46" s="34">
        <f>'11-2025'!$O46</f>
        <v>3100</v>
      </c>
      <c r="BM46" s="34">
        <f t="shared" si="6"/>
        <v>581.25</v>
      </c>
      <c r="BN46" s="34">
        <f t="shared" si="7"/>
        <v>341</v>
      </c>
      <c r="BO46" s="34">
        <f t="shared" si="8"/>
        <v>1666.6666666666667</v>
      </c>
      <c r="BP46" s="35">
        <f t="shared" si="9"/>
        <v>4463.6732083333336</v>
      </c>
      <c r="BQ46" s="34">
        <f>IFERROR(BP46/'11-2025'!$J46,0)*12</f>
        <v>53564.078500000003</v>
      </c>
      <c r="BR46" s="34">
        <f>IF(BQ46&lt;=40000,0,
IF(BQ46&lt;=55000,(BQ46-40000)*10%,
IF(BQ46&lt;=70000,(BQ46-55000)*15%+1500,
IF(BQ46&lt;=200000,(BQ46-70000)*20%+1500+2250,
IF(BQ46&lt;=400000,(BQ46-200000)*22.5%+1500+2250+26000,
IF(BQ46&lt;=600000,(BQ46-400000)*25%+1500+2250+26000+45000,
IF(AND(BQ46&gt;600000,BQ46&lt;=1200000),(BQ46-400000)*25%+1500+2250+26000+45000
+IFERROR(LOOKUP(BQ46,{600001;700001;800001;900001},{4000;6750;10250;15250}),0),IF(BQ46&gt;1200000,((BQ46-1200000)*27.5%)+300000,0)
)))))))</f>
        <v>1356.4078500000005</v>
      </c>
      <c r="BS46" s="32">
        <f>(BR46/12*'11-2025'!$J46)</f>
        <v>113.03398750000004</v>
      </c>
      <c r="BT46" s="33">
        <f>BS46-'11-2025'!$V46</f>
        <v>113.03398750000004</v>
      </c>
      <c r="BU46" s="32">
        <f>IFERROR(+'11-2025'!$W46+AL46+AM46+BJ46-'11-2025'!$AJ46-BT46+AN46+AO46,"")-AL46+AP46+AQ46</f>
        <v>6017.3058875000006</v>
      </c>
      <c r="BV46" s="36"/>
      <c r="BW46" s="37"/>
      <c r="BX46" s="37">
        <f t="shared" si="10"/>
        <v>6017.3058875000006</v>
      </c>
      <c r="BY46" s="37" t="s">
        <v>75</v>
      </c>
      <c r="BZ46" s="59"/>
    </row>
    <row r="47" spans="1:78" x14ac:dyDescent="0.25">
      <c r="A47" s="21">
        <v>421</v>
      </c>
      <c r="B47" s="22" t="s">
        <v>147</v>
      </c>
      <c r="C47" s="22" t="s">
        <v>71</v>
      </c>
      <c r="D47" s="22" t="s">
        <v>72</v>
      </c>
      <c r="E47" s="22" t="s">
        <v>88</v>
      </c>
      <c r="F47" s="22" t="s">
        <v>180</v>
      </c>
      <c r="G47" s="23">
        <v>45721</v>
      </c>
      <c r="H47" s="23"/>
      <c r="I47" s="24">
        <v>30609022100334</v>
      </c>
      <c r="J47" s="25">
        <v>1</v>
      </c>
      <c r="K47" s="25">
        <v>3428.88</v>
      </c>
      <c r="L47" s="25"/>
      <c r="M47" s="26"/>
      <c r="N47" s="25">
        <f>SUM('11-2025'!$K47:$M47)</f>
        <v>3428.88</v>
      </c>
      <c r="O47" s="25">
        <v>4380.7692307692305</v>
      </c>
      <c r="P47" s="25">
        <f t="shared" si="0"/>
        <v>821.39423076923072</v>
      </c>
      <c r="Q47" s="25">
        <f t="shared" si="1"/>
        <v>481.88461538461536</v>
      </c>
      <c r="R47" s="25">
        <v>1666.6666666666667</v>
      </c>
      <c r="S47" s="27">
        <f t="shared" si="2"/>
        <v>1280.3287179487181</v>
      </c>
      <c r="T47" s="25">
        <f t="shared" si="3"/>
        <v>15363.944615384618</v>
      </c>
      <c r="U47" s="25">
        <f>IF(T47&lt;=40000,0,
IF(T47&lt;=55000,(T47-40000)*10%,
IF(T47&lt;=70000,(T47-55000)*15%+1500,
IF(T47&lt;=200000,(T47-70000)*20%+1500+2250,
IF(T47&lt;=400000,(T47-200000)*22.5%+1500+2250+26000,
IF(T47&lt;=600000,(T47-400000)*25%+1500+2250+26000+45000,
IF(AND(T47&gt;600000,T47&lt;=1200000),(T47-400000)*25%+1500+2250+26000+45000
+IFERROR(LOOKUP(T47,{600001;700001;800001;900001},{4000;6750;10250;15250}),0),IF(T47&gt;1200000,((T47-1200000)*27.5%)+300000,0)
)))))))</f>
        <v>0</v>
      </c>
      <c r="V47" s="25">
        <f t="shared" si="4"/>
        <v>0</v>
      </c>
      <c r="W47" s="28">
        <f>+'11-2025'!$S47-'11-2025'!$V47+'11-2025'!$R47</f>
        <v>2946.9953846153849</v>
      </c>
      <c r="X47" s="28">
        <f t="shared" si="5"/>
        <v>98.233179487179498</v>
      </c>
      <c r="Y47" s="29">
        <v>0</v>
      </c>
      <c r="Z47" s="29">
        <f>IFERROR(+'11-2025'!$X47*'11-2025'!$Y47,"")</f>
        <v>0</v>
      </c>
      <c r="AA47" s="29">
        <v>0</v>
      </c>
      <c r="AB47" s="29">
        <f>IFERROR(+'11-2025'!$X47*'11-2025'!$AA47,"")</f>
        <v>0</v>
      </c>
      <c r="AC47" s="29">
        <v>0</v>
      </c>
      <c r="AD47" s="29">
        <f>IFERROR(+'11-2025'!$X47*'11-2025'!$AC47,"")</f>
        <v>0</v>
      </c>
      <c r="AE47" s="29">
        <v>0</v>
      </c>
      <c r="AF47" s="29">
        <f>IFERROR(+'11-2025'!$X47*'11-2025'!$AE47,"")</f>
        <v>0</v>
      </c>
      <c r="AG47" s="29">
        <v>0</v>
      </c>
      <c r="AH47" s="29">
        <f>IFERROR(+'11-2025'!$X47*'11-2025'!$AG47,"")</f>
        <v>0</v>
      </c>
      <c r="AI47" s="29">
        <v>0</v>
      </c>
      <c r="AJ47" s="29">
        <f>IFERROR('11-2025'!$Z47+'11-2025'!$AB47+'11-2025'!$AD47+'11-2025'!$AF47+'11-2025'!$AH47+'11-2025'!$AI47,"")</f>
        <v>0</v>
      </c>
      <c r="AK47" s="30">
        <f>IFERROR('11-2025'!$W47-'11-2025'!$AJ47,"")</f>
        <v>2946.9953846153849</v>
      </c>
      <c r="AL47" s="31"/>
      <c r="AM47" s="31"/>
      <c r="AN47" s="31"/>
      <c r="AO47" s="31">
        <v>0</v>
      </c>
      <c r="AP47" s="31"/>
      <c r="AQ47" s="31"/>
      <c r="AR47" s="31">
        <v>0</v>
      </c>
      <c r="AS47" s="31">
        <v>0</v>
      </c>
      <c r="AT47" s="31">
        <v>0</v>
      </c>
      <c r="AU47" s="31">
        <v>3369.5875000000005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2">
        <f t="shared" si="11"/>
        <v>3369.5875000000005</v>
      </c>
      <c r="BK47" s="33">
        <f>BJ47+AM47+AL47+'11-2025'!$N47+AN47+AO47</f>
        <v>6798.4675000000007</v>
      </c>
      <c r="BL47" s="34">
        <f>'11-2025'!$O47</f>
        <v>4380.7692307692305</v>
      </c>
      <c r="BM47" s="34">
        <f t="shared" si="6"/>
        <v>821.39423076923072</v>
      </c>
      <c r="BN47" s="34">
        <f t="shared" si="7"/>
        <v>481.88461538461536</v>
      </c>
      <c r="BO47" s="34">
        <f t="shared" si="8"/>
        <v>1666.6666666666667</v>
      </c>
      <c r="BP47" s="35">
        <f t="shared" si="9"/>
        <v>4649.9162179487184</v>
      </c>
      <c r="BQ47" s="34">
        <f>IFERROR(BP47/'11-2025'!$J47,0)*12</f>
        <v>55798.994615384625</v>
      </c>
      <c r="BR47" s="34">
        <f>IF(BQ47&lt;=40000,0,
IF(BQ47&lt;=55000,(BQ47-40000)*10%,
IF(BQ47&lt;=70000,(BQ47-55000)*15%+1500,
IF(BQ47&lt;=200000,(BQ47-70000)*20%+1500+2250,
IF(BQ47&lt;=400000,(BQ47-200000)*22.5%+1500+2250+26000,
IF(BQ47&lt;=600000,(BQ47-400000)*25%+1500+2250+26000+45000,
IF(AND(BQ47&gt;600000,BQ47&lt;=1200000),(BQ47-400000)*25%+1500+2250+26000+45000
+IFERROR(LOOKUP(BQ47,{600001;700001;800001;900001},{4000;6750;10250;15250}),0),IF(BQ47&gt;1200000,((BQ47-1200000)*27.5%)+300000,0)
)))))))</f>
        <v>1619.8491923076938</v>
      </c>
      <c r="BS47" s="32">
        <f>(BR47/12*'11-2025'!$J47)</f>
        <v>134.98743269230781</v>
      </c>
      <c r="BT47" s="33">
        <f>BS47-'11-2025'!$V47</f>
        <v>134.98743269230781</v>
      </c>
      <c r="BU47" s="32">
        <f>IFERROR(+'11-2025'!$W47+AL47+AM47+BJ47-'11-2025'!$AJ47-BT47+AN47+AO47,"")-AL47+AP47+AQ47</f>
        <v>6181.5954519230772</v>
      </c>
      <c r="BV47" s="36"/>
      <c r="BW47" s="37"/>
      <c r="BX47" s="37">
        <f t="shared" si="10"/>
        <v>6181.5954519230772</v>
      </c>
      <c r="BY47" s="37"/>
      <c r="BZ47" s="59"/>
    </row>
    <row r="48" spans="1:78" x14ac:dyDescent="0.25">
      <c r="A48" s="21">
        <v>426</v>
      </c>
      <c r="B48" s="22" t="s">
        <v>148</v>
      </c>
      <c r="C48" s="22" t="s">
        <v>106</v>
      </c>
      <c r="D48" s="22" t="s">
        <v>72</v>
      </c>
      <c r="E48" s="22" t="s">
        <v>149</v>
      </c>
      <c r="F48" s="22" t="s">
        <v>86</v>
      </c>
      <c r="G48" s="23">
        <v>45539</v>
      </c>
      <c r="H48" s="22"/>
      <c r="I48" s="24">
        <v>29908201201021</v>
      </c>
      <c r="J48" s="25">
        <v>1</v>
      </c>
      <c r="K48" s="25">
        <v>2700</v>
      </c>
      <c r="L48" s="25"/>
      <c r="M48" s="26"/>
      <c r="N48" s="25">
        <f>SUM('11-2025'!$K48:$M48)</f>
        <v>2700</v>
      </c>
      <c r="O48" s="25">
        <v>2700</v>
      </c>
      <c r="P48" s="25">
        <f t="shared" si="0"/>
        <v>506.25</v>
      </c>
      <c r="Q48" s="25">
        <f t="shared" si="1"/>
        <v>297</v>
      </c>
      <c r="R48" s="25">
        <v>1666.6666666666667</v>
      </c>
      <c r="S48" s="27">
        <f t="shared" si="2"/>
        <v>736.33333333333326</v>
      </c>
      <c r="T48" s="25">
        <f t="shared" si="3"/>
        <v>8836</v>
      </c>
      <c r="U48" s="25">
        <f>IF(T48&lt;=40000,0,
IF(T48&lt;=55000,(T48-40000)*10%,
IF(T48&lt;=70000,(T48-55000)*15%+1500,
IF(T48&lt;=200000,(T48-70000)*20%+1500+2250,
IF(T48&lt;=400000,(T48-200000)*22.5%+1500+2250+26000,
IF(T48&lt;=600000,(T48-400000)*25%+1500+2250+26000+45000,
IF(AND(T48&gt;600000,T48&lt;=1200000),(T48-400000)*25%+1500+2250+26000+45000
+IFERROR(LOOKUP(T48,{600001;700001;800001;900001},{4000;6750;10250;15250}),0),IF(T48&gt;1200000,((T48-1200000)*27.5%)+300000,0)
)))))))</f>
        <v>0</v>
      </c>
      <c r="V48" s="25">
        <f t="shared" si="4"/>
        <v>0</v>
      </c>
      <c r="W48" s="28">
        <f>+'11-2025'!$S48-'11-2025'!$V48+'11-2025'!$R48</f>
        <v>2403</v>
      </c>
      <c r="X48" s="28">
        <f t="shared" si="5"/>
        <v>80.099999999999994</v>
      </c>
      <c r="Y48" s="29">
        <v>0</v>
      </c>
      <c r="Z48" s="29">
        <f>IFERROR(+'11-2025'!$X48*'11-2025'!$Y48,"")</f>
        <v>0</v>
      </c>
      <c r="AA48" s="29">
        <v>0</v>
      </c>
      <c r="AB48" s="29">
        <f>IFERROR(+'11-2025'!$X48*'11-2025'!$AA48,"")</f>
        <v>0</v>
      </c>
      <c r="AC48" s="29">
        <v>0</v>
      </c>
      <c r="AD48" s="29">
        <f>IFERROR(+'11-2025'!$X48*'11-2025'!$AC48,"")</f>
        <v>0</v>
      </c>
      <c r="AE48" s="29">
        <v>0</v>
      </c>
      <c r="AF48" s="29">
        <f>IFERROR(+'11-2025'!$X48*'11-2025'!$AE48,"")</f>
        <v>0</v>
      </c>
      <c r="AG48" s="29">
        <v>0</v>
      </c>
      <c r="AH48" s="29">
        <f>IFERROR(+'11-2025'!$X48*'11-2025'!$AG48,"")</f>
        <v>0</v>
      </c>
      <c r="AI48" s="29">
        <v>0</v>
      </c>
      <c r="AJ48" s="29">
        <f>IFERROR('11-2025'!$Z48+'11-2025'!$AB48+'11-2025'!$AD48+'11-2025'!$AF48+'11-2025'!$AH48+'11-2025'!$AI48,"")</f>
        <v>0</v>
      </c>
      <c r="AK48" s="30">
        <f>IFERROR('11-2025'!$W48-'11-2025'!$AJ48,"")</f>
        <v>2403</v>
      </c>
      <c r="AL48" s="31"/>
      <c r="AM48" s="31"/>
      <c r="AN48" s="31"/>
      <c r="AO48" s="31">
        <v>0</v>
      </c>
      <c r="AP48" s="31"/>
      <c r="AQ48" s="31"/>
      <c r="AR48" s="31">
        <v>0</v>
      </c>
      <c r="AS48" s="31">
        <v>0</v>
      </c>
      <c r="AT48" s="31">
        <v>0</v>
      </c>
      <c r="AU48" s="31">
        <v>0</v>
      </c>
      <c r="AV48" s="31">
        <v>0</v>
      </c>
      <c r="AW48" s="31">
        <v>0</v>
      </c>
      <c r="AX48" s="31">
        <v>0</v>
      </c>
      <c r="AY48" s="31">
        <v>0</v>
      </c>
      <c r="AZ48" s="31">
        <v>0</v>
      </c>
      <c r="BA48" s="31">
        <v>0</v>
      </c>
      <c r="BB48" s="31">
        <v>0</v>
      </c>
      <c r="BC48" s="31">
        <v>0</v>
      </c>
      <c r="BD48" s="31">
        <v>0</v>
      </c>
      <c r="BE48" s="31">
        <v>0</v>
      </c>
      <c r="BF48" s="31">
        <v>0</v>
      </c>
      <c r="BG48" s="31">
        <v>0</v>
      </c>
      <c r="BH48" s="31">
        <v>2312.8998999999999</v>
      </c>
      <c r="BI48" s="31">
        <v>0</v>
      </c>
      <c r="BJ48" s="32">
        <f t="shared" si="11"/>
        <v>2312.8998999999999</v>
      </c>
      <c r="BK48" s="33">
        <f>BJ48+AM48+AL48+'11-2025'!$N48+AN48+AO48</f>
        <v>5012.8999000000003</v>
      </c>
      <c r="BL48" s="34">
        <f>'11-2025'!$O48</f>
        <v>2700</v>
      </c>
      <c r="BM48" s="34">
        <f t="shared" si="6"/>
        <v>506.25</v>
      </c>
      <c r="BN48" s="34">
        <f t="shared" si="7"/>
        <v>297</v>
      </c>
      <c r="BO48" s="34">
        <f t="shared" si="8"/>
        <v>1666.6666666666667</v>
      </c>
      <c r="BP48" s="35">
        <f t="shared" si="9"/>
        <v>3049.2332333333334</v>
      </c>
      <c r="BQ48" s="34">
        <f>IFERROR(BP48/'11-2025'!$J48,0)*12</f>
        <v>36590.798800000004</v>
      </c>
      <c r="BR48" s="34">
        <f>IF(BQ48&lt;=40000,0,
IF(BQ48&lt;=55000,(BQ48-40000)*10%,
IF(BQ48&lt;=70000,(BQ48-55000)*15%+1500,
IF(BQ48&lt;=200000,(BQ48-70000)*20%+1500+2250,
IF(BQ48&lt;=400000,(BQ48-200000)*22.5%+1500+2250+26000,
IF(BQ48&lt;=600000,(BQ48-400000)*25%+1500+2250+26000+45000,
IF(AND(BQ48&gt;600000,BQ48&lt;=1200000),(BQ48-400000)*25%+1500+2250+26000+45000
+IFERROR(LOOKUP(BQ48,{600001;700001;800001;900001},{4000;6750;10250;15250}),0),IF(BQ48&gt;1200000,((BQ48-1200000)*27.5%)+300000,0)
)))))))</f>
        <v>0</v>
      </c>
      <c r="BS48" s="32">
        <f>(BR48/12*'11-2025'!$J48)</f>
        <v>0</v>
      </c>
      <c r="BT48" s="33">
        <f>BS48-'11-2025'!$V48</f>
        <v>0</v>
      </c>
      <c r="BU48" s="32">
        <f>IFERROR(+'11-2025'!$W48+AL48+AM48+BJ48-'11-2025'!$AJ48-BT48+AN48+AO48,"")-AL48+AP48+AQ48</f>
        <v>4715.8999000000003</v>
      </c>
      <c r="BV48" s="36"/>
      <c r="BW48" s="37"/>
      <c r="BX48" s="37">
        <f t="shared" si="10"/>
        <v>4715.8999000000003</v>
      </c>
      <c r="BY48" s="37" t="s">
        <v>75</v>
      </c>
    </row>
    <row r="49" spans="1:78" s="75" customFormat="1" x14ac:dyDescent="0.25">
      <c r="A49" s="38">
        <v>445</v>
      </c>
      <c r="B49" s="40" t="s">
        <v>150</v>
      </c>
      <c r="C49" s="40" t="s">
        <v>81</v>
      </c>
      <c r="D49" s="40" t="s">
        <v>77</v>
      </c>
      <c r="E49" s="40" t="s">
        <v>132</v>
      </c>
      <c r="F49" s="40" t="s">
        <v>133</v>
      </c>
      <c r="G49" s="61">
        <v>45557</v>
      </c>
      <c r="H49" s="61">
        <v>45896</v>
      </c>
      <c r="I49" s="62">
        <v>29012100105168</v>
      </c>
      <c r="J49" s="63">
        <v>1</v>
      </c>
      <c r="K49" s="63">
        <v>4000</v>
      </c>
      <c r="L49" s="63"/>
      <c r="M49" s="64"/>
      <c r="N49" s="63">
        <f>SUM('11-2025'!$K49:$M49)</f>
        <v>4000</v>
      </c>
      <c r="O49" s="63"/>
      <c r="P49" s="63">
        <f t="shared" si="0"/>
        <v>0</v>
      </c>
      <c r="Q49" s="63">
        <f t="shared" si="1"/>
        <v>0</v>
      </c>
      <c r="R49" s="63">
        <v>1666.6666666666667</v>
      </c>
      <c r="S49" s="65">
        <f t="shared" si="2"/>
        <v>2333.333333333333</v>
      </c>
      <c r="T49" s="63">
        <f t="shared" si="3"/>
        <v>27999.999999999996</v>
      </c>
      <c r="U49" s="63">
        <f>IF(T49&lt;=40000,0,
IF(T49&lt;=55000,(T49-40000)*10%,
IF(T49&lt;=70000,(T49-55000)*15%+1500,
IF(T49&lt;=200000,(T49-70000)*20%+1500+2250,
IF(T49&lt;=400000,(T49-200000)*22.5%+1500+2250+26000,
IF(T49&lt;=600000,(T49-400000)*25%+1500+2250+26000+45000,
IF(AND(T49&gt;600000,T49&lt;=1200000),(T49-400000)*25%+1500+2250+26000+45000
+IFERROR(LOOKUP(T49,{600001;700001;800001;900001},{4000;6750;10250;15250}),0),IF(T49&gt;1200000,((T49-1200000)*27.5%)+300000,0)
)))))))</f>
        <v>0</v>
      </c>
      <c r="V49" s="63">
        <f t="shared" si="4"/>
        <v>0</v>
      </c>
      <c r="W49" s="66">
        <f>+'11-2025'!$S49-'11-2025'!$V49+'11-2025'!$R49</f>
        <v>4000</v>
      </c>
      <c r="X49" s="66">
        <f t="shared" si="5"/>
        <v>133.33333333333334</v>
      </c>
      <c r="Y49" s="67"/>
      <c r="Z49" s="67">
        <f>IFERROR(+'11-2025'!$X49*'11-2025'!$Y49,"")</f>
        <v>0</v>
      </c>
      <c r="AA49" s="67"/>
      <c r="AB49" s="67">
        <f>IFERROR(+'11-2025'!$X49*'11-2025'!$AA49,"")</f>
        <v>0</v>
      </c>
      <c r="AC49" s="67">
        <v>30</v>
      </c>
      <c r="AD49" s="67">
        <f>IFERROR(+'11-2025'!$X49*'11-2025'!$AC49,"")</f>
        <v>4000.0000000000005</v>
      </c>
      <c r="AE49" s="67"/>
      <c r="AF49" s="67">
        <f>IFERROR(+'11-2025'!$X49*'11-2025'!$AE49,"")</f>
        <v>0</v>
      </c>
      <c r="AG49" s="67"/>
      <c r="AH49" s="67">
        <f>IFERROR(+'11-2025'!$X49*'11-2025'!$AG49,"")</f>
        <v>0</v>
      </c>
      <c r="AI49" s="29">
        <v>0</v>
      </c>
      <c r="AJ49" s="67">
        <f>IFERROR('11-2025'!$Z49+'11-2025'!$AB49+'11-2025'!$AD49+'11-2025'!$AF49+'11-2025'!$AH49+'11-2025'!$AI49,"")</f>
        <v>4000.0000000000005</v>
      </c>
      <c r="AK49" s="68">
        <f>IFERROR('11-2025'!$W49-'11-2025'!$AJ49,"")</f>
        <v>-4.5474735088646412E-13</v>
      </c>
      <c r="AL49" s="69"/>
      <c r="AM49" s="69"/>
      <c r="AN49" s="69"/>
      <c r="AO49" s="69"/>
      <c r="AP49" s="69"/>
      <c r="AQ49" s="69"/>
      <c r="AR49" s="31">
        <v>0</v>
      </c>
      <c r="AS49" s="31">
        <v>0</v>
      </c>
      <c r="AT49" s="31">
        <v>0</v>
      </c>
      <c r="AU49" s="31">
        <v>0</v>
      </c>
      <c r="AV49" s="31">
        <v>0</v>
      </c>
      <c r="AW49" s="31">
        <v>0</v>
      </c>
      <c r="AX49" s="31">
        <v>0</v>
      </c>
      <c r="AY49" s="31">
        <v>0</v>
      </c>
      <c r="AZ49" s="31">
        <v>0</v>
      </c>
      <c r="BA49" s="31">
        <v>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9">
        <f t="shared" si="11"/>
        <v>0</v>
      </c>
      <c r="BK49" s="70">
        <f>BJ49+AM49+AL49+'11-2025'!$N49+AN49+AO49</f>
        <v>4000</v>
      </c>
      <c r="BL49" s="71">
        <f>'11-2025'!$O49</f>
        <v>0</v>
      </c>
      <c r="BM49" s="71">
        <f t="shared" si="6"/>
        <v>0</v>
      </c>
      <c r="BN49" s="71">
        <f t="shared" si="7"/>
        <v>0</v>
      </c>
      <c r="BO49" s="71">
        <f t="shared" si="8"/>
        <v>1666.6666666666667</v>
      </c>
      <c r="BP49" s="72">
        <f t="shared" si="9"/>
        <v>2333.333333333333</v>
      </c>
      <c r="BQ49" s="71">
        <f>IFERROR(BP49/'11-2025'!$J49,0)*12</f>
        <v>27999.999999999996</v>
      </c>
      <c r="BR49" s="71">
        <f>IF(BQ49&lt;=40000,0,
IF(BQ49&lt;=55000,(BQ49-40000)*10%,
IF(BQ49&lt;=70000,(BQ49-55000)*15%+1500,
IF(BQ49&lt;=200000,(BQ49-70000)*20%+1500+2250,
IF(BQ49&lt;=400000,(BQ49-200000)*22.5%+1500+2250+26000,
IF(BQ49&lt;=600000,(BQ49-400000)*25%+1500+2250+26000+45000,
IF(AND(BQ49&gt;600000,BQ49&lt;=1200000),(BQ49-400000)*25%+1500+2250+26000+45000
+IFERROR(LOOKUP(BQ49,{600001;700001;800001;900001},{4000;6750;10250;15250}),0),IF(BQ49&gt;1200000,((BQ49-1200000)*27.5%)+300000,0)
)))))))</f>
        <v>0</v>
      </c>
      <c r="BS49" s="39">
        <f>(BR49/12*'11-2025'!$J49)</f>
        <v>0</v>
      </c>
      <c r="BT49" s="70">
        <f>BS49-'11-2025'!$V49</f>
        <v>0</v>
      </c>
      <c r="BU49" s="39">
        <f>IFERROR(+'11-2025'!$W49+AL49+AM49+BJ49-'11-2025'!$AJ49-BT49+AN49+AO49,"")-AL49+AP49+AQ49</f>
        <v>-4.5474735088646412E-13</v>
      </c>
      <c r="BV49" s="73"/>
      <c r="BW49" s="74"/>
      <c r="BX49" s="74">
        <f t="shared" si="10"/>
        <v>-4.5474735088646412E-13</v>
      </c>
      <c r="BY49" s="74"/>
    </row>
    <row r="50" spans="1:78" x14ac:dyDescent="0.25">
      <c r="A50" s="21">
        <v>466</v>
      </c>
      <c r="B50" s="22" t="s">
        <v>151</v>
      </c>
      <c r="C50" s="22" t="s">
        <v>106</v>
      </c>
      <c r="D50" s="22" t="s">
        <v>72</v>
      </c>
      <c r="E50" s="22" t="s">
        <v>110</v>
      </c>
      <c r="F50" s="22" t="s">
        <v>86</v>
      </c>
      <c r="G50" s="23">
        <v>45575</v>
      </c>
      <c r="H50" s="22"/>
      <c r="I50" s="24">
        <v>29309251200181</v>
      </c>
      <c r="J50" s="25">
        <v>1</v>
      </c>
      <c r="K50" s="25">
        <v>2700</v>
      </c>
      <c r="L50" s="25"/>
      <c r="M50" s="26"/>
      <c r="N50" s="25">
        <f>SUM('11-2025'!$K50:$M50)</f>
        <v>2700</v>
      </c>
      <c r="O50" s="25">
        <v>2700</v>
      </c>
      <c r="P50" s="25">
        <f t="shared" si="0"/>
        <v>506.25</v>
      </c>
      <c r="Q50" s="25">
        <f t="shared" si="1"/>
        <v>297</v>
      </c>
      <c r="R50" s="25">
        <v>1666.6666666666667</v>
      </c>
      <c r="S50" s="27">
        <f t="shared" si="2"/>
        <v>736.33333333333326</v>
      </c>
      <c r="T50" s="25">
        <f t="shared" si="3"/>
        <v>8836</v>
      </c>
      <c r="U50" s="25">
        <f>IF(T50&lt;=40000,0,
IF(T50&lt;=55000,(T50-40000)*10%,
IF(T50&lt;=70000,(T50-55000)*15%+1500,
IF(T50&lt;=200000,(T50-70000)*20%+1500+2250,
IF(T50&lt;=400000,(T50-200000)*22.5%+1500+2250+26000,
IF(T50&lt;=600000,(T50-400000)*25%+1500+2250+26000+45000,
IF(AND(T50&gt;600000,T50&lt;=1200000),(T50-400000)*25%+1500+2250+26000+45000
+IFERROR(LOOKUP(T50,{600001;700001;800001;900001},{4000;6750;10250;15250}),0),IF(T50&gt;1200000,((T50-1200000)*27.5%)+300000,0)
)))))))</f>
        <v>0</v>
      </c>
      <c r="V50" s="25">
        <f t="shared" si="4"/>
        <v>0</v>
      </c>
      <c r="W50" s="28">
        <f>+'11-2025'!$S50-'11-2025'!$V50+'11-2025'!$R50</f>
        <v>2403</v>
      </c>
      <c r="X50" s="28">
        <f t="shared" si="5"/>
        <v>80.099999999999994</v>
      </c>
      <c r="Y50" s="29">
        <v>0</v>
      </c>
      <c r="Z50" s="29">
        <f>IFERROR(+'11-2025'!$X50*'11-2025'!$Y50,"")</f>
        <v>0</v>
      </c>
      <c r="AA50" s="29">
        <v>0</v>
      </c>
      <c r="AB50" s="29">
        <f>IFERROR(+'11-2025'!$X50*'11-2025'!$AA50,"")</f>
        <v>0</v>
      </c>
      <c r="AC50" s="29">
        <v>0</v>
      </c>
      <c r="AD50" s="29">
        <f>IFERROR(+'11-2025'!$X50*'11-2025'!$AC50,"")</f>
        <v>0</v>
      </c>
      <c r="AE50" s="29">
        <v>0</v>
      </c>
      <c r="AF50" s="29">
        <f>IFERROR(+'11-2025'!$X50*'11-2025'!$AE50,"")</f>
        <v>0</v>
      </c>
      <c r="AG50" s="29">
        <v>0</v>
      </c>
      <c r="AH50" s="29">
        <f>IFERROR(+'11-2025'!$X50*'11-2025'!$AG50,"")</f>
        <v>0</v>
      </c>
      <c r="AI50" s="29">
        <v>0</v>
      </c>
      <c r="AJ50" s="29">
        <f>IFERROR('11-2025'!$Z50+'11-2025'!$AB50+'11-2025'!$AD50+'11-2025'!$AF50+'11-2025'!$AH50+'11-2025'!$AI50,"")</f>
        <v>0</v>
      </c>
      <c r="AK50" s="30">
        <f>IFERROR('11-2025'!$W50-'11-2025'!$AJ50,"")</f>
        <v>2403</v>
      </c>
      <c r="AL50" s="31"/>
      <c r="AM50" s="31"/>
      <c r="AN50" s="31"/>
      <c r="AO50" s="31">
        <v>60</v>
      </c>
      <c r="AP50" s="31"/>
      <c r="AQ50" s="31"/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876.68999999999994</v>
      </c>
      <c r="BF50" s="31">
        <v>0</v>
      </c>
      <c r="BG50" s="31">
        <v>0</v>
      </c>
      <c r="BH50" s="31">
        <v>0</v>
      </c>
      <c r="BI50" s="31">
        <v>0</v>
      </c>
      <c r="BJ50" s="32">
        <f t="shared" si="11"/>
        <v>876.68999999999994</v>
      </c>
      <c r="BK50" s="33">
        <f>BJ50+AM50+AL50+'11-2025'!$N50+AN50+AO50</f>
        <v>3636.69</v>
      </c>
      <c r="BL50" s="34">
        <f>'11-2025'!$O50</f>
        <v>2700</v>
      </c>
      <c r="BM50" s="34">
        <f t="shared" si="6"/>
        <v>506.25</v>
      </c>
      <c r="BN50" s="34">
        <f t="shared" si="7"/>
        <v>297</v>
      </c>
      <c r="BO50" s="34">
        <f t="shared" si="8"/>
        <v>1666.6666666666667</v>
      </c>
      <c r="BP50" s="35">
        <f t="shared" si="9"/>
        <v>1673.0233333333333</v>
      </c>
      <c r="BQ50" s="34">
        <f>IFERROR(BP50/'11-2025'!$J50,0)*12</f>
        <v>20076.28</v>
      </c>
      <c r="BR50" s="34">
        <f>IF(BQ50&lt;=40000,0,
IF(BQ50&lt;=55000,(BQ50-40000)*10%,
IF(BQ50&lt;=70000,(BQ50-55000)*15%+1500,
IF(BQ50&lt;=200000,(BQ50-70000)*20%+1500+2250,
IF(BQ50&lt;=400000,(BQ50-200000)*22.5%+1500+2250+26000,
IF(BQ50&lt;=600000,(BQ50-400000)*25%+1500+2250+26000+45000,
IF(AND(BQ50&gt;600000,BQ50&lt;=1200000),(BQ50-400000)*25%+1500+2250+26000+45000
+IFERROR(LOOKUP(BQ50,{600001;700001;800001;900001},{4000;6750;10250;15250}),0),IF(BQ50&gt;1200000,((BQ50-1200000)*27.5%)+300000,0)
)))))))</f>
        <v>0</v>
      </c>
      <c r="BS50" s="32">
        <f>(BR50/12*'11-2025'!$J50)</f>
        <v>0</v>
      </c>
      <c r="BT50" s="33">
        <f>BS50-'11-2025'!$V50</f>
        <v>0</v>
      </c>
      <c r="BU50" s="32">
        <f>IFERROR(+'11-2025'!$W50+AL50+AM50+BJ50-'11-2025'!$AJ50-BT50+AN50+AO50,"")-AL50+AP50+AQ50</f>
        <v>3339.69</v>
      </c>
      <c r="BV50" s="36"/>
      <c r="BW50" s="37"/>
      <c r="BX50" s="37">
        <f t="shared" si="10"/>
        <v>3339.69</v>
      </c>
      <c r="BY50" s="37"/>
    </row>
    <row r="51" spans="1:78" x14ac:dyDescent="0.25">
      <c r="A51" s="21">
        <v>473</v>
      </c>
      <c r="B51" s="22" t="s">
        <v>152</v>
      </c>
      <c r="C51" s="22" t="s">
        <v>71</v>
      </c>
      <c r="D51" s="22" t="s">
        <v>72</v>
      </c>
      <c r="E51" s="22" t="s">
        <v>73</v>
      </c>
      <c r="F51" s="22" t="s">
        <v>102</v>
      </c>
      <c r="G51" s="23">
        <v>45582</v>
      </c>
      <c r="H51" s="22"/>
      <c r="I51" s="24">
        <v>30406050100589</v>
      </c>
      <c r="J51" s="25">
        <v>1</v>
      </c>
      <c r="K51" s="25">
        <v>2500</v>
      </c>
      <c r="L51" s="25"/>
      <c r="M51" s="26"/>
      <c r="N51" s="25">
        <f>SUM('11-2025'!$K51:$M51)</f>
        <v>2500</v>
      </c>
      <c r="O51" s="25">
        <v>2500</v>
      </c>
      <c r="P51" s="25">
        <f t="shared" si="0"/>
        <v>468.75</v>
      </c>
      <c r="Q51" s="25">
        <f t="shared" si="1"/>
        <v>275</v>
      </c>
      <c r="R51" s="25">
        <v>1666.6666666666667</v>
      </c>
      <c r="S51" s="27">
        <f t="shared" si="2"/>
        <v>558.33333333333326</v>
      </c>
      <c r="T51" s="25">
        <f t="shared" si="3"/>
        <v>6699.9999999999991</v>
      </c>
      <c r="U51" s="25">
        <f>IF(T51&lt;=40000,0,
IF(T51&lt;=55000,(T51-40000)*10%,
IF(T51&lt;=70000,(T51-55000)*15%+1500,
IF(T51&lt;=200000,(T51-70000)*20%+1500+2250,
IF(T51&lt;=400000,(T51-200000)*22.5%+1500+2250+26000,
IF(T51&lt;=600000,(T51-400000)*25%+1500+2250+26000+45000,
IF(AND(T51&gt;600000,T51&lt;=1200000),(T51-400000)*25%+1500+2250+26000+45000
+IFERROR(LOOKUP(T51,{600001;700001;800001;900001},{4000;6750;10250;15250}),0),IF(T51&gt;1200000,((T51-1200000)*27.5%)+300000,0)
)))))))</f>
        <v>0</v>
      </c>
      <c r="V51" s="25">
        <f t="shared" si="4"/>
        <v>0</v>
      </c>
      <c r="W51" s="28">
        <f>+'11-2025'!$S51-'11-2025'!$V51+'11-2025'!$R51</f>
        <v>2225</v>
      </c>
      <c r="X51" s="28">
        <f t="shared" si="5"/>
        <v>74.166666666666671</v>
      </c>
      <c r="Y51" s="29">
        <v>0</v>
      </c>
      <c r="Z51" s="29">
        <f>IFERROR(+'11-2025'!$X51*'11-2025'!$Y51,"")</f>
        <v>0</v>
      </c>
      <c r="AA51" s="29">
        <v>2</v>
      </c>
      <c r="AB51" s="29">
        <f>IFERROR(+'11-2025'!$X51*'11-2025'!$AA51,"")</f>
        <v>148.33333333333334</v>
      </c>
      <c r="AC51" s="29">
        <v>0</v>
      </c>
      <c r="AD51" s="29">
        <f>IFERROR(+'11-2025'!$X51*'11-2025'!$AC51,"")</f>
        <v>0</v>
      </c>
      <c r="AE51" s="29">
        <v>0</v>
      </c>
      <c r="AF51" s="29">
        <f>IFERROR(+'11-2025'!$X51*'11-2025'!$AE51,"")</f>
        <v>0</v>
      </c>
      <c r="AG51" s="29">
        <v>2.75</v>
      </c>
      <c r="AH51" s="29">
        <f>IFERROR(+'11-2025'!$X51*'11-2025'!$AG51,"")</f>
        <v>203.95833333333334</v>
      </c>
      <c r="AI51" s="29">
        <v>0</v>
      </c>
      <c r="AJ51" s="29">
        <f>IFERROR('11-2025'!$Z51+'11-2025'!$AB51+'11-2025'!$AD51+'11-2025'!$AF51+'11-2025'!$AH51+'11-2025'!$AI51,"")</f>
        <v>352.29166666666669</v>
      </c>
      <c r="AK51" s="30">
        <f>IFERROR('11-2025'!$W51-'11-2025'!$AJ51,"")</f>
        <v>1872.7083333333333</v>
      </c>
      <c r="AL51" s="31"/>
      <c r="AM51" s="31"/>
      <c r="AN51" s="31"/>
      <c r="AO51" s="31">
        <v>0</v>
      </c>
      <c r="AP51" s="31"/>
      <c r="AQ51" s="31"/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1593.0825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2">
        <f t="shared" si="11"/>
        <v>1593.0825</v>
      </c>
      <c r="BK51" s="33">
        <f>BJ51+AM51+AL51+'11-2025'!$N51+AN51+AO51</f>
        <v>4093.0825</v>
      </c>
      <c r="BL51" s="34">
        <f>'11-2025'!$O51</f>
        <v>2500</v>
      </c>
      <c r="BM51" s="34">
        <f t="shared" si="6"/>
        <v>468.75</v>
      </c>
      <c r="BN51" s="34">
        <f t="shared" si="7"/>
        <v>275</v>
      </c>
      <c r="BO51" s="34">
        <f t="shared" si="8"/>
        <v>1666.6666666666667</v>
      </c>
      <c r="BP51" s="35">
        <f t="shared" si="9"/>
        <v>2151.4158333333335</v>
      </c>
      <c r="BQ51" s="34">
        <f>IFERROR(BP51/'11-2025'!$J51,0)*12</f>
        <v>25816.99</v>
      </c>
      <c r="BR51" s="34">
        <f>IF(BQ51&lt;=40000,0,
IF(BQ51&lt;=55000,(BQ51-40000)*10%,
IF(BQ51&lt;=70000,(BQ51-55000)*15%+1500,
IF(BQ51&lt;=200000,(BQ51-70000)*20%+1500+2250,
IF(BQ51&lt;=400000,(BQ51-200000)*22.5%+1500+2250+26000,
IF(BQ51&lt;=600000,(BQ51-400000)*25%+1500+2250+26000+45000,
IF(AND(BQ51&gt;600000,BQ51&lt;=1200000),(BQ51-400000)*25%+1500+2250+26000+45000
+IFERROR(LOOKUP(BQ51,{600001;700001;800001;900001},{4000;6750;10250;15250}),0),IF(BQ51&gt;1200000,((BQ51-1200000)*27.5%)+300000,0)
)))))))</f>
        <v>0</v>
      </c>
      <c r="BS51" s="32">
        <f>(BR51/12*'11-2025'!$J51)</f>
        <v>0</v>
      </c>
      <c r="BT51" s="33">
        <f>BS51-'11-2025'!$V51</f>
        <v>0</v>
      </c>
      <c r="BU51" s="32">
        <f>IFERROR(+'11-2025'!$W51+AL51+AM51+BJ51-'11-2025'!$AJ51-BT51+AN51+AO51,"")-AL51+AP51+AQ51</f>
        <v>3465.7908333333335</v>
      </c>
      <c r="BV51" s="36"/>
      <c r="BW51" s="37"/>
      <c r="BX51" s="37">
        <f t="shared" si="10"/>
        <v>3465.7908333333335</v>
      </c>
      <c r="BY51" s="37"/>
    </row>
    <row r="52" spans="1:78" s="75" customFormat="1" x14ac:dyDescent="0.25">
      <c r="A52" s="38">
        <v>475</v>
      </c>
      <c r="B52" s="40" t="s">
        <v>153</v>
      </c>
      <c r="C52" s="40" t="s">
        <v>81</v>
      </c>
      <c r="D52" s="40" t="s">
        <v>72</v>
      </c>
      <c r="E52" s="40" t="s">
        <v>124</v>
      </c>
      <c r="F52" s="40" t="s">
        <v>139</v>
      </c>
      <c r="G52" s="61">
        <v>45584</v>
      </c>
      <c r="H52" s="61">
        <v>45900</v>
      </c>
      <c r="I52" s="62">
        <v>0</v>
      </c>
      <c r="J52" s="63">
        <v>1</v>
      </c>
      <c r="K52" s="63">
        <v>2750</v>
      </c>
      <c r="L52" s="63"/>
      <c r="M52" s="64"/>
      <c r="N52" s="63">
        <f>SUM('11-2025'!$K52:$M52)</f>
        <v>2750</v>
      </c>
      <c r="O52" s="63"/>
      <c r="P52" s="63">
        <f t="shared" si="0"/>
        <v>0</v>
      </c>
      <c r="Q52" s="63">
        <f t="shared" si="1"/>
        <v>0</v>
      </c>
      <c r="R52" s="63">
        <v>1666.6666666666667</v>
      </c>
      <c r="S52" s="65">
        <f t="shared" si="2"/>
        <v>1083.3333333333333</v>
      </c>
      <c r="T52" s="63">
        <f t="shared" si="3"/>
        <v>13000</v>
      </c>
      <c r="U52" s="63">
        <f>IF(T52&lt;=40000,0,
IF(T52&lt;=55000,(T52-40000)*10%,
IF(T52&lt;=70000,(T52-55000)*15%+1500,
IF(T52&lt;=200000,(T52-70000)*20%+1500+2250,
IF(T52&lt;=400000,(T52-200000)*22.5%+1500+2250+26000,
IF(T52&lt;=600000,(T52-400000)*25%+1500+2250+26000+45000,
IF(AND(T52&gt;600000,T52&lt;=1200000),(T52-400000)*25%+1500+2250+26000+45000
+IFERROR(LOOKUP(T52,{600001;700001;800001;900001},{4000;6750;10250;15250}),0),IF(T52&gt;1200000,((T52-1200000)*27.5%)+300000,0)
)))))))</f>
        <v>0</v>
      </c>
      <c r="V52" s="63">
        <f t="shared" si="4"/>
        <v>0</v>
      </c>
      <c r="W52" s="66">
        <f>+'11-2025'!$S52-'11-2025'!$V52+'11-2025'!$R52</f>
        <v>2750</v>
      </c>
      <c r="X52" s="66">
        <f t="shared" si="5"/>
        <v>91.666666666666671</v>
      </c>
      <c r="Y52" s="67"/>
      <c r="Z52" s="67">
        <f>IFERROR(+'11-2025'!$X52*'11-2025'!$Y52,"")</f>
        <v>0</v>
      </c>
      <c r="AA52" s="67"/>
      <c r="AB52" s="67">
        <f>IFERROR(+'11-2025'!$X52*'11-2025'!$AA52,"")</f>
        <v>0</v>
      </c>
      <c r="AC52" s="67">
        <v>30</v>
      </c>
      <c r="AD52" s="67">
        <f>IFERROR(+'11-2025'!$X52*'11-2025'!$AC52,"")</f>
        <v>2750</v>
      </c>
      <c r="AE52" s="67"/>
      <c r="AF52" s="67">
        <f>IFERROR(+'11-2025'!$X52*'11-2025'!$AE52,"")</f>
        <v>0</v>
      </c>
      <c r="AG52" s="67"/>
      <c r="AH52" s="67">
        <f>IFERROR(+'11-2025'!$X52*'11-2025'!$AG52,"")</f>
        <v>0</v>
      </c>
      <c r="AI52" s="29">
        <v>0</v>
      </c>
      <c r="AJ52" s="67">
        <f>IFERROR('11-2025'!$Z52+'11-2025'!$AB52+'11-2025'!$AD52+'11-2025'!$AF52+'11-2025'!$AH52+'11-2025'!$AI52,"")</f>
        <v>2750</v>
      </c>
      <c r="AK52" s="68">
        <f>IFERROR('11-2025'!$W52-'11-2025'!$AJ52,"")</f>
        <v>0</v>
      </c>
      <c r="AL52" s="69"/>
      <c r="AM52" s="69"/>
      <c r="AN52" s="69"/>
      <c r="AO52" s="69"/>
      <c r="AP52" s="69"/>
      <c r="AQ52" s="69"/>
      <c r="AR52" s="31">
        <v>0</v>
      </c>
      <c r="AS52" s="31">
        <v>0</v>
      </c>
      <c r="AT52" s="31">
        <v>0</v>
      </c>
      <c r="AU52" s="31">
        <v>0</v>
      </c>
      <c r="AV52" s="31">
        <v>0</v>
      </c>
      <c r="AW52" s="31">
        <v>0</v>
      </c>
      <c r="AX52" s="31">
        <v>0</v>
      </c>
      <c r="AY52" s="31">
        <v>0</v>
      </c>
      <c r="AZ52" s="31">
        <v>0</v>
      </c>
      <c r="BA52" s="31">
        <v>0</v>
      </c>
      <c r="BB52" s="31">
        <v>0</v>
      </c>
      <c r="BC52" s="31">
        <v>0</v>
      </c>
      <c r="BD52" s="31">
        <v>0</v>
      </c>
      <c r="BE52" s="31">
        <v>0</v>
      </c>
      <c r="BF52" s="31">
        <v>0</v>
      </c>
      <c r="BG52" s="31">
        <v>0</v>
      </c>
      <c r="BH52" s="31">
        <v>0</v>
      </c>
      <c r="BI52" s="31">
        <v>0</v>
      </c>
      <c r="BJ52" s="39">
        <f t="shared" si="11"/>
        <v>0</v>
      </c>
      <c r="BK52" s="70">
        <f>BJ52+AM52+AL52+'11-2025'!$N52+AN52+AO52</f>
        <v>2750</v>
      </c>
      <c r="BL52" s="71">
        <f>'11-2025'!$O52</f>
        <v>0</v>
      </c>
      <c r="BM52" s="71">
        <f t="shared" si="6"/>
        <v>0</v>
      </c>
      <c r="BN52" s="71">
        <f t="shared" si="7"/>
        <v>0</v>
      </c>
      <c r="BO52" s="71">
        <f t="shared" si="8"/>
        <v>1666.6666666666667</v>
      </c>
      <c r="BP52" s="72">
        <f t="shared" si="9"/>
        <v>1083.3333333333333</v>
      </c>
      <c r="BQ52" s="71">
        <f>IFERROR(BP52/'11-2025'!$J52,0)*12</f>
        <v>13000</v>
      </c>
      <c r="BR52" s="71">
        <f>IF(BQ52&lt;=40000,0,
IF(BQ52&lt;=55000,(BQ52-40000)*10%,
IF(BQ52&lt;=70000,(BQ52-55000)*15%+1500,
IF(BQ52&lt;=200000,(BQ52-70000)*20%+1500+2250,
IF(BQ52&lt;=400000,(BQ52-200000)*22.5%+1500+2250+26000,
IF(BQ52&lt;=600000,(BQ52-400000)*25%+1500+2250+26000+45000,
IF(AND(BQ52&gt;600000,BQ52&lt;=1200000),(BQ52-400000)*25%+1500+2250+26000+45000
+IFERROR(LOOKUP(BQ52,{600001;700001;800001;900001},{4000;6750;10250;15250}),0),IF(BQ52&gt;1200000,((BQ52-1200000)*27.5%)+300000,0)
)))))))</f>
        <v>0</v>
      </c>
      <c r="BS52" s="39">
        <f>(BR52/12*'11-2025'!$J52)</f>
        <v>0</v>
      </c>
      <c r="BT52" s="70">
        <f>BS52-'11-2025'!$V52</f>
        <v>0</v>
      </c>
      <c r="BU52" s="39">
        <f>IFERROR(+'11-2025'!$W52+AL52+AM52+BJ52-'11-2025'!$AJ52-BT52+AN52+AO52,"")-AL52+AP52+AQ52</f>
        <v>0</v>
      </c>
      <c r="BV52" s="73"/>
      <c r="BW52" s="74"/>
      <c r="BX52" s="74">
        <f t="shared" si="10"/>
        <v>0</v>
      </c>
      <c r="BY52" s="74"/>
    </row>
    <row r="53" spans="1:78" x14ac:dyDescent="0.25">
      <c r="A53" s="21">
        <v>483</v>
      </c>
      <c r="B53" s="22" t="s">
        <v>154</v>
      </c>
      <c r="C53" s="22" t="s">
        <v>71</v>
      </c>
      <c r="D53" s="22" t="s">
        <v>77</v>
      </c>
      <c r="E53" s="22" t="s">
        <v>96</v>
      </c>
      <c r="F53" s="22" t="s">
        <v>155</v>
      </c>
      <c r="G53" s="23">
        <v>45598</v>
      </c>
      <c r="H53" s="22"/>
      <c r="I53" s="24">
        <v>30006180104545</v>
      </c>
      <c r="J53" s="25">
        <v>1</v>
      </c>
      <c r="K53" s="25">
        <v>4385</v>
      </c>
      <c r="L53" s="25"/>
      <c r="M53" s="26"/>
      <c r="N53" s="25">
        <f>SUM('11-2025'!$K53:$M53)</f>
        <v>4385</v>
      </c>
      <c r="O53" s="25">
        <v>3500</v>
      </c>
      <c r="P53" s="25">
        <f t="shared" si="0"/>
        <v>656.25</v>
      </c>
      <c r="Q53" s="25">
        <f t="shared" si="1"/>
        <v>385</v>
      </c>
      <c r="R53" s="25">
        <v>1666.6666666666667</v>
      </c>
      <c r="S53" s="27">
        <f t="shared" si="2"/>
        <v>2333.333333333333</v>
      </c>
      <c r="T53" s="25">
        <f t="shared" si="3"/>
        <v>27999.999999999996</v>
      </c>
      <c r="U53" s="25">
        <f>IF(T53&lt;=40000,0,
IF(T53&lt;=55000,(T53-40000)*10%,
IF(T53&lt;=70000,(T53-55000)*15%+1500,
IF(T53&lt;=200000,(T53-70000)*20%+1500+2250,
IF(T53&lt;=400000,(T53-200000)*22.5%+1500+2250+26000,
IF(T53&lt;=600000,(T53-400000)*25%+1500+2250+26000+45000,
IF(AND(T53&gt;600000,T53&lt;=1200000),(T53-400000)*25%+1500+2250+26000+45000
+IFERROR(LOOKUP(T53,{600001;700001;800001;900001},{4000;6750;10250;15250}),0),IF(T53&gt;1200000,((T53-1200000)*27.5%)+300000,0)
)))))))</f>
        <v>0</v>
      </c>
      <c r="V53" s="25">
        <f t="shared" si="4"/>
        <v>0</v>
      </c>
      <c r="W53" s="28">
        <f>+'11-2025'!$S53-'11-2025'!$V53+'11-2025'!$R53</f>
        <v>4000</v>
      </c>
      <c r="X53" s="28">
        <f t="shared" si="5"/>
        <v>133.33333333333334</v>
      </c>
      <c r="Y53" s="29">
        <v>0</v>
      </c>
      <c r="Z53" s="29">
        <f>IFERROR(+'11-2025'!$X53*'11-2025'!$Y53,"")</f>
        <v>0</v>
      </c>
      <c r="AA53" s="29">
        <v>0</v>
      </c>
      <c r="AB53" s="29">
        <f>IFERROR(+'11-2025'!$X53*'11-2025'!$AA53,"")</f>
        <v>0</v>
      </c>
      <c r="AC53" s="29">
        <v>0</v>
      </c>
      <c r="AD53" s="29">
        <f>IFERROR(+'11-2025'!$X53*'11-2025'!$AC53,"")</f>
        <v>0</v>
      </c>
      <c r="AE53" s="29">
        <v>0</v>
      </c>
      <c r="AF53" s="29">
        <f>IFERROR(+'11-2025'!$X53*'11-2025'!$AE53,"")</f>
        <v>0</v>
      </c>
      <c r="AG53" s="29">
        <v>0</v>
      </c>
      <c r="AH53" s="29">
        <f>IFERROR(+'11-2025'!$X53*'11-2025'!$AG53,"")</f>
        <v>0</v>
      </c>
      <c r="AI53" s="29">
        <v>0</v>
      </c>
      <c r="AJ53" s="29">
        <f>IFERROR('11-2025'!$Z53+'11-2025'!$AB53+'11-2025'!$AD53+'11-2025'!$AF53+'11-2025'!$AH53+'11-2025'!$AI53,"")</f>
        <v>0</v>
      </c>
      <c r="AK53" s="30">
        <f>IFERROR('11-2025'!$W53-'11-2025'!$AJ53,"")</f>
        <v>4000</v>
      </c>
      <c r="AL53" s="31"/>
      <c r="AM53" s="31"/>
      <c r="AN53" s="31"/>
      <c r="AO53" s="31">
        <v>0</v>
      </c>
      <c r="AP53" s="31"/>
      <c r="AQ53" s="31"/>
      <c r="AR53" s="31">
        <v>0</v>
      </c>
      <c r="AS53" s="31">
        <v>0</v>
      </c>
      <c r="AT53" s="31">
        <v>0</v>
      </c>
      <c r="AU53" s="31">
        <v>0</v>
      </c>
      <c r="AV53" s="31">
        <v>0</v>
      </c>
      <c r="AW53" s="31">
        <v>0</v>
      </c>
      <c r="AX53" s="31">
        <v>0</v>
      </c>
      <c r="AY53" s="31">
        <v>0</v>
      </c>
      <c r="AZ53" s="31">
        <v>0</v>
      </c>
      <c r="BA53" s="31">
        <v>0</v>
      </c>
      <c r="BB53" s="31">
        <v>0</v>
      </c>
      <c r="BC53" s="31">
        <v>0</v>
      </c>
      <c r="BD53" s="31">
        <v>0</v>
      </c>
      <c r="BE53" s="31">
        <v>0</v>
      </c>
      <c r="BF53" s="31">
        <v>0</v>
      </c>
      <c r="BG53" s="31">
        <v>0</v>
      </c>
      <c r="BH53" s="31">
        <v>0</v>
      </c>
      <c r="BI53" s="31">
        <v>0</v>
      </c>
      <c r="BJ53" s="32">
        <f t="shared" si="11"/>
        <v>0</v>
      </c>
      <c r="BK53" s="33">
        <f>BJ53+AM53+AL53+'11-2025'!$N53+AN53+AO53</f>
        <v>4385</v>
      </c>
      <c r="BL53" s="34">
        <f>'11-2025'!$O53</f>
        <v>3500</v>
      </c>
      <c r="BM53" s="34">
        <f t="shared" si="6"/>
        <v>656.25</v>
      </c>
      <c r="BN53" s="34">
        <f t="shared" si="7"/>
        <v>385</v>
      </c>
      <c r="BO53" s="34">
        <f t="shared" si="8"/>
        <v>1666.6666666666667</v>
      </c>
      <c r="BP53" s="35">
        <f t="shared" si="9"/>
        <v>2333.333333333333</v>
      </c>
      <c r="BQ53" s="34">
        <f>IFERROR(BP53/'11-2025'!$J53,0)*12</f>
        <v>27999.999999999996</v>
      </c>
      <c r="BR53" s="34">
        <f>IF(BQ53&lt;=40000,0,
IF(BQ53&lt;=55000,(BQ53-40000)*10%,
IF(BQ53&lt;=70000,(BQ53-55000)*15%+1500,
IF(BQ53&lt;=200000,(BQ53-70000)*20%+1500+2250,
IF(BQ53&lt;=400000,(BQ53-200000)*22.5%+1500+2250+26000,
IF(BQ53&lt;=600000,(BQ53-400000)*25%+1500+2250+26000+45000,
IF(AND(BQ53&gt;600000,BQ53&lt;=1200000),(BQ53-400000)*25%+1500+2250+26000+45000
+IFERROR(LOOKUP(BQ53,{600001;700001;800001;900001},{4000;6750;10250;15250}),0),IF(BQ53&gt;1200000,((BQ53-1200000)*27.5%)+300000,0)
)))))))</f>
        <v>0</v>
      </c>
      <c r="BS53" s="32">
        <f>(BR53/12*'11-2025'!$J53)</f>
        <v>0</v>
      </c>
      <c r="BT53" s="33">
        <f>BS53-'11-2025'!$V53</f>
        <v>0</v>
      </c>
      <c r="BU53" s="32">
        <f>IFERROR(+'11-2025'!$W53+AL53+AM53+BJ53-'11-2025'!$AJ53-BT53+AN53+AO53,"")-AL53+AP53+AQ53</f>
        <v>4000</v>
      </c>
      <c r="BV53" s="36"/>
      <c r="BW53" s="37"/>
      <c r="BX53" s="37">
        <f t="shared" si="10"/>
        <v>4000</v>
      </c>
      <c r="BY53" s="37" t="s">
        <v>75</v>
      </c>
    </row>
    <row r="54" spans="1:78" x14ac:dyDescent="0.25">
      <c r="A54" s="21">
        <v>484</v>
      </c>
      <c r="B54" s="22" t="s">
        <v>156</v>
      </c>
      <c r="C54" s="22" t="s">
        <v>106</v>
      </c>
      <c r="D54" s="22" t="s">
        <v>77</v>
      </c>
      <c r="E54" s="22" t="s">
        <v>96</v>
      </c>
      <c r="F54" s="22" t="s">
        <v>155</v>
      </c>
      <c r="G54" s="23">
        <v>45598</v>
      </c>
      <c r="H54" s="22"/>
      <c r="I54" s="24">
        <v>28807031200187</v>
      </c>
      <c r="J54" s="25">
        <v>1</v>
      </c>
      <c r="K54" s="25">
        <v>3500</v>
      </c>
      <c r="L54" s="25"/>
      <c r="M54" s="26"/>
      <c r="N54" s="25">
        <f>SUM('11-2025'!$K54:$M54)</f>
        <v>3500</v>
      </c>
      <c r="O54" s="25">
        <v>0</v>
      </c>
      <c r="P54" s="25">
        <f t="shared" si="0"/>
        <v>0</v>
      </c>
      <c r="Q54" s="25">
        <f t="shared" si="1"/>
        <v>0</v>
      </c>
      <c r="R54" s="25">
        <v>1666.6666666666667</v>
      </c>
      <c r="S54" s="27">
        <f t="shared" si="2"/>
        <v>1833.3333333333333</v>
      </c>
      <c r="T54" s="25">
        <f t="shared" si="3"/>
        <v>22000</v>
      </c>
      <c r="U54" s="25">
        <f>IF(T54&lt;=40000,0,
IF(T54&lt;=55000,(T54-40000)*10%,
IF(T54&lt;=70000,(T54-55000)*15%+1500,
IF(T54&lt;=200000,(T54-70000)*20%+1500+2250,
IF(T54&lt;=400000,(T54-200000)*22.5%+1500+2250+26000,
IF(T54&lt;=600000,(T54-400000)*25%+1500+2250+26000+45000,
IF(AND(T54&gt;600000,T54&lt;=1200000),(T54-400000)*25%+1500+2250+26000+45000
+IFERROR(LOOKUP(T54,{600001;700001;800001;900001},{4000;6750;10250;15250}),0),IF(T54&gt;1200000,((T54-1200000)*27.5%)+300000,0)
)))))))</f>
        <v>0</v>
      </c>
      <c r="V54" s="25">
        <f t="shared" si="4"/>
        <v>0</v>
      </c>
      <c r="W54" s="28">
        <f>+'11-2025'!$S54-'11-2025'!$V54+'11-2025'!$R54</f>
        <v>3500</v>
      </c>
      <c r="X54" s="28">
        <f t="shared" si="5"/>
        <v>116.66666666666667</v>
      </c>
      <c r="Y54" s="29">
        <v>0</v>
      </c>
      <c r="Z54" s="29">
        <f>IFERROR(+'11-2025'!$X54*'11-2025'!$Y54,"")</f>
        <v>0</v>
      </c>
      <c r="AA54" s="29">
        <v>0</v>
      </c>
      <c r="AB54" s="29">
        <f>IFERROR(+'11-2025'!$X54*'11-2025'!$AA54,"")</f>
        <v>0</v>
      </c>
      <c r="AC54" s="29">
        <v>0</v>
      </c>
      <c r="AD54" s="29">
        <f>IFERROR(+'11-2025'!$X54*'11-2025'!$AC54,"")</f>
        <v>0</v>
      </c>
      <c r="AE54" s="29">
        <v>0</v>
      </c>
      <c r="AF54" s="29">
        <f>IFERROR(+'11-2025'!$X54*'11-2025'!$AE54,"")</f>
        <v>0</v>
      </c>
      <c r="AG54" s="29">
        <v>0</v>
      </c>
      <c r="AH54" s="29">
        <f>IFERROR(+'11-2025'!$X54*'11-2025'!$AG54,"")</f>
        <v>0</v>
      </c>
      <c r="AI54" s="29">
        <v>0</v>
      </c>
      <c r="AJ54" s="29">
        <f>IFERROR('11-2025'!$Z54+'11-2025'!$AB54+'11-2025'!$AD54+'11-2025'!$AF54+'11-2025'!$AH54+'11-2025'!$AI54,"")</f>
        <v>0</v>
      </c>
      <c r="AK54" s="30">
        <f>IFERROR('11-2025'!$W54-'11-2025'!$AJ54,"")</f>
        <v>3500</v>
      </c>
      <c r="AL54" s="31"/>
      <c r="AM54" s="31"/>
      <c r="AN54" s="31"/>
      <c r="AO54" s="31">
        <v>0</v>
      </c>
      <c r="AP54" s="31"/>
      <c r="AQ54" s="31"/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0</v>
      </c>
      <c r="AY54" s="31">
        <v>0</v>
      </c>
      <c r="AZ54" s="31">
        <v>0</v>
      </c>
      <c r="BA54" s="31">
        <v>0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2">
        <f t="shared" si="11"/>
        <v>0</v>
      </c>
      <c r="BK54" s="33">
        <f>BJ54+AM54+AL54+'11-2025'!$N54+AN54+AO54</f>
        <v>3500</v>
      </c>
      <c r="BL54" s="34">
        <f>'11-2025'!$O54</f>
        <v>0</v>
      </c>
      <c r="BM54" s="34">
        <f t="shared" si="6"/>
        <v>0</v>
      </c>
      <c r="BN54" s="34">
        <f t="shared" si="7"/>
        <v>0</v>
      </c>
      <c r="BO54" s="34">
        <f t="shared" si="8"/>
        <v>1666.6666666666667</v>
      </c>
      <c r="BP54" s="35">
        <f t="shared" si="9"/>
        <v>1833.3333333333333</v>
      </c>
      <c r="BQ54" s="34">
        <f>IFERROR(BP54/'11-2025'!$J54,0)*12</f>
        <v>22000</v>
      </c>
      <c r="BR54" s="34">
        <f>IF(BQ54&lt;=40000,0,
IF(BQ54&lt;=55000,(BQ54-40000)*10%,
IF(BQ54&lt;=70000,(BQ54-55000)*15%+1500,
IF(BQ54&lt;=200000,(BQ54-70000)*20%+1500+2250,
IF(BQ54&lt;=400000,(BQ54-200000)*22.5%+1500+2250+26000,
IF(BQ54&lt;=600000,(BQ54-400000)*25%+1500+2250+26000+45000,
IF(AND(BQ54&gt;600000,BQ54&lt;=1200000),(BQ54-400000)*25%+1500+2250+26000+45000
+IFERROR(LOOKUP(BQ54,{600001;700001;800001;900001},{4000;6750;10250;15250}),0),IF(BQ54&gt;1200000,((BQ54-1200000)*27.5%)+300000,0)
)))))))</f>
        <v>0</v>
      </c>
      <c r="BS54" s="32">
        <f>(BR54/12*'11-2025'!$J54)</f>
        <v>0</v>
      </c>
      <c r="BT54" s="33">
        <f>BS54-'11-2025'!$V54</f>
        <v>0</v>
      </c>
      <c r="BU54" s="32">
        <f>IFERROR(+'11-2025'!$W54+AL54+AM54+BJ54-'11-2025'!$AJ54-BT54+AN54+AO54,"")-AL54+AP54+AQ54</f>
        <v>3500</v>
      </c>
      <c r="BV54" s="36"/>
      <c r="BW54" s="37"/>
      <c r="BX54" s="37">
        <f t="shared" si="10"/>
        <v>3500</v>
      </c>
      <c r="BY54" s="37" t="s">
        <v>75</v>
      </c>
    </row>
    <row r="55" spans="1:78" x14ac:dyDescent="0.25">
      <c r="A55" s="21">
        <v>492</v>
      </c>
      <c r="B55" s="22" t="s">
        <v>157</v>
      </c>
      <c r="C55" s="22" t="s">
        <v>71</v>
      </c>
      <c r="D55" s="22" t="s">
        <v>77</v>
      </c>
      <c r="E55" s="22" t="s">
        <v>78</v>
      </c>
      <c r="F55" s="22" t="s">
        <v>158</v>
      </c>
      <c r="G55" s="23">
        <v>45605</v>
      </c>
      <c r="H55" s="22"/>
      <c r="I55" s="24">
        <v>28206152104831</v>
      </c>
      <c r="J55" s="25">
        <v>1</v>
      </c>
      <c r="K55" s="25">
        <v>11590.92</v>
      </c>
      <c r="L55" s="25"/>
      <c r="M55" s="26"/>
      <c r="N55" s="25">
        <f>SUM('11-2025'!$K55:$M55)</f>
        <v>11590.92</v>
      </c>
      <c r="O55" s="25">
        <v>5230</v>
      </c>
      <c r="P55" s="25">
        <f t="shared" si="0"/>
        <v>980.625</v>
      </c>
      <c r="Q55" s="25">
        <f t="shared" si="1"/>
        <v>575.29999999999995</v>
      </c>
      <c r="R55" s="25">
        <v>1666.6666666666667</v>
      </c>
      <c r="S55" s="27">
        <f t="shared" si="2"/>
        <v>9348.9533333333347</v>
      </c>
      <c r="T55" s="25">
        <f t="shared" si="3"/>
        <v>112187.44000000002</v>
      </c>
      <c r="U55" s="25">
        <f>IF(T55&lt;=40000,0,
IF(T55&lt;=55000,(T55-40000)*10%,
IF(T55&lt;=70000,(T55-55000)*15%+1500,
IF(T55&lt;=200000,(T55-70000)*20%+1500+2250,
IF(T55&lt;=400000,(T55-200000)*22.5%+1500+2250+26000,
IF(T55&lt;=600000,(T55-400000)*25%+1500+2250+26000+45000,
IF(AND(T55&gt;600000,T55&lt;=1200000),(T55-400000)*25%+1500+2250+26000+45000
+IFERROR(LOOKUP(T55,{600001;700001;800001;900001},{4000;6750;10250;15250}),0),IF(T55&gt;1200000,((T55-1200000)*27.5%)+300000,0)
)))))))</f>
        <v>12187.488000000003</v>
      </c>
      <c r="V55" s="25">
        <f t="shared" si="4"/>
        <v>1015.6240000000003</v>
      </c>
      <c r="W55" s="28">
        <f>+'11-2025'!$S55-'11-2025'!$V55+'11-2025'!$R55</f>
        <v>9999.996000000001</v>
      </c>
      <c r="X55" s="28">
        <f t="shared" si="5"/>
        <v>333.33320000000003</v>
      </c>
      <c r="Y55" s="29">
        <v>0</v>
      </c>
      <c r="Z55" s="29">
        <f>IFERROR(+'11-2025'!$X55*'11-2025'!$Y55,"")</f>
        <v>0</v>
      </c>
      <c r="AA55" s="29">
        <v>0</v>
      </c>
      <c r="AB55" s="29">
        <f>IFERROR(+'11-2025'!$X55*'11-2025'!$AA55,"")</f>
        <v>0</v>
      </c>
      <c r="AC55" s="29">
        <v>0</v>
      </c>
      <c r="AD55" s="29">
        <f>IFERROR(+'11-2025'!$X55*'11-2025'!$AC55,"")</f>
        <v>0</v>
      </c>
      <c r="AE55" s="29">
        <v>0</v>
      </c>
      <c r="AF55" s="29">
        <f>IFERROR(+'11-2025'!$X55*'11-2025'!$AE55,"")</f>
        <v>0</v>
      </c>
      <c r="AG55" s="29">
        <v>0</v>
      </c>
      <c r="AH55" s="29">
        <f>IFERROR(+'11-2025'!$X55*'11-2025'!$AG55,"")</f>
        <v>0</v>
      </c>
      <c r="AI55" s="29">
        <v>0</v>
      </c>
      <c r="AJ55" s="29">
        <f>IFERROR('11-2025'!$Z55+'11-2025'!$AB55+'11-2025'!$AD55+'11-2025'!$AF55+'11-2025'!$AH55+'11-2025'!$AI55,"")</f>
        <v>0</v>
      </c>
      <c r="AK55" s="30">
        <f>IFERROR('11-2025'!$W55-'11-2025'!$AJ55,"")</f>
        <v>9999.996000000001</v>
      </c>
      <c r="AL55" s="31"/>
      <c r="AM55" s="31">
        <v>500</v>
      </c>
      <c r="AN55" s="31"/>
      <c r="AO55" s="31">
        <v>220</v>
      </c>
      <c r="AP55" s="31"/>
      <c r="AQ55" s="31"/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900</v>
      </c>
      <c r="AY55" s="31">
        <v>240</v>
      </c>
      <c r="AZ55" s="31">
        <v>0</v>
      </c>
      <c r="BA55" s="31">
        <v>320</v>
      </c>
      <c r="BB55" s="31">
        <v>240</v>
      </c>
      <c r="BC55" s="31">
        <v>0</v>
      </c>
      <c r="BD55" s="31">
        <v>0</v>
      </c>
      <c r="BE55" s="31">
        <v>0</v>
      </c>
      <c r="BF55" s="31">
        <v>115</v>
      </c>
      <c r="BG55" s="31">
        <v>0</v>
      </c>
      <c r="BH55" s="31">
        <v>0</v>
      </c>
      <c r="BI55" s="31">
        <v>560</v>
      </c>
      <c r="BJ55" s="32">
        <f t="shared" si="11"/>
        <v>2375</v>
      </c>
      <c r="BK55" s="33">
        <f>BJ55+AM55+AL55+'11-2025'!$N55+AN55+AO55</f>
        <v>14685.92</v>
      </c>
      <c r="BL55" s="34">
        <f>'11-2025'!$O55</f>
        <v>5230</v>
      </c>
      <c r="BM55" s="34">
        <f t="shared" si="6"/>
        <v>980.625</v>
      </c>
      <c r="BN55" s="34">
        <f t="shared" si="7"/>
        <v>575.29999999999995</v>
      </c>
      <c r="BO55" s="34">
        <f t="shared" si="8"/>
        <v>1666.6666666666667</v>
      </c>
      <c r="BP55" s="35">
        <f t="shared" si="9"/>
        <v>12443.953333333335</v>
      </c>
      <c r="BQ55" s="34">
        <f>IFERROR(BP55/'11-2025'!$J55,0)*12</f>
        <v>149327.44</v>
      </c>
      <c r="BR55" s="34">
        <f>IF(BQ55&lt;=40000,0,
IF(BQ55&lt;=55000,(BQ55-40000)*10%,
IF(BQ55&lt;=70000,(BQ55-55000)*15%+1500,
IF(BQ55&lt;=200000,(BQ55-70000)*20%+1500+2250,
IF(BQ55&lt;=400000,(BQ55-200000)*22.5%+1500+2250+26000,
IF(BQ55&lt;=600000,(BQ55-400000)*25%+1500+2250+26000+45000,
IF(AND(BQ55&gt;600000,BQ55&lt;=1200000),(BQ55-400000)*25%+1500+2250+26000+45000
+IFERROR(LOOKUP(BQ55,{600001;700001;800001;900001},{4000;6750;10250;15250}),0),IF(BQ55&gt;1200000,((BQ55-1200000)*27.5%)+300000,0)
)))))))</f>
        <v>19615.488000000001</v>
      </c>
      <c r="BS55" s="32">
        <f>(BR55/12*'11-2025'!$J55)</f>
        <v>1634.624</v>
      </c>
      <c r="BT55" s="33">
        <f>BS55-'11-2025'!$V55</f>
        <v>618.99999999999977</v>
      </c>
      <c r="BU55" s="32">
        <f>IFERROR(+'11-2025'!$W55+AL55+AM55+BJ55-'11-2025'!$AJ55-BT55+AN55+AO55,"")-AL55+AP55+AQ55</f>
        <v>12475.996000000001</v>
      </c>
      <c r="BV55" s="36" t="s">
        <v>411</v>
      </c>
      <c r="BW55" s="37"/>
      <c r="BX55" s="37">
        <f t="shared" si="10"/>
        <v>12475.996000000001</v>
      </c>
      <c r="BY55" s="37" t="s">
        <v>75</v>
      </c>
    </row>
    <row r="56" spans="1:78" x14ac:dyDescent="0.25">
      <c r="A56" s="21">
        <v>493</v>
      </c>
      <c r="B56" s="22" t="s">
        <v>159</v>
      </c>
      <c r="C56" s="22" t="s">
        <v>71</v>
      </c>
      <c r="D56" s="22" t="s">
        <v>77</v>
      </c>
      <c r="E56" s="22" t="s">
        <v>78</v>
      </c>
      <c r="F56" s="22" t="s">
        <v>160</v>
      </c>
      <c r="G56" s="23">
        <v>45605</v>
      </c>
      <c r="H56" s="23">
        <v>45885</v>
      </c>
      <c r="I56" s="24">
        <v>29809301408733</v>
      </c>
      <c r="J56" s="25">
        <v>1</v>
      </c>
      <c r="K56" s="25">
        <v>4000</v>
      </c>
      <c r="L56" s="25"/>
      <c r="M56" s="26"/>
      <c r="N56" s="25">
        <f>SUM('11-2025'!$K56:$M56)</f>
        <v>4000</v>
      </c>
      <c r="O56" s="25">
        <v>4000</v>
      </c>
      <c r="P56" s="25">
        <f t="shared" si="0"/>
        <v>750</v>
      </c>
      <c r="Q56" s="25">
        <f t="shared" si="1"/>
        <v>440</v>
      </c>
      <c r="R56" s="25">
        <v>1666.6666666666667</v>
      </c>
      <c r="S56" s="27">
        <f t="shared" si="2"/>
        <v>1893.3333333333333</v>
      </c>
      <c r="T56" s="25">
        <f t="shared" si="3"/>
        <v>22720</v>
      </c>
      <c r="U56" s="25">
        <f>IF(T56&lt;=40000,0,
IF(T56&lt;=55000,(T56-40000)*10%,
IF(T56&lt;=70000,(T56-55000)*15%+1500,
IF(T56&lt;=200000,(T56-70000)*20%+1500+2250,
IF(T56&lt;=400000,(T56-200000)*22.5%+1500+2250+26000,
IF(T56&lt;=600000,(T56-400000)*25%+1500+2250+26000+45000,
IF(AND(T56&gt;600000,T56&lt;=1200000),(T56-400000)*25%+1500+2250+26000+45000
+IFERROR(LOOKUP(T56,{600001;700001;800001;900001},{4000;6750;10250;15250}),0),IF(T56&gt;1200000,((T56-1200000)*27.5%)+300000,0)
)))))))</f>
        <v>0</v>
      </c>
      <c r="V56" s="25">
        <f t="shared" si="4"/>
        <v>0</v>
      </c>
      <c r="W56" s="28">
        <f>+'11-2025'!$S56-'11-2025'!$V56+'11-2025'!$R56</f>
        <v>3560</v>
      </c>
      <c r="X56" s="28">
        <f t="shared" si="5"/>
        <v>118.66666666666667</v>
      </c>
      <c r="Y56" s="29">
        <v>0</v>
      </c>
      <c r="Z56" s="29">
        <f>IFERROR(+'11-2025'!$X56*'11-2025'!$Y56,"")</f>
        <v>0</v>
      </c>
      <c r="AA56" s="29">
        <v>2</v>
      </c>
      <c r="AB56" s="29">
        <f>IFERROR(+'11-2025'!$X56*'11-2025'!$AA56,"")</f>
        <v>237.33333333333334</v>
      </c>
      <c r="AC56" s="29">
        <v>0.25</v>
      </c>
      <c r="AD56" s="29">
        <f>IFERROR(+'11-2025'!$X56*'11-2025'!$AC56,"")</f>
        <v>29.666666666666668</v>
      </c>
      <c r="AE56" s="29">
        <v>1.5</v>
      </c>
      <c r="AF56" s="29">
        <f>IFERROR(+'11-2025'!$X56*'11-2025'!$AE56,"")</f>
        <v>178</v>
      </c>
      <c r="AG56" s="29">
        <v>1</v>
      </c>
      <c r="AH56" s="29">
        <f>IFERROR(+'11-2025'!$X56*'11-2025'!$AG56,"")</f>
        <v>118.66666666666667</v>
      </c>
      <c r="AI56" s="29">
        <v>0</v>
      </c>
      <c r="AJ56" s="29">
        <f>IFERROR('11-2025'!$Z56+'11-2025'!$AB56+'11-2025'!$AD56+'11-2025'!$AF56+'11-2025'!$AH56+'11-2025'!$AI56,"")</f>
        <v>563.66666666666663</v>
      </c>
      <c r="AK56" s="30">
        <f>IFERROR('11-2025'!$W56-'11-2025'!$AJ56,"")</f>
        <v>2996.3333333333335</v>
      </c>
      <c r="AL56" s="31"/>
      <c r="AM56" s="31"/>
      <c r="AN56" s="31"/>
      <c r="AO56" s="31">
        <v>0</v>
      </c>
      <c r="AP56" s="31"/>
      <c r="AQ56" s="31">
        <v>-237.333333333334</v>
      </c>
      <c r="AR56" s="31">
        <v>0</v>
      </c>
      <c r="AS56" s="31">
        <v>0</v>
      </c>
      <c r="AT56" s="31">
        <v>0</v>
      </c>
      <c r="AU56" s="31">
        <v>0</v>
      </c>
      <c r="AV56" s="31">
        <v>0</v>
      </c>
      <c r="AW56" s="31">
        <v>0</v>
      </c>
      <c r="AX56" s="31">
        <v>0</v>
      </c>
      <c r="AY56" s="31">
        <v>50</v>
      </c>
      <c r="AZ56" s="31">
        <v>0</v>
      </c>
      <c r="BA56" s="31">
        <v>15</v>
      </c>
      <c r="BB56" s="31">
        <v>35</v>
      </c>
      <c r="BC56" s="31">
        <v>0</v>
      </c>
      <c r="BD56" s="31">
        <v>0</v>
      </c>
      <c r="BE56" s="31">
        <v>0</v>
      </c>
      <c r="BF56" s="31">
        <v>40</v>
      </c>
      <c r="BG56" s="31">
        <v>0</v>
      </c>
      <c r="BH56" s="31">
        <v>0</v>
      </c>
      <c r="BI56" s="31">
        <v>220</v>
      </c>
      <c r="BJ56" s="32">
        <f t="shared" si="11"/>
        <v>360</v>
      </c>
      <c r="BK56" s="33">
        <f>BJ56+AM56+AL56+'11-2025'!$N56+AN56+AO56</f>
        <v>4360</v>
      </c>
      <c r="BL56" s="34">
        <f>'11-2025'!$O56</f>
        <v>4000</v>
      </c>
      <c r="BM56" s="34">
        <f t="shared" si="6"/>
        <v>750</v>
      </c>
      <c r="BN56" s="34">
        <f t="shared" si="7"/>
        <v>440</v>
      </c>
      <c r="BO56" s="34">
        <f t="shared" si="8"/>
        <v>1666.6666666666667</v>
      </c>
      <c r="BP56" s="35">
        <f t="shared" si="9"/>
        <v>2253.333333333333</v>
      </c>
      <c r="BQ56" s="34">
        <f>IFERROR(BP56/'11-2025'!$J56,0)*12</f>
        <v>27039.999999999996</v>
      </c>
      <c r="BR56" s="34">
        <f>IF(BQ56&lt;=40000,0,
IF(BQ56&lt;=55000,(BQ56-40000)*10%,
IF(BQ56&lt;=70000,(BQ56-55000)*15%+1500,
IF(BQ56&lt;=200000,(BQ56-70000)*20%+1500+2250,
IF(BQ56&lt;=400000,(BQ56-200000)*22.5%+1500+2250+26000,
IF(BQ56&lt;=600000,(BQ56-400000)*25%+1500+2250+26000+45000,
IF(AND(BQ56&gt;600000,BQ56&lt;=1200000),(BQ56-400000)*25%+1500+2250+26000+45000
+IFERROR(LOOKUP(BQ56,{600001;700001;800001;900001},{4000;6750;10250;15250}),0),IF(BQ56&gt;1200000,((BQ56-1200000)*27.5%)+300000,0)
)))))))</f>
        <v>0</v>
      </c>
      <c r="BS56" s="32">
        <f>(BR56/12*'11-2025'!$J56)</f>
        <v>0</v>
      </c>
      <c r="BT56" s="33">
        <f>BS56-'11-2025'!$V56</f>
        <v>0</v>
      </c>
      <c r="BU56" s="32">
        <f>IFERROR(+'11-2025'!$W56+AL56+AM56+BJ56-'11-2025'!$AJ56-BT56+AN56+AO56,"")-AL56+AP56+AQ56</f>
        <v>3118.9999999999995</v>
      </c>
      <c r="BV56" s="36" t="s">
        <v>408</v>
      </c>
      <c r="BW56" s="37"/>
      <c r="BX56" s="37">
        <f t="shared" si="10"/>
        <v>3118.9999999999995</v>
      </c>
      <c r="BY56" s="37" t="s">
        <v>75</v>
      </c>
    </row>
    <row r="57" spans="1:78" x14ac:dyDescent="0.25">
      <c r="A57" s="21">
        <v>500</v>
      </c>
      <c r="B57" s="22" t="s">
        <v>161</v>
      </c>
      <c r="C57" s="22" t="s">
        <v>106</v>
      </c>
      <c r="D57" s="22" t="s">
        <v>72</v>
      </c>
      <c r="E57" s="22" t="s">
        <v>110</v>
      </c>
      <c r="F57" s="22" t="s">
        <v>86</v>
      </c>
      <c r="G57" s="23">
        <v>45782</v>
      </c>
      <c r="H57" s="22"/>
      <c r="I57" s="24">
        <v>29202021200043</v>
      </c>
      <c r="J57" s="25">
        <v>1</v>
      </c>
      <c r="K57" s="25">
        <v>2500</v>
      </c>
      <c r="L57" s="25"/>
      <c r="M57" s="26"/>
      <c r="N57" s="25">
        <f>SUM('11-2025'!$K57:$M57)</f>
        <v>2500</v>
      </c>
      <c r="O57" s="25"/>
      <c r="P57" s="25">
        <f t="shared" si="0"/>
        <v>0</v>
      </c>
      <c r="Q57" s="25">
        <f t="shared" si="1"/>
        <v>0</v>
      </c>
      <c r="R57" s="25">
        <v>1666.6666666666667</v>
      </c>
      <c r="S57" s="27">
        <f t="shared" si="2"/>
        <v>833.33333333333326</v>
      </c>
      <c r="T57" s="25">
        <f t="shared" si="3"/>
        <v>10000</v>
      </c>
      <c r="U57" s="25">
        <f>IF(T57&lt;=40000,0,
IF(T57&lt;=55000,(T57-40000)*10%,
IF(T57&lt;=70000,(T57-55000)*15%+1500,
IF(T57&lt;=200000,(T57-70000)*20%+1500+2250,
IF(T57&lt;=400000,(T57-200000)*22.5%+1500+2250+26000,
IF(T57&lt;=600000,(T57-400000)*25%+1500+2250+26000+45000,
IF(AND(T57&gt;600000,T57&lt;=1200000),(T57-400000)*25%+1500+2250+26000+45000
+IFERROR(LOOKUP(T57,{600001;700001;800001;900001},{4000;6750;10250;15250}),0),IF(T57&gt;1200000,((T57-1200000)*27.5%)+300000,0)
)))))))</f>
        <v>0</v>
      </c>
      <c r="V57" s="25">
        <f t="shared" si="4"/>
        <v>0</v>
      </c>
      <c r="W57" s="28">
        <f>+'11-2025'!$S57-'11-2025'!$V57+'11-2025'!$R57</f>
        <v>2500</v>
      </c>
      <c r="X57" s="28">
        <f t="shared" si="5"/>
        <v>83.333333333333329</v>
      </c>
      <c r="Y57" s="29">
        <v>0</v>
      </c>
      <c r="Z57" s="29">
        <f>IFERROR(+'11-2025'!$X57*'11-2025'!$Y57,"")</f>
        <v>0</v>
      </c>
      <c r="AA57" s="29">
        <v>0</v>
      </c>
      <c r="AB57" s="29">
        <f>IFERROR(+'11-2025'!$X57*'11-2025'!$AA57,"")</f>
        <v>0</v>
      </c>
      <c r="AC57" s="29">
        <v>0</v>
      </c>
      <c r="AD57" s="29">
        <f>IFERROR(+'11-2025'!$X57*'11-2025'!$AC57,"")</f>
        <v>0</v>
      </c>
      <c r="AE57" s="29">
        <v>0</v>
      </c>
      <c r="AF57" s="29">
        <f>IFERROR(+'11-2025'!$X57*'11-2025'!$AE57,"")</f>
        <v>0</v>
      </c>
      <c r="AG57" s="29">
        <v>0</v>
      </c>
      <c r="AH57" s="29">
        <f>IFERROR(+'11-2025'!$X57*'11-2025'!$AG57,"")</f>
        <v>0</v>
      </c>
      <c r="AI57" s="29">
        <v>0</v>
      </c>
      <c r="AJ57" s="29">
        <f>IFERROR('11-2025'!$Z57+'11-2025'!$AB57+'11-2025'!$AD57+'11-2025'!$AF57+'11-2025'!$AH57+'11-2025'!$AI57,"")</f>
        <v>0</v>
      </c>
      <c r="AK57" s="30">
        <f>IFERROR('11-2025'!$W57-'11-2025'!$AJ57,"")</f>
        <v>2500</v>
      </c>
      <c r="AL57" s="31"/>
      <c r="AM57" s="31"/>
      <c r="AN57" s="31"/>
      <c r="AO57" s="31">
        <v>40</v>
      </c>
      <c r="AP57" s="31"/>
      <c r="AQ57" s="31"/>
      <c r="AR57" s="31">
        <v>0</v>
      </c>
      <c r="AS57" s="31">
        <v>0</v>
      </c>
      <c r="AT57" s="31">
        <v>0</v>
      </c>
      <c r="AU57" s="31">
        <v>0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31">
        <v>0</v>
      </c>
      <c r="BE57" s="31">
        <v>2738.71</v>
      </c>
      <c r="BF57" s="31">
        <v>0</v>
      </c>
      <c r="BG57" s="31">
        <v>0</v>
      </c>
      <c r="BH57" s="31">
        <v>0</v>
      </c>
      <c r="BI57" s="31">
        <v>0</v>
      </c>
      <c r="BJ57" s="32">
        <f t="shared" si="11"/>
        <v>2738.71</v>
      </c>
      <c r="BK57" s="33">
        <f>BJ57+AM57+AL57+'11-2025'!$N57+AN57+AO57</f>
        <v>5278.71</v>
      </c>
      <c r="BL57" s="34">
        <f>'11-2025'!$O57</f>
        <v>0</v>
      </c>
      <c r="BM57" s="34">
        <f t="shared" si="6"/>
        <v>0</v>
      </c>
      <c r="BN57" s="34">
        <f t="shared" si="7"/>
        <v>0</v>
      </c>
      <c r="BO57" s="34">
        <f t="shared" si="8"/>
        <v>1666.6666666666667</v>
      </c>
      <c r="BP57" s="35">
        <f t="shared" si="9"/>
        <v>3612.0433333333331</v>
      </c>
      <c r="BQ57" s="34">
        <f>IFERROR(BP57/'11-2025'!$J57,0)*12</f>
        <v>43344.52</v>
      </c>
      <c r="BR57" s="34">
        <f>IF(BQ57&lt;=40000,0,
IF(BQ57&lt;=55000,(BQ57-40000)*10%,
IF(BQ57&lt;=70000,(BQ57-55000)*15%+1500,
IF(BQ57&lt;=200000,(BQ57-70000)*20%+1500+2250,
IF(BQ57&lt;=400000,(BQ57-200000)*22.5%+1500+2250+26000,
IF(BQ57&lt;=600000,(BQ57-400000)*25%+1500+2250+26000+45000,
IF(AND(BQ57&gt;600000,BQ57&lt;=1200000),(BQ57-400000)*25%+1500+2250+26000+45000
+IFERROR(LOOKUP(BQ57,{600001;700001;800001;900001},{4000;6750;10250;15250}),0),IF(BQ57&gt;1200000,((BQ57-1200000)*27.5%)+300000,0)
)))))))</f>
        <v>334.45199999999971</v>
      </c>
      <c r="BS57" s="32">
        <f>(BR57/12*'11-2025'!$J57)</f>
        <v>27.870999999999977</v>
      </c>
      <c r="BT57" s="33">
        <f>BS57-'11-2025'!$V57</f>
        <v>27.870999999999977</v>
      </c>
      <c r="BU57" s="32">
        <f>IFERROR(+'11-2025'!$W57+AL57+AM57+BJ57-'11-2025'!$AJ57-BT57+AN57+AO57,"")-AL57+AP57+AQ57</f>
        <v>5250.8389999999999</v>
      </c>
      <c r="BV57" s="36"/>
      <c r="BW57" s="37"/>
      <c r="BX57" s="37">
        <f t="shared" si="10"/>
        <v>5250.8389999999999</v>
      </c>
      <c r="BY57" s="37"/>
    </row>
    <row r="58" spans="1:78" x14ac:dyDescent="0.25">
      <c r="A58" s="21">
        <v>503</v>
      </c>
      <c r="B58" s="22" t="s">
        <v>162</v>
      </c>
      <c r="C58" s="22" t="s">
        <v>106</v>
      </c>
      <c r="D58" s="22" t="s">
        <v>77</v>
      </c>
      <c r="E58" s="22" t="s">
        <v>78</v>
      </c>
      <c r="F58" s="22" t="s">
        <v>160</v>
      </c>
      <c r="G58" s="23">
        <v>45617</v>
      </c>
      <c r="H58" s="22"/>
      <c r="I58" s="24">
        <v>29007171200117</v>
      </c>
      <c r="J58" s="25">
        <v>1</v>
      </c>
      <c r="K58" s="25">
        <v>4000</v>
      </c>
      <c r="L58" s="25"/>
      <c r="M58" s="26"/>
      <c r="N58" s="25">
        <f>SUM('11-2025'!$K58:$M58)</f>
        <v>4000</v>
      </c>
      <c r="O58" s="25"/>
      <c r="P58" s="25">
        <f t="shared" si="0"/>
        <v>0</v>
      </c>
      <c r="Q58" s="25">
        <f t="shared" si="1"/>
        <v>0</v>
      </c>
      <c r="R58" s="25">
        <v>1666.6666666666667</v>
      </c>
      <c r="S58" s="27">
        <f t="shared" si="2"/>
        <v>2333.333333333333</v>
      </c>
      <c r="T58" s="25">
        <f t="shared" si="3"/>
        <v>27999.999999999996</v>
      </c>
      <c r="U58" s="25">
        <f>IF(T58&lt;=40000,0,
IF(T58&lt;=55000,(T58-40000)*10%,
IF(T58&lt;=70000,(T58-55000)*15%+1500,
IF(T58&lt;=200000,(T58-70000)*20%+1500+2250,
IF(T58&lt;=400000,(T58-200000)*22.5%+1500+2250+26000,
IF(T58&lt;=600000,(T58-400000)*25%+1500+2250+26000+45000,
IF(AND(T58&gt;600000,T58&lt;=1200000),(T58-400000)*25%+1500+2250+26000+45000
+IFERROR(LOOKUP(T58,{600001;700001;800001;900001},{4000;6750;10250;15250}),0),IF(T58&gt;1200000,((T58-1200000)*27.5%)+300000,0)
)))))))</f>
        <v>0</v>
      </c>
      <c r="V58" s="25">
        <f t="shared" si="4"/>
        <v>0</v>
      </c>
      <c r="W58" s="28">
        <f>+'11-2025'!$S58-'11-2025'!$V58+'11-2025'!$R58</f>
        <v>4000</v>
      </c>
      <c r="X58" s="28">
        <f t="shared" si="5"/>
        <v>133.33333333333334</v>
      </c>
      <c r="Y58" s="29">
        <v>0</v>
      </c>
      <c r="Z58" s="29">
        <f>IFERROR(+'11-2025'!$X58*'11-2025'!$Y58,"")</f>
        <v>0</v>
      </c>
      <c r="AA58" s="29">
        <v>0</v>
      </c>
      <c r="AB58" s="29">
        <f>IFERROR(+'11-2025'!$X58*'11-2025'!$AA58,"")</f>
        <v>0</v>
      </c>
      <c r="AC58" s="29">
        <v>0</v>
      </c>
      <c r="AD58" s="29">
        <f>IFERROR(+'11-2025'!$X58*'11-2025'!$AC58,"")</f>
        <v>0</v>
      </c>
      <c r="AE58" s="29">
        <v>0</v>
      </c>
      <c r="AF58" s="29">
        <f>IFERROR(+'11-2025'!$X58*'11-2025'!$AE58,"")</f>
        <v>0</v>
      </c>
      <c r="AG58" s="29">
        <v>0</v>
      </c>
      <c r="AH58" s="29">
        <f>IFERROR(+'11-2025'!$X58*'11-2025'!$AG58,"")</f>
        <v>0</v>
      </c>
      <c r="AI58" s="29">
        <v>0</v>
      </c>
      <c r="AJ58" s="29">
        <f>IFERROR('11-2025'!$Z58+'11-2025'!$AB58+'11-2025'!$AD58+'11-2025'!$AF58+'11-2025'!$AH58+'11-2025'!$AI58,"")</f>
        <v>0</v>
      </c>
      <c r="AK58" s="30">
        <f>IFERROR('11-2025'!$W58-'11-2025'!$AJ58,"")</f>
        <v>4000</v>
      </c>
      <c r="AL58" s="31"/>
      <c r="AM58" s="31"/>
      <c r="AN58" s="31"/>
      <c r="AO58" s="31">
        <v>0</v>
      </c>
      <c r="AP58" s="31"/>
      <c r="AQ58" s="31"/>
      <c r="AR58" s="31">
        <v>0</v>
      </c>
      <c r="AS58" s="31">
        <v>0</v>
      </c>
      <c r="AT58" s="31">
        <v>0</v>
      </c>
      <c r="AU58" s="31">
        <v>0</v>
      </c>
      <c r="AV58" s="31">
        <v>0</v>
      </c>
      <c r="AW58" s="31">
        <v>0</v>
      </c>
      <c r="AX58" s="31">
        <v>0</v>
      </c>
      <c r="AY58" s="31">
        <v>0</v>
      </c>
      <c r="AZ58" s="31">
        <v>0</v>
      </c>
      <c r="BA58" s="31">
        <v>215</v>
      </c>
      <c r="BB58" s="31">
        <v>0</v>
      </c>
      <c r="BC58" s="31">
        <v>0</v>
      </c>
      <c r="BD58" s="31">
        <v>0</v>
      </c>
      <c r="BE58" s="31">
        <v>0</v>
      </c>
      <c r="BF58" s="31">
        <v>50</v>
      </c>
      <c r="BG58" s="31">
        <v>0</v>
      </c>
      <c r="BH58" s="31">
        <v>0</v>
      </c>
      <c r="BI58" s="31">
        <v>0</v>
      </c>
      <c r="BJ58" s="32">
        <f t="shared" si="11"/>
        <v>265</v>
      </c>
      <c r="BK58" s="33">
        <f>BJ58+AM58+AL58+'11-2025'!$N58+AN58+AO58</f>
        <v>4265</v>
      </c>
      <c r="BL58" s="34">
        <f>'11-2025'!$O58</f>
        <v>0</v>
      </c>
      <c r="BM58" s="34">
        <f t="shared" si="6"/>
        <v>0</v>
      </c>
      <c r="BN58" s="34">
        <f t="shared" si="7"/>
        <v>0</v>
      </c>
      <c r="BO58" s="34">
        <f t="shared" si="8"/>
        <v>1666.6666666666667</v>
      </c>
      <c r="BP58" s="35">
        <f t="shared" si="9"/>
        <v>2598.333333333333</v>
      </c>
      <c r="BQ58" s="34">
        <f>IFERROR(BP58/'11-2025'!$J58,0)*12</f>
        <v>31179.999999999996</v>
      </c>
      <c r="BR58" s="34">
        <f>IF(BQ58&lt;=40000,0,
IF(BQ58&lt;=55000,(BQ58-40000)*10%,
IF(BQ58&lt;=70000,(BQ58-55000)*15%+1500,
IF(BQ58&lt;=200000,(BQ58-70000)*20%+1500+2250,
IF(BQ58&lt;=400000,(BQ58-200000)*22.5%+1500+2250+26000,
IF(BQ58&lt;=600000,(BQ58-400000)*25%+1500+2250+26000+45000,
IF(AND(BQ58&gt;600000,BQ58&lt;=1200000),(BQ58-400000)*25%+1500+2250+26000+45000
+IFERROR(LOOKUP(BQ58,{600001;700001;800001;900001},{4000;6750;10250;15250}),0),IF(BQ58&gt;1200000,((BQ58-1200000)*27.5%)+300000,0)
)))))))</f>
        <v>0</v>
      </c>
      <c r="BS58" s="32">
        <f>(BR58/12*'11-2025'!$J58)</f>
        <v>0</v>
      </c>
      <c r="BT58" s="33">
        <f>BS58-'11-2025'!$V58</f>
        <v>0</v>
      </c>
      <c r="BU58" s="32">
        <f>IFERROR(+'11-2025'!$W58+AL58+AM58+BJ58-'11-2025'!$AJ58-BT58+AN58+AO58,"")-AL58+AP58+AQ58</f>
        <v>4265</v>
      </c>
      <c r="BV58" s="36"/>
      <c r="BW58" s="37"/>
      <c r="BX58" s="37">
        <f t="shared" si="10"/>
        <v>4265</v>
      </c>
      <c r="BY58" s="37"/>
    </row>
    <row r="59" spans="1:78" s="75" customFormat="1" x14ac:dyDescent="0.25">
      <c r="A59" s="38">
        <v>504</v>
      </c>
      <c r="B59" s="40" t="s">
        <v>163</v>
      </c>
      <c r="C59" s="40" t="s">
        <v>81</v>
      </c>
      <c r="D59" s="40" t="s">
        <v>72</v>
      </c>
      <c r="E59" s="40" t="s">
        <v>124</v>
      </c>
      <c r="F59" s="40" t="s">
        <v>139</v>
      </c>
      <c r="G59" s="61">
        <v>45619</v>
      </c>
      <c r="H59" s="61">
        <v>45931</v>
      </c>
      <c r="I59" s="62">
        <v>30609142100214</v>
      </c>
      <c r="J59" s="63">
        <v>1</v>
      </c>
      <c r="K59" s="63">
        <v>2700</v>
      </c>
      <c r="L59" s="63"/>
      <c r="M59" s="64"/>
      <c r="N59" s="63">
        <f>SUM('11-2025'!$K59:$M59)</f>
        <v>2700</v>
      </c>
      <c r="O59" s="63">
        <v>2700</v>
      </c>
      <c r="P59" s="63">
        <f t="shared" si="0"/>
        <v>506.25</v>
      </c>
      <c r="Q59" s="63">
        <f t="shared" si="1"/>
        <v>297</v>
      </c>
      <c r="R59" s="63">
        <v>1666.6666666666667</v>
      </c>
      <c r="S59" s="65">
        <f t="shared" si="2"/>
        <v>736.33333333333326</v>
      </c>
      <c r="T59" s="63">
        <f t="shared" si="3"/>
        <v>8836</v>
      </c>
      <c r="U59" s="63">
        <f>IF(T59&lt;=40000,0,
IF(T59&lt;=55000,(T59-40000)*10%,
IF(T59&lt;=70000,(T59-55000)*15%+1500,
IF(T59&lt;=200000,(T59-70000)*20%+1500+2250,
IF(T59&lt;=400000,(T59-200000)*22.5%+1500+2250+26000,
IF(T59&lt;=600000,(T59-400000)*25%+1500+2250+26000+45000,
IF(AND(T59&gt;600000,T59&lt;=1200000),(T59-400000)*25%+1500+2250+26000+45000
+IFERROR(LOOKUP(T59,{600001;700001;800001;900001},{4000;6750;10250;15250}),0),IF(T59&gt;1200000,((T59-1200000)*27.5%)+300000,0)
)))))))</f>
        <v>0</v>
      </c>
      <c r="V59" s="63">
        <f t="shared" si="4"/>
        <v>0</v>
      </c>
      <c r="W59" s="66">
        <f>+'11-2025'!$S59-'11-2025'!$V59+'11-2025'!$R59</f>
        <v>2403</v>
      </c>
      <c r="X59" s="66">
        <f t="shared" si="5"/>
        <v>80.099999999999994</v>
      </c>
      <c r="Y59" s="67"/>
      <c r="Z59" s="67">
        <f>IFERROR(+'11-2025'!$X59*'11-2025'!$Y59,"")</f>
        <v>0</v>
      </c>
      <c r="AA59" s="67"/>
      <c r="AB59" s="67">
        <f>IFERROR(+'11-2025'!$X59*'11-2025'!$AA59,"")</f>
        <v>0</v>
      </c>
      <c r="AC59" s="67">
        <v>30</v>
      </c>
      <c r="AD59" s="67">
        <f>IFERROR(+'11-2025'!$X59*'11-2025'!$AC59,"")</f>
        <v>2403</v>
      </c>
      <c r="AE59" s="67"/>
      <c r="AF59" s="67">
        <f>IFERROR(+'11-2025'!$X59*'11-2025'!$AE59,"")</f>
        <v>0</v>
      </c>
      <c r="AG59" s="67"/>
      <c r="AH59" s="67">
        <f>IFERROR(+'11-2025'!$X59*'11-2025'!$AG59,"")</f>
        <v>0</v>
      </c>
      <c r="AI59" s="29">
        <v>0</v>
      </c>
      <c r="AJ59" s="67">
        <f>IFERROR('11-2025'!$Z59+'11-2025'!$AB59+'11-2025'!$AD59+'11-2025'!$AF59+'11-2025'!$AH59+'11-2025'!$AI59,"")</f>
        <v>2403</v>
      </c>
      <c r="AK59" s="68">
        <f>IFERROR('11-2025'!$W59-'11-2025'!$AJ59,"")</f>
        <v>0</v>
      </c>
      <c r="AL59" s="69"/>
      <c r="AM59" s="69"/>
      <c r="AN59" s="69"/>
      <c r="AO59" s="69"/>
      <c r="AP59" s="69"/>
      <c r="AQ59" s="69"/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9">
        <f t="shared" si="11"/>
        <v>0</v>
      </c>
      <c r="BK59" s="70">
        <f>BJ59+AM59+AL59+'11-2025'!$N59+AN59+AO59</f>
        <v>2700</v>
      </c>
      <c r="BL59" s="71">
        <f>'11-2025'!$O59</f>
        <v>2700</v>
      </c>
      <c r="BM59" s="71">
        <f t="shared" si="6"/>
        <v>506.25</v>
      </c>
      <c r="BN59" s="71">
        <f t="shared" si="7"/>
        <v>297</v>
      </c>
      <c r="BO59" s="71">
        <f t="shared" si="8"/>
        <v>1666.6666666666667</v>
      </c>
      <c r="BP59" s="72">
        <f t="shared" si="9"/>
        <v>736.33333333333326</v>
      </c>
      <c r="BQ59" s="71">
        <f>IFERROR(BP59/'11-2025'!$J59,0)*12</f>
        <v>8836</v>
      </c>
      <c r="BR59" s="71">
        <f>IF(BQ59&lt;=40000,0,
IF(BQ59&lt;=55000,(BQ59-40000)*10%,
IF(BQ59&lt;=70000,(BQ59-55000)*15%+1500,
IF(BQ59&lt;=200000,(BQ59-70000)*20%+1500+2250,
IF(BQ59&lt;=400000,(BQ59-200000)*22.5%+1500+2250+26000,
IF(BQ59&lt;=600000,(BQ59-400000)*25%+1500+2250+26000+45000,
IF(AND(BQ59&gt;600000,BQ59&lt;=1200000),(BQ59-400000)*25%+1500+2250+26000+45000
+IFERROR(LOOKUP(BQ59,{600001;700001;800001;900001},{4000;6750;10250;15250}),0),IF(BQ59&gt;1200000,((BQ59-1200000)*27.5%)+300000,0)
)))))))</f>
        <v>0</v>
      </c>
      <c r="BS59" s="39">
        <f>(BR59/12*'11-2025'!$J59)</f>
        <v>0</v>
      </c>
      <c r="BT59" s="70">
        <f>BS59-'11-2025'!$V59</f>
        <v>0</v>
      </c>
      <c r="BU59" s="39">
        <f>IFERROR(+'11-2025'!$W59+AL59+AM59+BJ59-'11-2025'!$AJ59-BT59+AN59+AO59,"")-AL59+AP59+AQ59</f>
        <v>0</v>
      </c>
      <c r="BV59" s="73"/>
      <c r="BW59" s="74"/>
      <c r="BX59" s="74">
        <f t="shared" si="10"/>
        <v>0</v>
      </c>
      <c r="BY59" s="74"/>
      <c r="BZ59" s="76"/>
    </row>
    <row r="60" spans="1:78" x14ac:dyDescent="0.25">
      <c r="A60" s="38">
        <v>509</v>
      </c>
      <c r="B60" s="22" t="s">
        <v>164</v>
      </c>
      <c r="C60" s="22" t="s">
        <v>106</v>
      </c>
      <c r="D60" s="22" t="s">
        <v>72</v>
      </c>
      <c r="E60" s="22" t="s">
        <v>82</v>
      </c>
      <c r="F60" s="22" t="s">
        <v>86</v>
      </c>
      <c r="G60" s="23">
        <v>45623</v>
      </c>
      <c r="H60" s="23">
        <v>45962</v>
      </c>
      <c r="I60" s="24">
        <v>29804181200538</v>
      </c>
      <c r="J60" s="25">
        <v>1</v>
      </c>
      <c r="K60" s="25">
        <v>3300</v>
      </c>
      <c r="L60" s="25"/>
      <c r="M60" s="26"/>
      <c r="N60" s="25">
        <f>SUM('11-2025'!$K60:$M60)</f>
        <v>3300</v>
      </c>
      <c r="O60" s="25">
        <v>3300</v>
      </c>
      <c r="P60" s="25">
        <f t="shared" si="0"/>
        <v>618.75</v>
      </c>
      <c r="Q60" s="25">
        <f t="shared" si="1"/>
        <v>363</v>
      </c>
      <c r="R60" s="25">
        <v>1666.6666666666667</v>
      </c>
      <c r="S60" s="27">
        <f t="shared" si="2"/>
        <v>1270.3333333333333</v>
      </c>
      <c r="T60" s="25">
        <f t="shared" si="3"/>
        <v>15244</v>
      </c>
      <c r="U60" s="25">
        <f>IF(T60&lt;=40000,0,
IF(T60&lt;=55000,(T60-40000)*10%,
IF(T60&lt;=70000,(T60-55000)*15%+1500,
IF(T60&lt;=200000,(T60-70000)*20%+1500+2250,
IF(T60&lt;=400000,(T60-200000)*22.5%+1500+2250+26000,
IF(T60&lt;=600000,(T60-400000)*25%+1500+2250+26000+45000,
IF(AND(T60&gt;600000,T60&lt;=1200000),(T60-400000)*25%+1500+2250+26000+45000
+IFERROR(LOOKUP(T60,{600001;700001;800001;900001},{4000;6750;10250;15250}),0),IF(T60&gt;1200000,((T60-1200000)*27.5%)+300000,0)
)))))))</f>
        <v>0</v>
      </c>
      <c r="V60" s="25">
        <f t="shared" si="4"/>
        <v>0</v>
      </c>
      <c r="W60" s="28">
        <f>+'11-2025'!$S60-'11-2025'!$V60+'11-2025'!$R60</f>
        <v>2937</v>
      </c>
      <c r="X60" s="28">
        <f t="shared" si="5"/>
        <v>97.9</v>
      </c>
      <c r="Y60" s="29"/>
      <c r="Z60" s="29">
        <f>IFERROR(+'11-2025'!$X60*'11-2025'!$Y60,"")</f>
        <v>0</v>
      </c>
      <c r="AA60" s="29">
        <v>0</v>
      </c>
      <c r="AB60" s="29">
        <f>IFERROR(+'11-2025'!$X60*'11-2025'!$AA60,"")</f>
        <v>0</v>
      </c>
      <c r="AC60" s="29">
        <v>22</v>
      </c>
      <c r="AD60" s="29">
        <f>IFERROR(+'11-2025'!$X60*'11-2025'!$AC60,"")</f>
        <v>2153.8000000000002</v>
      </c>
      <c r="AE60" s="29">
        <v>3</v>
      </c>
      <c r="AF60" s="29">
        <f>IFERROR(+'11-2025'!$X60*'11-2025'!$AE60,"")</f>
        <v>293.70000000000005</v>
      </c>
      <c r="AG60" s="29"/>
      <c r="AH60" s="29">
        <f>IFERROR(+'11-2025'!$X60*'11-2025'!$AG60,"")</f>
        <v>0</v>
      </c>
      <c r="AI60" s="29">
        <v>4000</v>
      </c>
      <c r="AJ60" s="29">
        <f>IFERROR('11-2025'!$Z60+'11-2025'!$AB60+'11-2025'!$AD60+'11-2025'!$AF60+'11-2025'!$AH60+'11-2025'!$AI60,"")</f>
        <v>6447.5</v>
      </c>
      <c r="AK60" s="30">
        <f>IFERROR('11-2025'!$W60-'11-2025'!$AJ60,"")</f>
        <v>-3510.5</v>
      </c>
      <c r="AL60" s="31"/>
      <c r="AM60" s="31"/>
      <c r="AN60" s="31"/>
      <c r="AO60" s="31"/>
      <c r="AP60" s="31"/>
      <c r="AQ60" s="31"/>
      <c r="AR60" s="31">
        <v>0</v>
      </c>
      <c r="AS60" s="31">
        <v>0</v>
      </c>
      <c r="AT60" s="31">
        <v>0</v>
      </c>
      <c r="AU60" s="31">
        <v>0</v>
      </c>
      <c r="AV60" s="31">
        <v>0</v>
      </c>
      <c r="AW60" s="31">
        <v>0</v>
      </c>
      <c r="AX60" s="31">
        <v>0</v>
      </c>
      <c r="AY60" s="31">
        <v>0</v>
      </c>
      <c r="AZ60" s="31">
        <v>0</v>
      </c>
      <c r="BA60" s="31">
        <v>0</v>
      </c>
      <c r="BB60" s="31">
        <v>0</v>
      </c>
      <c r="BC60" s="31">
        <v>0</v>
      </c>
      <c r="BD60" s="31">
        <v>0</v>
      </c>
      <c r="BE60" s="31">
        <v>1336.9724999999999</v>
      </c>
      <c r="BF60" s="31">
        <v>0</v>
      </c>
      <c r="BG60" s="31">
        <v>0</v>
      </c>
      <c r="BH60" s="31">
        <v>0</v>
      </c>
      <c r="BI60" s="31">
        <v>0</v>
      </c>
      <c r="BJ60" s="32">
        <f t="shared" si="11"/>
        <v>1336.9724999999999</v>
      </c>
      <c r="BK60" s="33">
        <f>BJ60+AM60+AL60+'11-2025'!$N60+AN60+AO60</f>
        <v>4636.9724999999999</v>
      </c>
      <c r="BL60" s="34">
        <f>'11-2025'!$O60</f>
        <v>3300</v>
      </c>
      <c r="BM60" s="34">
        <f t="shared" si="6"/>
        <v>618.75</v>
      </c>
      <c r="BN60" s="34">
        <f t="shared" si="7"/>
        <v>363</v>
      </c>
      <c r="BO60" s="34">
        <f t="shared" si="8"/>
        <v>1666.6666666666667</v>
      </c>
      <c r="BP60" s="35">
        <f t="shared" si="9"/>
        <v>2607.3058333333329</v>
      </c>
      <c r="BQ60" s="34">
        <f>IFERROR(BP60/'11-2025'!$J60,0)*12</f>
        <v>31287.669999999995</v>
      </c>
      <c r="BR60" s="34">
        <f>IF(BQ60&lt;=40000,0,
IF(BQ60&lt;=55000,(BQ60-40000)*10%,
IF(BQ60&lt;=70000,(BQ60-55000)*15%+1500,
IF(BQ60&lt;=200000,(BQ60-70000)*20%+1500+2250,
IF(BQ60&lt;=400000,(BQ60-200000)*22.5%+1500+2250+26000,
IF(BQ60&lt;=600000,(BQ60-400000)*25%+1500+2250+26000+45000,
IF(AND(BQ60&gt;600000,BQ60&lt;=1200000),(BQ60-400000)*25%+1500+2250+26000+45000
+IFERROR(LOOKUP(BQ60,{600001;700001;800001;900001},{4000;6750;10250;15250}),0),IF(BQ60&gt;1200000,((BQ60-1200000)*27.5%)+300000,0)
)))))))</f>
        <v>0</v>
      </c>
      <c r="BS60" s="32">
        <f>(BR60/12*'11-2025'!$J60)</f>
        <v>0</v>
      </c>
      <c r="BT60" s="33">
        <f>BS60-'11-2025'!$V60</f>
        <v>0</v>
      </c>
      <c r="BU60" s="32">
        <f>IFERROR(+'11-2025'!$W60+AL60+AM60+BJ60-'11-2025'!$AJ60-BT60+AN60+AO60,"")-AL60+AP60+AQ60</f>
        <v>-2173.5275000000001</v>
      </c>
      <c r="BV60" s="36"/>
      <c r="BW60" s="37"/>
      <c r="BX60" s="37">
        <f t="shared" si="10"/>
        <v>-2173.5275000000001</v>
      </c>
      <c r="BY60" s="37" t="s">
        <v>75</v>
      </c>
      <c r="BZ60" s="59"/>
    </row>
    <row r="61" spans="1:78" x14ac:dyDescent="0.25">
      <c r="A61" s="21">
        <v>512</v>
      </c>
      <c r="B61" s="22" t="s">
        <v>165</v>
      </c>
      <c r="C61" s="22" t="s">
        <v>71</v>
      </c>
      <c r="D61" s="22" t="s">
        <v>72</v>
      </c>
      <c r="E61" s="22" t="s">
        <v>110</v>
      </c>
      <c r="F61" s="22" t="s">
        <v>102</v>
      </c>
      <c r="G61" s="23">
        <v>45619</v>
      </c>
      <c r="H61" s="22"/>
      <c r="I61" s="24">
        <v>28208060104129</v>
      </c>
      <c r="J61" s="25">
        <v>1</v>
      </c>
      <c r="K61" s="25">
        <v>2500</v>
      </c>
      <c r="L61" s="25"/>
      <c r="M61" s="26"/>
      <c r="N61" s="25">
        <f>SUM('11-2025'!$K61:$M61)</f>
        <v>2500</v>
      </c>
      <c r="O61" s="25">
        <v>2500</v>
      </c>
      <c r="P61" s="25">
        <f t="shared" si="0"/>
        <v>468.75</v>
      </c>
      <c r="Q61" s="25">
        <f t="shared" si="1"/>
        <v>275</v>
      </c>
      <c r="R61" s="25">
        <v>1666.6666666666667</v>
      </c>
      <c r="S61" s="27">
        <f t="shared" si="2"/>
        <v>558.33333333333326</v>
      </c>
      <c r="T61" s="25">
        <f t="shared" si="3"/>
        <v>6699.9999999999991</v>
      </c>
      <c r="U61" s="25">
        <f>IF(T61&lt;=40000,0,
IF(T61&lt;=55000,(T61-40000)*10%,
IF(T61&lt;=70000,(T61-55000)*15%+1500,
IF(T61&lt;=200000,(T61-70000)*20%+1500+2250,
IF(T61&lt;=400000,(T61-200000)*22.5%+1500+2250+26000,
IF(T61&lt;=600000,(T61-400000)*25%+1500+2250+26000+45000,
IF(AND(T61&gt;600000,T61&lt;=1200000),(T61-400000)*25%+1500+2250+26000+45000
+IFERROR(LOOKUP(T61,{600001;700001;800001;900001},{4000;6750;10250;15250}),0),IF(T61&gt;1200000,((T61-1200000)*27.5%)+300000,0)
)))))))</f>
        <v>0</v>
      </c>
      <c r="V61" s="25">
        <f t="shared" si="4"/>
        <v>0</v>
      </c>
      <c r="W61" s="28">
        <f>+'11-2025'!$S61-'11-2025'!$V61+'11-2025'!$R61</f>
        <v>2225</v>
      </c>
      <c r="X61" s="28">
        <f t="shared" si="5"/>
        <v>74.166666666666671</v>
      </c>
      <c r="Y61" s="29">
        <v>0</v>
      </c>
      <c r="Z61" s="29">
        <f>IFERROR(+'11-2025'!$X61*'11-2025'!$Y61,"")</f>
        <v>0</v>
      </c>
      <c r="AA61" s="29">
        <v>0</v>
      </c>
      <c r="AB61" s="29">
        <f>IFERROR(+'11-2025'!$X61*'11-2025'!$AA61,"")</f>
        <v>0</v>
      </c>
      <c r="AC61" s="29">
        <v>0</v>
      </c>
      <c r="AD61" s="29">
        <f>IFERROR(+'11-2025'!$X61*'11-2025'!$AC61,"")</f>
        <v>0</v>
      </c>
      <c r="AE61" s="29">
        <v>0</v>
      </c>
      <c r="AF61" s="29">
        <f>IFERROR(+'11-2025'!$X61*'11-2025'!$AE61,"")</f>
        <v>0</v>
      </c>
      <c r="AG61" s="29">
        <v>0</v>
      </c>
      <c r="AH61" s="29">
        <f>IFERROR(+'11-2025'!$X61*'11-2025'!$AG61,"")</f>
        <v>0</v>
      </c>
      <c r="AI61" s="29">
        <v>500</v>
      </c>
      <c r="AJ61" s="29">
        <f>IFERROR('11-2025'!$Z61+'11-2025'!$AB61+'11-2025'!$AD61+'11-2025'!$AF61+'11-2025'!$AH61+'11-2025'!$AI61,"")</f>
        <v>500</v>
      </c>
      <c r="AK61" s="30">
        <f>IFERROR('11-2025'!$W61-'11-2025'!$AJ61,"")</f>
        <v>1725</v>
      </c>
      <c r="AL61" s="31"/>
      <c r="AM61" s="31"/>
      <c r="AN61" s="31"/>
      <c r="AO61" s="31">
        <v>0</v>
      </c>
      <c r="AP61" s="31"/>
      <c r="AQ61" s="31"/>
      <c r="AR61" s="31">
        <v>0</v>
      </c>
      <c r="AS61" s="31">
        <v>0</v>
      </c>
      <c r="AT61" s="31">
        <v>132.76843875000003</v>
      </c>
      <c r="AU61" s="31">
        <v>0</v>
      </c>
      <c r="AV61" s="31">
        <v>0</v>
      </c>
      <c r="AW61" s="31">
        <v>0</v>
      </c>
      <c r="AX61" s="31">
        <v>0</v>
      </c>
      <c r="AY61" s="31">
        <v>0</v>
      </c>
      <c r="AZ61" s="31">
        <v>0</v>
      </c>
      <c r="BA61" s="31">
        <v>0</v>
      </c>
      <c r="BB61" s="31">
        <v>0</v>
      </c>
      <c r="BC61" s="31">
        <v>0</v>
      </c>
      <c r="BD61" s="31">
        <v>0</v>
      </c>
      <c r="BE61" s="31">
        <v>2035.2825</v>
      </c>
      <c r="BF61" s="31">
        <v>0</v>
      </c>
      <c r="BG61" s="31">
        <v>0</v>
      </c>
      <c r="BH61" s="31">
        <v>0</v>
      </c>
      <c r="BI61" s="31">
        <v>0</v>
      </c>
      <c r="BJ61" s="32">
        <f t="shared" si="11"/>
        <v>2168.0509387500001</v>
      </c>
      <c r="BK61" s="33">
        <f>BJ61+AM61+AL61+'11-2025'!$N61+AN61+AO61</f>
        <v>4668.0509387500006</v>
      </c>
      <c r="BL61" s="34">
        <f>'11-2025'!$O61</f>
        <v>2500</v>
      </c>
      <c r="BM61" s="34">
        <f t="shared" si="6"/>
        <v>468.75</v>
      </c>
      <c r="BN61" s="34">
        <f t="shared" si="7"/>
        <v>275</v>
      </c>
      <c r="BO61" s="34">
        <f t="shared" si="8"/>
        <v>1666.6666666666667</v>
      </c>
      <c r="BP61" s="35">
        <f t="shared" si="9"/>
        <v>2726.3842720833336</v>
      </c>
      <c r="BQ61" s="34">
        <f>IFERROR(BP61/'11-2025'!$J61,0)*12</f>
        <v>32716.611265000003</v>
      </c>
      <c r="BR61" s="34">
        <f>IF(BQ61&lt;=40000,0,
IF(BQ61&lt;=55000,(BQ61-40000)*10%,
IF(BQ61&lt;=70000,(BQ61-55000)*15%+1500,
IF(BQ61&lt;=200000,(BQ61-70000)*20%+1500+2250,
IF(BQ61&lt;=400000,(BQ61-200000)*22.5%+1500+2250+26000,
IF(BQ61&lt;=600000,(BQ61-400000)*25%+1500+2250+26000+45000,
IF(AND(BQ61&gt;600000,BQ61&lt;=1200000),(BQ61-400000)*25%+1500+2250+26000+45000
+IFERROR(LOOKUP(BQ61,{600001;700001;800001;900001},{4000;6750;10250;15250}),0),IF(BQ61&gt;1200000,((BQ61-1200000)*27.5%)+300000,0)
)))))))</f>
        <v>0</v>
      </c>
      <c r="BS61" s="32">
        <f>(BR61/12*'11-2025'!$J61)</f>
        <v>0</v>
      </c>
      <c r="BT61" s="33">
        <f>BS61-'11-2025'!$V61</f>
        <v>0</v>
      </c>
      <c r="BU61" s="32">
        <f>IFERROR(+'11-2025'!$W61+AL61+AM61+BJ61-'11-2025'!$AJ61-BT61+AN61+AO61,"")-AL61+AP61+AQ61</f>
        <v>3893.0509387500006</v>
      </c>
      <c r="BV61" s="36"/>
      <c r="BW61" s="37"/>
      <c r="BX61" s="37">
        <f t="shared" si="10"/>
        <v>3893.0509387500006</v>
      </c>
      <c r="BY61" s="37" t="s">
        <v>75</v>
      </c>
    </row>
    <row r="62" spans="1:78" x14ac:dyDescent="0.25">
      <c r="A62" s="21">
        <v>514</v>
      </c>
      <c r="B62" s="22" t="s">
        <v>166</v>
      </c>
      <c r="C62" s="22" t="s">
        <v>71</v>
      </c>
      <c r="D62" s="22" t="s">
        <v>72</v>
      </c>
      <c r="E62" s="22" t="s">
        <v>60</v>
      </c>
      <c r="F62" s="22" t="s">
        <v>139</v>
      </c>
      <c r="G62" s="23">
        <v>45629</v>
      </c>
      <c r="H62" s="22"/>
      <c r="I62" s="24">
        <v>30207210103056</v>
      </c>
      <c r="J62" s="25">
        <v>1</v>
      </c>
      <c r="K62" s="25">
        <v>3000</v>
      </c>
      <c r="L62" s="25"/>
      <c r="M62" s="26"/>
      <c r="N62" s="25">
        <f>SUM('11-2025'!$K62:$M62)</f>
        <v>3000</v>
      </c>
      <c r="O62" s="25">
        <v>3000</v>
      </c>
      <c r="P62" s="25">
        <f t="shared" si="0"/>
        <v>562.5</v>
      </c>
      <c r="Q62" s="25">
        <f t="shared" si="1"/>
        <v>330</v>
      </c>
      <c r="R62" s="25">
        <v>1666.6666666666667</v>
      </c>
      <c r="S62" s="27">
        <f t="shared" si="2"/>
        <v>1003.3333333333333</v>
      </c>
      <c r="T62" s="25">
        <f t="shared" si="3"/>
        <v>12040</v>
      </c>
      <c r="U62" s="25">
        <f>IF(T62&lt;=40000,0,
IF(T62&lt;=55000,(T62-40000)*10%,
IF(T62&lt;=70000,(T62-55000)*15%+1500,
IF(T62&lt;=200000,(T62-70000)*20%+1500+2250,
IF(T62&lt;=400000,(T62-200000)*22.5%+1500+2250+26000,
IF(T62&lt;=600000,(T62-400000)*25%+1500+2250+26000+45000,
IF(AND(T62&gt;600000,T62&lt;=1200000),(T62-400000)*25%+1500+2250+26000+45000
+IFERROR(LOOKUP(T62,{600001;700001;800001;900001},{4000;6750;10250;15250}),0),IF(T62&gt;1200000,((T62-1200000)*27.5%)+300000,0)
)))))))</f>
        <v>0</v>
      </c>
      <c r="V62" s="25">
        <f t="shared" si="4"/>
        <v>0</v>
      </c>
      <c r="W62" s="28">
        <f>+'11-2025'!$S62-'11-2025'!$V62+'11-2025'!$R62</f>
        <v>2670</v>
      </c>
      <c r="X62" s="28">
        <f t="shared" si="5"/>
        <v>89</v>
      </c>
      <c r="Y62" s="29">
        <v>0</v>
      </c>
      <c r="Z62" s="29">
        <f>IFERROR(+'11-2025'!$X62*'11-2025'!$Y62,"")</f>
        <v>0</v>
      </c>
      <c r="AA62" s="29">
        <v>2</v>
      </c>
      <c r="AB62" s="29">
        <f>IFERROR(+'11-2025'!$X62*'11-2025'!$AA62,"")</f>
        <v>178</v>
      </c>
      <c r="AC62" s="29">
        <v>0</v>
      </c>
      <c r="AD62" s="29">
        <f>IFERROR(+'11-2025'!$X62*'11-2025'!$AC62,"")</f>
        <v>0</v>
      </c>
      <c r="AE62" s="29">
        <v>0</v>
      </c>
      <c r="AF62" s="29">
        <f>IFERROR(+'11-2025'!$X62*'11-2025'!$AE62,"")</f>
        <v>0</v>
      </c>
      <c r="AG62" s="29">
        <v>3.25</v>
      </c>
      <c r="AH62" s="29">
        <f>IFERROR(+'11-2025'!$X62*'11-2025'!$AG62,"")</f>
        <v>289.25</v>
      </c>
      <c r="AI62" s="29">
        <v>0</v>
      </c>
      <c r="AJ62" s="29">
        <f>IFERROR('11-2025'!$Z62+'11-2025'!$AB62+'11-2025'!$AD62+'11-2025'!$AF62+'11-2025'!$AH62+'11-2025'!$AI62,"")</f>
        <v>467.25</v>
      </c>
      <c r="AK62" s="30">
        <f>IFERROR('11-2025'!$W62-'11-2025'!$AJ62,"")</f>
        <v>2202.75</v>
      </c>
      <c r="AL62" s="31"/>
      <c r="AM62" s="31"/>
      <c r="AN62" s="31"/>
      <c r="AO62" s="31">
        <v>0</v>
      </c>
      <c r="AP62" s="31"/>
      <c r="AQ62" s="31"/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1">
        <v>0</v>
      </c>
      <c r="AZ62" s="31">
        <v>0</v>
      </c>
      <c r="BA62" s="31">
        <v>0</v>
      </c>
      <c r="BB62" s="31">
        <v>0</v>
      </c>
      <c r="BC62" s="31">
        <v>0</v>
      </c>
      <c r="BD62" s="31">
        <v>0</v>
      </c>
      <c r="BE62" s="31">
        <v>0</v>
      </c>
      <c r="BF62" s="31">
        <v>0</v>
      </c>
      <c r="BG62" s="31">
        <v>5141.8804000000009</v>
      </c>
      <c r="BH62" s="31">
        <v>0</v>
      </c>
      <c r="BI62" s="31">
        <v>0</v>
      </c>
      <c r="BJ62" s="32">
        <f t="shared" si="11"/>
        <v>5141.8804000000009</v>
      </c>
      <c r="BK62" s="33">
        <f>BJ62+AM62+AL62+'11-2025'!$N62+AN62+AO62</f>
        <v>8141.8804000000009</v>
      </c>
      <c r="BL62" s="34">
        <f>'11-2025'!$O62</f>
        <v>3000</v>
      </c>
      <c r="BM62" s="34">
        <f t="shared" si="6"/>
        <v>562.5</v>
      </c>
      <c r="BN62" s="34">
        <f t="shared" si="7"/>
        <v>330</v>
      </c>
      <c r="BO62" s="34">
        <f t="shared" si="8"/>
        <v>1666.6666666666667</v>
      </c>
      <c r="BP62" s="35">
        <f t="shared" si="9"/>
        <v>6145.2137333333339</v>
      </c>
      <c r="BQ62" s="34">
        <f>IFERROR(BP62/'11-2025'!$J62,0)*12</f>
        <v>73742.564800000007</v>
      </c>
      <c r="BR62" s="34">
        <f>IF(BQ62&lt;=40000,0,
IF(BQ62&lt;=55000,(BQ62-40000)*10%,
IF(BQ62&lt;=70000,(BQ62-55000)*15%+1500,
IF(BQ62&lt;=200000,(BQ62-70000)*20%+1500+2250,
IF(BQ62&lt;=400000,(BQ62-200000)*22.5%+1500+2250+26000,
IF(BQ62&lt;=600000,(BQ62-400000)*25%+1500+2250+26000+45000,
IF(AND(BQ62&gt;600000,BQ62&lt;=1200000),(BQ62-400000)*25%+1500+2250+26000+45000
+IFERROR(LOOKUP(BQ62,{600001;700001;800001;900001},{4000;6750;10250;15250}),0),IF(BQ62&gt;1200000,((BQ62-1200000)*27.5%)+300000,0)
)))))))</f>
        <v>4498.5129600000018</v>
      </c>
      <c r="BS62" s="32">
        <f>(BR62/12*'11-2025'!$J62)</f>
        <v>374.87608000000017</v>
      </c>
      <c r="BT62" s="33">
        <f>BS62-'11-2025'!$V62</f>
        <v>374.87608000000017</v>
      </c>
      <c r="BU62" s="32">
        <f>IFERROR(+'11-2025'!$W62+AL62+AM62+BJ62-'11-2025'!$AJ62-BT62+AN62+AO62,"")-AL62+AP62+AQ62</f>
        <v>6969.7543200000009</v>
      </c>
      <c r="BV62" s="36"/>
      <c r="BW62" s="37"/>
      <c r="BX62" s="37">
        <f t="shared" si="10"/>
        <v>6969.7543200000009</v>
      </c>
      <c r="BY62" s="37" t="s">
        <v>75</v>
      </c>
      <c r="BZ62" s="59"/>
    </row>
    <row r="63" spans="1:78" x14ac:dyDescent="0.25">
      <c r="A63" s="21">
        <v>515</v>
      </c>
      <c r="B63" s="22" t="s">
        <v>167</v>
      </c>
      <c r="C63" s="22" t="s">
        <v>71</v>
      </c>
      <c r="D63" s="22" t="s">
        <v>77</v>
      </c>
      <c r="E63" s="22" t="s">
        <v>132</v>
      </c>
      <c r="F63" s="22" t="s">
        <v>133</v>
      </c>
      <c r="G63" s="23">
        <v>45629</v>
      </c>
      <c r="H63" s="22"/>
      <c r="I63" s="24">
        <v>28406011410539</v>
      </c>
      <c r="J63" s="25">
        <v>1</v>
      </c>
      <c r="K63" s="25">
        <v>4440</v>
      </c>
      <c r="L63" s="25"/>
      <c r="M63" s="26"/>
      <c r="N63" s="25">
        <f>SUM('11-2025'!$K63:$M63)</f>
        <v>4440</v>
      </c>
      <c r="O63" s="25">
        <v>4000</v>
      </c>
      <c r="P63" s="25">
        <f t="shared" si="0"/>
        <v>750</v>
      </c>
      <c r="Q63" s="25">
        <f t="shared" si="1"/>
        <v>440</v>
      </c>
      <c r="R63" s="25">
        <v>1666.6666666666667</v>
      </c>
      <c r="S63" s="27">
        <f t="shared" si="2"/>
        <v>2333.333333333333</v>
      </c>
      <c r="T63" s="25">
        <f t="shared" si="3"/>
        <v>27999.999999999996</v>
      </c>
      <c r="U63" s="25">
        <f>IF(T63&lt;=40000,0,
IF(T63&lt;=55000,(T63-40000)*10%,
IF(T63&lt;=70000,(T63-55000)*15%+1500,
IF(T63&lt;=200000,(T63-70000)*20%+1500+2250,
IF(T63&lt;=400000,(T63-200000)*22.5%+1500+2250+26000,
IF(T63&lt;=600000,(T63-400000)*25%+1500+2250+26000+45000,
IF(AND(T63&gt;600000,T63&lt;=1200000),(T63-400000)*25%+1500+2250+26000+45000
+IFERROR(LOOKUP(T63,{600001;700001;800001;900001},{4000;6750;10250;15250}),0),IF(T63&gt;1200000,((T63-1200000)*27.5%)+300000,0)
)))))))</f>
        <v>0</v>
      </c>
      <c r="V63" s="25">
        <f t="shared" si="4"/>
        <v>0</v>
      </c>
      <c r="W63" s="28">
        <f>+'11-2025'!$S63-'11-2025'!$V63+'11-2025'!$R63</f>
        <v>4000</v>
      </c>
      <c r="X63" s="28">
        <f t="shared" si="5"/>
        <v>133.33333333333334</v>
      </c>
      <c r="Y63" s="29">
        <v>0</v>
      </c>
      <c r="Z63" s="29">
        <f>IFERROR(+'11-2025'!$X63*'11-2025'!$Y63,"")</f>
        <v>0</v>
      </c>
      <c r="AA63" s="29">
        <v>0</v>
      </c>
      <c r="AB63" s="29">
        <f>IFERROR(+'11-2025'!$X63*'11-2025'!$AA63,"")</f>
        <v>0</v>
      </c>
      <c r="AC63" s="29">
        <v>0</v>
      </c>
      <c r="AD63" s="29">
        <f>IFERROR(+'11-2025'!$X63*'11-2025'!$AC63,"")</f>
        <v>0</v>
      </c>
      <c r="AE63" s="29">
        <v>0</v>
      </c>
      <c r="AF63" s="29">
        <f>IFERROR(+'11-2025'!$X63*'11-2025'!$AE63,"")</f>
        <v>0</v>
      </c>
      <c r="AG63" s="29">
        <v>0</v>
      </c>
      <c r="AH63" s="29">
        <f>IFERROR(+'11-2025'!$X63*'11-2025'!$AG63,"")</f>
        <v>0</v>
      </c>
      <c r="AI63" s="29">
        <v>1000</v>
      </c>
      <c r="AJ63" s="29">
        <f>IFERROR('11-2025'!$Z63+'11-2025'!$AB63+'11-2025'!$AD63+'11-2025'!$AF63+'11-2025'!$AH63+'11-2025'!$AI63,"")</f>
        <v>1000</v>
      </c>
      <c r="AK63" s="30">
        <f>IFERROR('11-2025'!$W63-'11-2025'!$AJ63,"")</f>
        <v>3000</v>
      </c>
      <c r="AL63" s="31"/>
      <c r="AM63" s="31">
        <v>600</v>
      </c>
      <c r="AN63" s="31"/>
      <c r="AO63" s="31">
        <v>0</v>
      </c>
      <c r="AP63" s="31"/>
      <c r="AQ63" s="31"/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2">
        <f t="shared" si="11"/>
        <v>0</v>
      </c>
      <c r="BK63" s="33">
        <f>BJ63+AM63+AL63+'11-2025'!$N63+AN63+AO63</f>
        <v>5040</v>
      </c>
      <c r="BL63" s="34">
        <f>'11-2025'!$O63</f>
        <v>4000</v>
      </c>
      <c r="BM63" s="34">
        <f t="shared" si="6"/>
        <v>750</v>
      </c>
      <c r="BN63" s="34">
        <f t="shared" si="7"/>
        <v>440</v>
      </c>
      <c r="BO63" s="34">
        <f t="shared" si="8"/>
        <v>1666.6666666666667</v>
      </c>
      <c r="BP63" s="35">
        <f t="shared" si="9"/>
        <v>2933.333333333333</v>
      </c>
      <c r="BQ63" s="34">
        <f>IFERROR(BP63/'11-2025'!$J63,0)*12</f>
        <v>35200</v>
      </c>
      <c r="BR63" s="34">
        <f>IF(BQ63&lt;=40000,0,
IF(BQ63&lt;=55000,(BQ63-40000)*10%,
IF(BQ63&lt;=70000,(BQ63-55000)*15%+1500,
IF(BQ63&lt;=200000,(BQ63-70000)*20%+1500+2250,
IF(BQ63&lt;=400000,(BQ63-200000)*22.5%+1500+2250+26000,
IF(BQ63&lt;=600000,(BQ63-400000)*25%+1500+2250+26000+45000,
IF(AND(BQ63&gt;600000,BQ63&lt;=1200000),(BQ63-400000)*25%+1500+2250+26000+45000
+IFERROR(LOOKUP(BQ63,{600001;700001;800001;900001},{4000;6750;10250;15250}),0),IF(BQ63&gt;1200000,((BQ63-1200000)*27.5%)+300000,0)
)))))))</f>
        <v>0</v>
      </c>
      <c r="BS63" s="32">
        <f>(BR63/12*'11-2025'!$J63)</f>
        <v>0</v>
      </c>
      <c r="BT63" s="33">
        <f>BS63-'11-2025'!$V63</f>
        <v>0</v>
      </c>
      <c r="BU63" s="32">
        <f>IFERROR(+'11-2025'!$W63+AL63+AM63+BJ63-'11-2025'!$AJ63-BT63+AN63+AO63,"")-AL63+AP63+AQ63</f>
        <v>3600</v>
      </c>
      <c r="BV63" s="36" t="s">
        <v>432</v>
      </c>
      <c r="BW63" s="37"/>
      <c r="BX63" s="37">
        <f t="shared" si="10"/>
        <v>3600</v>
      </c>
      <c r="BY63" s="37" t="s">
        <v>75</v>
      </c>
    </row>
    <row r="64" spans="1:78" x14ac:dyDescent="0.25">
      <c r="A64" s="21">
        <v>523</v>
      </c>
      <c r="B64" s="22" t="s">
        <v>168</v>
      </c>
      <c r="C64" s="22" t="s">
        <v>106</v>
      </c>
      <c r="D64" s="22" t="s">
        <v>72</v>
      </c>
      <c r="E64" s="22" t="s">
        <v>82</v>
      </c>
      <c r="F64" s="22" t="s">
        <v>135</v>
      </c>
      <c r="G64" s="23">
        <v>45789</v>
      </c>
      <c r="H64" s="22"/>
      <c r="I64" s="24">
        <v>27705291201101</v>
      </c>
      <c r="J64" s="25">
        <v>1</v>
      </c>
      <c r="K64" s="25">
        <v>2500</v>
      </c>
      <c r="L64" s="25"/>
      <c r="M64" s="26"/>
      <c r="N64" s="25">
        <f>SUM('11-2025'!$K64:$M64)</f>
        <v>2500</v>
      </c>
      <c r="O64" s="25">
        <v>2500</v>
      </c>
      <c r="P64" s="25">
        <f t="shared" si="0"/>
        <v>468.75</v>
      </c>
      <c r="Q64" s="25">
        <f t="shared" si="1"/>
        <v>275</v>
      </c>
      <c r="R64" s="25">
        <v>1666.6666666666667</v>
      </c>
      <c r="S64" s="27">
        <f t="shared" si="2"/>
        <v>558.33333333333326</v>
      </c>
      <c r="T64" s="25">
        <f t="shared" si="3"/>
        <v>6699.9999999999991</v>
      </c>
      <c r="U64" s="25">
        <f>IF(T64&lt;=40000,0,
IF(T64&lt;=55000,(T64-40000)*10%,
IF(T64&lt;=70000,(T64-55000)*15%+1500,
IF(T64&lt;=200000,(T64-70000)*20%+1500+2250,
IF(T64&lt;=400000,(T64-200000)*22.5%+1500+2250+26000,
IF(T64&lt;=600000,(T64-400000)*25%+1500+2250+26000+45000,
IF(AND(T64&gt;600000,T64&lt;=1200000),(T64-400000)*25%+1500+2250+26000+45000
+IFERROR(LOOKUP(T64,{600001;700001;800001;900001},{4000;6750;10250;15250}),0),IF(T64&gt;1200000,((T64-1200000)*27.5%)+300000,0)
)))))))</f>
        <v>0</v>
      </c>
      <c r="V64" s="25">
        <f t="shared" si="4"/>
        <v>0</v>
      </c>
      <c r="W64" s="28">
        <f>+'11-2025'!$S64-'11-2025'!$V64+'11-2025'!$R64</f>
        <v>2225</v>
      </c>
      <c r="X64" s="28">
        <f t="shared" si="5"/>
        <v>74.166666666666671</v>
      </c>
      <c r="Y64" s="29">
        <v>0</v>
      </c>
      <c r="Z64" s="29">
        <f>IFERROR(+'11-2025'!$X64*'11-2025'!$Y64,"")</f>
        <v>0</v>
      </c>
      <c r="AA64" s="29">
        <v>0</v>
      </c>
      <c r="AB64" s="29">
        <f>IFERROR(+'11-2025'!$X64*'11-2025'!$AA64,"")</f>
        <v>0</v>
      </c>
      <c r="AC64" s="29">
        <v>0</v>
      </c>
      <c r="AD64" s="29">
        <f>IFERROR(+'11-2025'!$X64*'11-2025'!$AC64,"")</f>
        <v>0</v>
      </c>
      <c r="AE64" s="29">
        <v>0</v>
      </c>
      <c r="AF64" s="29">
        <f>IFERROR(+'11-2025'!$X64*'11-2025'!$AE64,"")</f>
        <v>0</v>
      </c>
      <c r="AG64" s="29">
        <v>0</v>
      </c>
      <c r="AH64" s="29">
        <f>IFERROR(+'11-2025'!$X64*'11-2025'!$AG64,"")</f>
        <v>0</v>
      </c>
      <c r="AI64" s="29">
        <v>0</v>
      </c>
      <c r="AJ64" s="29">
        <f>IFERROR('11-2025'!$Z64+'11-2025'!$AB64+'11-2025'!$AD64+'11-2025'!$AF64+'11-2025'!$AH64+'11-2025'!$AI64,"")</f>
        <v>0</v>
      </c>
      <c r="AK64" s="30">
        <f>IFERROR('11-2025'!$W64-'11-2025'!$AJ64,"")</f>
        <v>2225</v>
      </c>
      <c r="AL64" s="31"/>
      <c r="AM64" s="31"/>
      <c r="AN64" s="31"/>
      <c r="AO64" s="31">
        <v>0</v>
      </c>
      <c r="AP64" s="31"/>
      <c r="AQ64" s="31"/>
      <c r="AR64" s="31">
        <v>0</v>
      </c>
      <c r="AS64" s="31">
        <v>0</v>
      </c>
      <c r="AT64" s="31">
        <v>0</v>
      </c>
      <c r="AU64" s="31">
        <v>0</v>
      </c>
      <c r="AV64" s="31">
        <v>296.08395000000002</v>
      </c>
      <c r="AW64" s="31">
        <v>0</v>
      </c>
      <c r="AX64" s="31">
        <v>0</v>
      </c>
      <c r="AY64" s="31">
        <v>0</v>
      </c>
      <c r="AZ64" s="31">
        <v>0</v>
      </c>
      <c r="BA64" s="31">
        <v>0</v>
      </c>
      <c r="BB64" s="31">
        <v>0</v>
      </c>
      <c r="BC64" s="31">
        <v>0</v>
      </c>
      <c r="BD64" s="31">
        <v>0</v>
      </c>
      <c r="BE64" s="31">
        <v>0</v>
      </c>
      <c r="BF64" s="31">
        <v>0</v>
      </c>
      <c r="BG64" s="31">
        <v>427.5</v>
      </c>
      <c r="BH64" s="31">
        <v>1698.3</v>
      </c>
      <c r="BI64" s="31">
        <v>0</v>
      </c>
      <c r="BJ64" s="32">
        <f t="shared" si="11"/>
        <v>2421.8839499999999</v>
      </c>
      <c r="BK64" s="33">
        <f>BJ64+AM64+AL64+'11-2025'!$N64+AN64+AO64</f>
        <v>4921.8839499999995</v>
      </c>
      <c r="BL64" s="34">
        <f>'11-2025'!$O64</f>
        <v>2500</v>
      </c>
      <c r="BM64" s="34">
        <f t="shared" si="6"/>
        <v>468.75</v>
      </c>
      <c r="BN64" s="34">
        <f t="shared" si="7"/>
        <v>275</v>
      </c>
      <c r="BO64" s="34">
        <f t="shared" si="8"/>
        <v>1666.6666666666667</v>
      </c>
      <c r="BP64" s="35">
        <f t="shared" si="9"/>
        <v>2980.2172833333325</v>
      </c>
      <c r="BQ64" s="34">
        <f>IFERROR(BP64/'11-2025'!$J64,0)*12</f>
        <v>35762.607399999994</v>
      </c>
      <c r="BR64" s="34">
        <f>IF(BQ64&lt;=40000,0,
IF(BQ64&lt;=55000,(BQ64-40000)*10%,
IF(BQ64&lt;=70000,(BQ64-55000)*15%+1500,
IF(BQ64&lt;=200000,(BQ64-70000)*20%+1500+2250,
IF(BQ64&lt;=400000,(BQ64-200000)*22.5%+1500+2250+26000,
IF(BQ64&lt;=600000,(BQ64-400000)*25%+1500+2250+26000+45000,
IF(AND(BQ64&gt;600000,BQ64&lt;=1200000),(BQ64-400000)*25%+1500+2250+26000+45000
+IFERROR(LOOKUP(BQ64,{600001;700001;800001;900001},{4000;6750;10250;15250}),0),IF(BQ64&gt;1200000,((BQ64-1200000)*27.5%)+300000,0)
)))))))</f>
        <v>0</v>
      </c>
      <c r="BS64" s="32">
        <f>(BR64/12*'11-2025'!$J64)</f>
        <v>0</v>
      </c>
      <c r="BT64" s="33">
        <f>BS64-'11-2025'!$V64</f>
        <v>0</v>
      </c>
      <c r="BU64" s="32">
        <f>IFERROR(+'11-2025'!$W64+AL64+AM64+BJ64-'11-2025'!$AJ64-BT64+AN64+AO64,"")-AL64+AP64+AQ64</f>
        <v>4646.8839499999995</v>
      </c>
      <c r="BV64" s="36"/>
      <c r="BW64" s="37"/>
      <c r="BX64" s="37">
        <f t="shared" si="10"/>
        <v>4646.8839499999995</v>
      </c>
      <c r="BY64" s="37"/>
    </row>
    <row r="65" spans="1:78" x14ac:dyDescent="0.25">
      <c r="A65" s="21">
        <v>525</v>
      </c>
      <c r="B65" s="22" t="s">
        <v>169</v>
      </c>
      <c r="C65" s="22" t="s">
        <v>71</v>
      </c>
      <c r="D65" s="22" t="s">
        <v>72</v>
      </c>
      <c r="E65" s="22" t="s">
        <v>99</v>
      </c>
      <c r="F65" s="22" t="s">
        <v>102</v>
      </c>
      <c r="G65" s="23">
        <v>45794</v>
      </c>
      <c r="H65" s="23">
        <v>45907</v>
      </c>
      <c r="I65" s="24">
        <v>30110102505047</v>
      </c>
      <c r="J65" s="25">
        <v>1</v>
      </c>
      <c r="K65" s="25">
        <v>3000</v>
      </c>
      <c r="L65" s="25"/>
      <c r="M65" s="26"/>
      <c r="N65" s="25">
        <f>SUM('11-2025'!$K65:$M65)</f>
        <v>3000</v>
      </c>
      <c r="O65" s="25"/>
      <c r="P65" s="25">
        <f t="shared" si="0"/>
        <v>0</v>
      </c>
      <c r="Q65" s="25">
        <f t="shared" si="1"/>
        <v>0</v>
      </c>
      <c r="R65" s="25">
        <v>1666.6666666666667</v>
      </c>
      <c r="S65" s="27">
        <f t="shared" si="2"/>
        <v>1333.3333333333333</v>
      </c>
      <c r="T65" s="25">
        <f t="shared" si="3"/>
        <v>16000</v>
      </c>
      <c r="U65" s="25">
        <f>IF(T65&lt;=40000,0,
IF(T65&lt;=55000,(T65-40000)*10%,
IF(T65&lt;=70000,(T65-55000)*15%+1500,
IF(T65&lt;=200000,(T65-70000)*20%+1500+2250,
IF(T65&lt;=400000,(T65-200000)*22.5%+1500+2250+26000,
IF(T65&lt;=600000,(T65-400000)*25%+1500+2250+26000+45000,
IF(AND(T65&gt;600000,T65&lt;=1200000),(T65-400000)*25%+1500+2250+26000+45000
+IFERROR(LOOKUP(T65,{600001;700001;800001;900001},{4000;6750;10250;15250}),0),IF(T65&gt;1200000,((T65-1200000)*27.5%)+300000,0)
)))))))</f>
        <v>0</v>
      </c>
      <c r="V65" s="25">
        <f t="shared" si="4"/>
        <v>0</v>
      </c>
      <c r="W65" s="28">
        <f>+'11-2025'!$S65-'11-2025'!$V65+'11-2025'!$R65</f>
        <v>3000</v>
      </c>
      <c r="X65" s="28">
        <f t="shared" si="5"/>
        <v>100</v>
      </c>
      <c r="Y65" s="29">
        <v>0.5</v>
      </c>
      <c r="Z65" s="29">
        <f>IFERROR(+'11-2025'!$X65*'11-2025'!$Y65,"")</f>
        <v>50</v>
      </c>
      <c r="AA65" s="29">
        <v>2</v>
      </c>
      <c r="AB65" s="29">
        <f>IFERROR(+'11-2025'!$X65*'11-2025'!$AA65,"")</f>
        <v>200</v>
      </c>
      <c r="AC65" s="29">
        <v>11</v>
      </c>
      <c r="AD65" s="29">
        <f>IFERROR(+'11-2025'!$X65*'11-2025'!$AC65,"")</f>
        <v>1100</v>
      </c>
      <c r="AE65" s="29">
        <v>0</v>
      </c>
      <c r="AF65" s="29">
        <f>IFERROR(+'11-2025'!$X65*'11-2025'!$AE65,"")</f>
        <v>0</v>
      </c>
      <c r="AG65" s="29">
        <v>6</v>
      </c>
      <c r="AH65" s="29">
        <f>IFERROR(+'11-2025'!$X65*'11-2025'!$AG65,"")</f>
        <v>600</v>
      </c>
      <c r="AI65" s="29">
        <v>0</v>
      </c>
      <c r="AJ65" s="29">
        <f>IFERROR('11-2025'!$Z65+'11-2025'!$AB65+'11-2025'!$AD65+'11-2025'!$AF65+'11-2025'!$AH65+'11-2025'!$AI65,"")</f>
        <v>1950</v>
      </c>
      <c r="AK65" s="30">
        <f>IFERROR('11-2025'!$W65-'11-2025'!$AJ65,"")</f>
        <v>1050</v>
      </c>
      <c r="AL65" s="31"/>
      <c r="AM65" s="31"/>
      <c r="AN65" s="31"/>
      <c r="AO65" s="31">
        <v>0</v>
      </c>
      <c r="AP65" s="31"/>
      <c r="AQ65" s="31"/>
      <c r="AR65" s="31">
        <v>0</v>
      </c>
      <c r="AS65" s="31">
        <v>0</v>
      </c>
      <c r="AT65" s="31">
        <v>0</v>
      </c>
      <c r="AU65" s="31">
        <v>0</v>
      </c>
      <c r="AV65" s="31">
        <v>0</v>
      </c>
      <c r="AW65" s="31">
        <v>0</v>
      </c>
      <c r="AX65" s="31">
        <v>0</v>
      </c>
      <c r="AY65" s="31">
        <v>0</v>
      </c>
      <c r="AZ65" s="31">
        <v>0</v>
      </c>
      <c r="BA65" s="31">
        <v>0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2">
        <f t="shared" si="11"/>
        <v>0</v>
      </c>
      <c r="BK65" s="41">
        <f>BJ65+AM65+AL65+'11-2025'!$N65+AN65+AO65</f>
        <v>3000</v>
      </c>
      <c r="BL65" s="34"/>
      <c r="BM65" s="34"/>
      <c r="BN65" s="34"/>
      <c r="BO65" s="34">
        <f t="shared" si="8"/>
        <v>1666.6666666666667</v>
      </c>
      <c r="BP65" s="35"/>
      <c r="BQ65" s="34"/>
      <c r="BR65" s="34"/>
      <c r="BS65" s="32"/>
      <c r="BT65" s="33">
        <f>BS65-'11-2025'!$V65</f>
        <v>0</v>
      </c>
      <c r="BU65" s="32">
        <f>IFERROR(+'11-2025'!$W65+AL65+AM65+BJ65-'11-2025'!$AJ65-BT65+AN65+AO65,"")-AL65+AP65+AQ65</f>
        <v>1050</v>
      </c>
      <c r="BV65" s="36"/>
      <c r="BW65" s="37"/>
      <c r="BX65" s="37">
        <f t="shared" si="10"/>
        <v>1050</v>
      </c>
      <c r="BY65" s="37"/>
    </row>
    <row r="66" spans="1:78" x14ac:dyDescent="0.25">
      <c r="A66" s="21">
        <v>527</v>
      </c>
      <c r="B66" s="22" t="s">
        <v>170</v>
      </c>
      <c r="C66" s="22" t="s">
        <v>81</v>
      </c>
      <c r="D66" s="22" t="s">
        <v>72</v>
      </c>
      <c r="E66" s="22" t="s">
        <v>93</v>
      </c>
      <c r="F66" s="22" t="s">
        <v>74</v>
      </c>
      <c r="G66" s="23">
        <v>45633</v>
      </c>
      <c r="H66" s="22"/>
      <c r="I66" s="24">
        <v>30206020103231</v>
      </c>
      <c r="J66" s="25">
        <v>1</v>
      </c>
      <c r="K66" s="25">
        <v>6874.17</v>
      </c>
      <c r="L66" s="25"/>
      <c r="M66" s="26"/>
      <c r="N66" s="25">
        <f>SUM('11-2025'!$K66:$M66)</f>
        <v>6874.17</v>
      </c>
      <c r="O66" s="25">
        <v>5750</v>
      </c>
      <c r="P66" s="25">
        <f t="shared" si="0"/>
        <v>1078.125</v>
      </c>
      <c r="Q66" s="25">
        <f t="shared" si="1"/>
        <v>632.5</v>
      </c>
      <c r="R66" s="25">
        <v>1666.6666666666667</v>
      </c>
      <c r="S66" s="27">
        <f t="shared" si="2"/>
        <v>4575.0033333333331</v>
      </c>
      <c r="T66" s="25">
        <f t="shared" si="3"/>
        <v>54900.039999999994</v>
      </c>
      <c r="U66" s="25">
        <f>IF(T66&lt;=40000,0,
IF(T66&lt;=55000,(T66-40000)*10%,
IF(T66&lt;=70000,(T66-55000)*15%+1500,
IF(T66&lt;=200000,(T66-70000)*20%+1500+2250,
IF(T66&lt;=400000,(T66-200000)*22.5%+1500+2250+26000,
IF(T66&lt;=600000,(T66-400000)*25%+1500+2250+26000+45000,
IF(AND(T66&gt;600000,T66&lt;=1200000),(T66-400000)*25%+1500+2250+26000+45000
+IFERROR(LOOKUP(T66,{600001;700001;800001;900001},{4000;6750;10250;15250}),0),IF(T66&gt;1200000,((T66-1200000)*27.5%)+300000,0)
)))))))</f>
        <v>1490.0039999999995</v>
      </c>
      <c r="V66" s="25">
        <f t="shared" si="4"/>
        <v>124.16699999999996</v>
      </c>
      <c r="W66" s="28">
        <f>+'11-2025'!$S66-'11-2025'!$V66+'11-2025'!$R66</f>
        <v>6117.5029999999997</v>
      </c>
      <c r="X66" s="28">
        <f t="shared" si="5"/>
        <v>203.91676666666666</v>
      </c>
      <c r="Y66" s="29">
        <v>1</v>
      </c>
      <c r="Z66" s="29">
        <f>IFERROR(+'11-2025'!$X66*'11-2025'!$Y66,"")</f>
        <v>203.91676666666666</v>
      </c>
      <c r="AA66" s="29">
        <v>0</v>
      </c>
      <c r="AB66" s="29">
        <f>IFERROR(+'11-2025'!$X66*'11-2025'!$AA66,"")</f>
        <v>0</v>
      </c>
      <c r="AC66" s="29">
        <v>0</v>
      </c>
      <c r="AD66" s="29">
        <f>IFERROR(+'11-2025'!$X66*'11-2025'!$AC66,"")</f>
        <v>0</v>
      </c>
      <c r="AE66" s="29">
        <v>0</v>
      </c>
      <c r="AF66" s="29">
        <f>IFERROR(+'11-2025'!$X66*'11-2025'!$AE66,"")</f>
        <v>0</v>
      </c>
      <c r="AG66" s="29">
        <v>3.25</v>
      </c>
      <c r="AH66" s="29">
        <f>IFERROR(+'11-2025'!$X66*'11-2025'!$AG66,"")</f>
        <v>662.7294916666666</v>
      </c>
      <c r="AI66" s="29">
        <v>4500</v>
      </c>
      <c r="AJ66" s="29">
        <f>IFERROR('11-2025'!$Z66+'11-2025'!$AB66+'11-2025'!$AD66+'11-2025'!$AF66+'11-2025'!$AH66+'11-2025'!$AI66,"")</f>
        <v>5366.6462583333332</v>
      </c>
      <c r="AK66" s="30">
        <f>IFERROR('11-2025'!$W66-'11-2025'!$AJ66,"")</f>
        <v>750.85674166666649</v>
      </c>
      <c r="AL66" s="31"/>
      <c r="AM66" s="31">
        <v>2400</v>
      </c>
      <c r="AN66" s="31"/>
      <c r="AO66" s="31">
        <v>220</v>
      </c>
      <c r="AP66" s="31"/>
      <c r="AQ66" s="31"/>
      <c r="AR66" s="31">
        <v>0</v>
      </c>
      <c r="AS66" s="31">
        <v>0</v>
      </c>
      <c r="AT66" s="31">
        <v>0</v>
      </c>
      <c r="AU66" s="31">
        <v>0</v>
      </c>
      <c r="AV66" s="31">
        <v>9099.8606249999993</v>
      </c>
      <c r="AW66" s="31">
        <v>0</v>
      </c>
      <c r="AX66" s="31">
        <v>0</v>
      </c>
      <c r="AY66" s="31">
        <v>0</v>
      </c>
      <c r="AZ66" s="31">
        <v>0</v>
      </c>
      <c r="BA66" s="31">
        <v>0</v>
      </c>
      <c r="BB66" s="31">
        <v>0</v>
      </c>
      <c r="BC66" s="31">
        <v>0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2">
        <f t="shared" si="11"/>
        <v>9099.8606249999993</v>
      </c>
      <c r="BK66" s="41">
        <f>BJ66+AM66+AL66+'11-2025'!$N66+AN66+AO66</f>
        <v>18594.030624999999</v>
      </c>
      <c r="BL66" s="34">
        <f>'11-2025'!$O66</f>
        <v>5750</v>
      </c>
      <c r="BM66" s="34">
        <f t="shared" ref="BM66:BM129" si="12">BL66*18.75%</f>
        <v>1078.125</v>
      </c>
      <c r="BN66" s="34">
        <f t="shared" ref="BN66:BN129" si="13">BL66*11%</f>
        <v>632.5</v>
      </c>
      <c r="BO66" s="34">
        <f t="shared" si="8"/>
        <v>1666.6666666666667</v>
      </c>
      <c r="BP66" s="35">
        <f t="shared" ref="BP66:BP129" si="14">IF(BK66-BN66-BO66&lt;0,0,BK66-BN66-BO66)</f>
        <v>16294.863958333333</v>
      </c>
      <c r="BQ66" s="34">
        <f>IFERROR(BP66/'11-2025'!$J66,0)*12</f>
        <v>195538.36749999999</v>
      </c>
      <c r="BR66" s="34">
        <f>IF(BQ66&lt;=40000,0,
IF(BQ66&lt;=55000,(BQ66-40000)*10%,
IF(BQ66&lt;=70000,(BQ66-55000)*15%+1500,
IF(BQ66&lt;=200000,(BQ66-70000)*20%+1500+2250,
IF(BQ66&lt;=400000,(BQ66-200000)*22.5%+1500+2250+26000,
IF(BQ66&lt;=600000,(BQ66-400000)*25%+1500+2250+26000+45000,
IF(AND(BQ66&gt;600000,BQ66&lt;=1200000),(BQ66-400000)*25%+1500+2250+26000+45000
+IFERROR(LOOKUP(BQ66,{600001;700001;800001;900001},{4000;6750;10250;15250}),0),IF(BQ66&gt;1200000,((BQ66-1200000)*27.5%)+300000,0)
)))))))</f>
        <v>28857.673500000001</v>
      </c>
      <c r="BS66" s="32">
        <f>(BR66/12*'11-2025'!$J66)</f>
        <v>2404.8061250000001</v>
      </c>
      <c r="BT66" s="33">
        <f>BS66-'11-2025'!$V66</f>
        <v>2280.6391250000001</v>
      </c>
      <c r="BU66" s="32">
        <f>IFERROR(+'11-2025'!$W66+AL66+AM66+BJ66-'11-2025'!$AJ66-BT66+AN66+AO66,"")-AL66+AP66+AQ66</f>
        <v>10190.078241666664</v>
      </c>
      <c r="BV66" s="36" t="s">
        <v>426</v>
      </c>
      <c r="BW66" s="37"/>
      <c r="BX66" s="37">
        <f t="shared" si="10"/>
        <v>10190.078241666664</v>
      </c>
      <c r="BY66" s="104" t="s">
        <v>75</v>
      </c>
    </row>
    <row r="67" spans="1:78" x14ac:dyDescent="0.25">
      <c r="A67" s="21">
        <v>531</v>
      </c>
      <c r="B67" s="22" t="s">
        <v>171</v>
      </c>
      <c r="C67" s="22" t="s">
        <v>71</v>
      </c>
      <c r="D67" s="22" t="s">
        <v>72</v>
      </c>
      <c r="E67" s="22" t="s">
        <v>82</v>
      </c>
      <c r="F67" s="22" t="s">
        <v>133</v>
      </c>
      <c r="G67" s="23">
        <v>45804</v>
      </c>
      <c r="H67" s="22"/>
      <c r="I67" s="24">
        <v>30409012110944</v>
      </c>
      <c r="J67" s="25">
        <v>1</v>
      </c>
      <c r="K67" s="25">
        <v>2800</v>
      </c>
      <c r="L67" s="25"/>
      <c r="M67" s="26"/>
      <c r="N67" s="25">
        <f>SUM('11-2025'!$K67:$M67)</f>
        <v>2800</v>
      </c>
      <c r="O67" s="25">
        <v>2500</v>
      </c>
      <c r="P67" s="25">
        <f t="shared" ref="P67:P130" si="15">O67*18.75%</f>
        <v>468.75</v>
      </c>
      <c r="Q67" s="25">
        <f t="shared" ref="Q67:Q130" si="16">O67*11%</f>
        <v>275</v>
      </c>
      <c r="R67" s="25">
        <v>1666.6666666666667</v>
      </c>
      <c r="S67" s="27">
        <f t="shared" ref="S67:S130" si="17">IF(N67-Q67-R67&lt;0,0,N67-Q67-R67)</f>
        <v>858.33333333333326</v>
      </c>
      <c r="T67" s="25">
        <f t="shared" ref="T67:T130" si="18">IFERROR(S67/J67,0)*12</f>
        <v>10300</v>
      </c>
      <c r="U67" s="25">
        <f>IF(T67&lt;=40000,0,
IF(T67&lt;=55000,(T67-40000)*10%,
IF(T67&lt;=70000,(T67-55000)*15%+1500,
IF(T67&lt;=200000,(T67-70000)*20%+1500+2250,
IF(T67&lt;=400000,(T67-200000)*22.5%+1500+2250+26000,
IF(T67&lt;=600000,(T67-400000)*25%+1500+2250+26000+45000,
IF(AND(T67&gt;600000,T67&lt;=1200000),(T67-400000)*25%+1500+2250+26000+45000
+IFERROR(LOOKUP(T67,{600001;700001;800001;900001},{4000;6750;10250;15250}),0),IF(T67&gt;1200000,((T67-1200000)*27.5%)+300000,0)
)))))))</f>
        <v>0</v>
      </c>
      <c r="V67" s="25">
        <f t="shared" ref="V67:V130" si="19">U67/12*J67</f>
        <v>0</v>
      </c>
      <c r="W67" s="28">
        <f>+'11-2025'!$S67-'11-2025'!$V67+'11-2025'!$R67</f>
        <v>2525</v>
      </c>
      <c r="X67" s="28">
        <f t="shared" ref="X67:X130" si="20">IFERROR(W67/30,"")</f>
        <v>84.166666666666671</v>
      </c>
      <c r="Y67" s="29">
        <v>0</v>
      </c>
      <c r="Z67" s="29">
        <f>IFERROR(+'11-2025'!$X67*'11-2025'!$Y67,"")</f>
        <v>0</v>
      </c>
      <c r="AA67" s="29">
        <v>0</v>
      </c>
      <c r="AB67" s="29">
        <f>IFERROR(+'11-2025'!$X67*'11-2025'!$AA67,"")</f>
        <v>0</v>
      </c>
      <c r="AC67" s="29">
        <v>0</v>
      </c>
      <c r="AD67" s="29">
        <f>IFERROR(+'11-2025'!$X67*'11-2025'!$AC67,"")</f>
        <v>0</v>
      </c>
      <c r="AE67" s="29">
        <v>0</v>
      </c>
      <c r="AF67" s="29">
        <f>IFERROR(+'11-2025'!$X67*'11-2025'!$AE67,"")</f>
        <v>0</v>
      </c>
      <c r="AG67" s="29">
        <v>0</v>
      </c>
      <c r="AH67" s="29">
        <f>IFERROR(+'11-2025'!$X67*'11-2025'!$AG67,"")</f>
        <v>0</v>
      </c>
      <c r="AI67" s="29">
        <v>0</v>
      </c>
      <c r="AJ67" s="29">
        <f>IFERROR('11-2025'!$Z67+'11-2025'!$AB67+'11-2025'!$AD67+'11-2025'!$AF67+'11-2025'!$AH67+'11-2025'!$AI67,"")</f>
        <v>0</v>
      </c>
      <c r="AK67" s="30">
        <f>IFERROR('11-2025'!$W67-'11-2025'!$AJ67,"")</f>
        <v>2525</v>
      </c>
      <c r="AL67" s="31"/>
      <c r="AM67" s="31"/>
      <c r="AN67" s="31"/>
      <c r="AO67" s="31">
        <v>0</v>
      </c>
      <c r="AP67" s="31"/>
      <c r="AQ67" s="31"/>
      <c r="AR67" s="31">
        <v>0</v>
      </c>
      <c r="AS67" s="31">
        <v>0</v>
      </c>
      <c r="AT67" s="31">
        <v>0</v>
      </c>
      <c r="AU67" s="31">
        <v>844.33492499999988</v>
      </c>
      <c r="AV67" s="31">
        <v>0</v>
      </c>
      <c r="AW67" s="31">
        <v>0</v>
      </c>
      <c r="AX67" s="31">
        <v>0</v>
      </c>
      <c r="AY67" s="31">
        <v>0</v>
      </c>
      <c r="AZ67" s="31">
        <v>0</v>
      </c>
      <c r="BA67" s="31">
        <v>0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  <c r="BJ67" s="32">
        <f t="shared" si="11"/>
        <v>844.33492499999988</v>
      </c>
      <c r="BK67" s="41">
        <f>BJ67+AM67+AL67+'11-2025'!$N67+AN67+AO67</f>
        <v>3644.3349250000001</v>
      </c>
      <c r="BL67" s="34">
        <f>'11-2025'!$O67</f>
        <v>2500</v>
      </c>
      <c r="BM67" s="34">
        <f t="shared" si="12"/>
        <v>468.75</v>
      </c>
      <c r="BN67" s="34">
        <f t="shared" si="13"/>
        <v>275</v>
      </c>
      <c r="BO67" s="34">
        <f t="shared" ref="BO67:BO130" si="21">+R67</f>
        <v>1666.6666666666667</v>
      </c>
      <c r="BP67" s="35">
        <f t="shared" si="14"/>
        <v>1702.6682583333334</v>
      </c>
      <c r="BQ67" s="34">
        <f>IFERROR(BP67/'11-2025'!$J67,0)*12</f>
        <v>20432.019100000001</v>
      </c>
      <c r="BR67" s="34">
        <f>IF(BQ67&lt;=40000,0,
IF(BQ67&lt;=55000,(BQ67-40000)*10%,
IF(BQ67&lt;=70000,(BQ67-55000)*15%+1500,
IF(BQ67&lt;=200000,(BQ67-70000)*20%+1500+2250,
IF(BQ67&lt;=400000,(BQ67-200000)*22.5%+1500+2250+26000,
IF(BQ67&lt;=600000,(BQ67-400000)*25%+1500+2250+26000+45000,
IF(AND(BQ67&gt;600000,BQ67&lt;=1200000),(BQ67-400000)*25%+1500+2250+26000+45000
+IFERROR(LOOKUP(BQ67,{600001;700001;800001;900001},{4000;6750;10250;15250}),0),IF(BQ67&gt;1200000,((BQ67-1200000)*27.5%)+300000,0)
)))))))</f>
        <v>0</v>
      </c>
      <c r="BS67" s="32">
        <f>(BR67/12*'11-2025'!$J67)</f>
        <v>0</v>
      </c>
      <c r="BT67" s="33">
        <f>BS67-'11-2025'!$V67</f>
        <v>0</v>
      </c>
      <c r="BU67" s="32">
        <f>IFERROR(+'11-2025'!$W67+AL67+AM67+BJ67-'11-2025'!$AJ67-BT67+AN67+AO67,"")-AL67+AP67+AQ67</f>
        <v>3369.3349250000001</v>
      </c>
      <c r="BV67" s="36"/>
      <c r="BW67" s="37"/>
      <c r="BX67" s="37">
        <f t="shared" ref="BX67:BX130" si="22">+BU67-BW67</f>
        <v>3369.3349250000001</v>
      </c>
      <c r="BY67" s="37"/>
    </row>
    <row r="68" spans="1:78" x14ac:dyDescent="0.25">
      <c r="A68" s="21">
        <v>541</v>
      </c>
      <c r="B68" s="22" t="s">
        <v>172</v>
      </c>
      <c r="C68" s="22" t="s">
        <v>106</v>
      </c>
      <c r="D68" s="22" t="s">
        <v>72</v>
      </c>
      <c r="E68" s="22" t="s">
        <v>110</v>
      </c>
      <c r="F68" s="22" t="s">
        <v>102</v>
      </c>
      <c r="G68" s="23">
        <v>45651</v>
      </c>
      <c r="H68" s="22"/>
      <c r="I68" s="24">
        <v>29403301201521</v>
      </c>
      <c r="J68" s="25">
        <v>1</v>
      </c>
      <c r="K68" s="25">
        <v>2500</v>
      </c>
      <c r="L68" s="25"/>
      <c r="M68" s="26"/>
      <c r="N68" s="25">
        <f>SUM('11-2025'!$K68:$M68)</f>
        <v>2500</v>
      </c>
      <c r="O68" s="25">
        <v>0</v>
      </c>
      <c r="P68" s="25">
        <f t="shared" si="15"/>
        <v>0</v>
      </c>
      <c r="Q68" s="25">
        <f t="shared" si="16"/>
        <v>0</v>
      </c>
      <c r="R68" s="25">
        <v>1666.6666666666667</v>
      </c>
      <c r="S68" s="27">
        <f t="shared" si="17"/>
        <v>833.33333333333326</v>
      </c>
      <c r="T68" s="25">
        <f t="shared" si="18"/>
        <v>10000</v>
      </c>
      <c r="U68" s="25">
        <f>IF(T68&lt;=40000,0,
IF(T68&lt;=55000,(T68-40000)*10%,
IF(T68&lt;=70000,(T68-55000)*15%+1500,
IF(T68&lt;=200000,(T68-70000)*20%+1500+2250,
IF(T68&lt;=400000,(T68-200000)*22.5%+1500+2250+26000,
IF(T68&lt;=600000,(T68-400000)*25%+1500+2250+26000+45000,
IF(AND(T68&gt;600000,T68&lt;=1200000),(T68-400000)*25%+1500+2250+26000+45000
+IFERROR(LOOKUP(T68,{600001;700001;800001;900001},{4000;6750;10250;15250}),0),IF(T68&gt;1200000,((T68-1200000)*27.5%)+300000,0)
)))))))</f>
        <v>0</v>
      </c>
      <c r="V68" s="25">
        <f t="shared" si="19"/>
        <v>0</v>
      </c>
      <c r="W68" s="28">
        <f>+'11-2025'!$S68-'11-2025'!$V68+'11-2025'!$R68</f>
        <v>2500</v>
      </c>
      <c r="X68" s="28">
        <f t="shared" si="20"/>
        <v>83.333333333333329</v>
      </c>
      <c r="Y68" s="29">
        <v>0</v>
      </c>
      <c r="Z68" s="29">
        <f>IFERROR(+'11-2025'!$X68*'11-2025'!$Y68,"")</f>
        <v>0</v>
      </c>
      <c r="AA68" s="29">
        <v>0</v>
      </c>
      <c r="AB68" s="29">
        <f>IFERROR(+'11-2025'!$X68*'11-2025'!$AA68,"")</f>
        <v>0</v>
      </c>
      <c r="AC68" s="29">
        <v>0</v>
      </c>
      <c r="AD68" s="29">
        <f>IFERROR(+'11-2025'!$X68*'11-2025'!$AC68,"")</f>
        <v>0</v>
      </c>
      <c r="AE68" s="29">
        <v>0</v>
      </c>
      <c r="AF68" s="29">
        <f>IFERROR(+'11-2025'!$X68*'11-2025'!$AE68,"")</f>
        <v>0</v>
      </c>
      <c r="AG68" s="29">
        <v>0</v>
      </c>
      <c r="AH68" s="29">
        <f>IFERROR(+'11-2025'!$X68*'11-2025'!$AG68,"")</f>
        <v>0</v>
      </c>
      <c r="AI68" s="29">
        <v>0</v>
      </c>
      <c r="AJ68" s="29">
        <f>IFERROR('11-2025'!$Z68+'11-2025'!$AB68+'11-2025'!$AD68+'11-2025'!$AF68+'11-2025'!$AH68+'11-2025'!$AI68,"")</f>
        <v>0</v>
      </c>
      <c r="AK68" s="30">
        <f>IFERROR('11-2025'!$W68-'11-2025'!$AJ68,"")</f>
        <v>2500</v>
      </c>
      <c r="AL68" s="31"/>
      <c r="AM68" s="31"/>
      <c r="AN68" s="31"/>
      <c r="AO68" s="31">
        <v>20</v>
      </c>
      <c r="AP68" s="31"/>
      <c r="AQ68" s="31"/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1">
        <v>0</v>
      </c>
      <c r="AY68" s="31">
        <v>0</v>
      </c>
      <c r="AZ68" s="31">
        <v>0</v>
      </c>
      <c r="BA68" s="31">
        <v>0</v>
      </c>
      <c r="BB68" s="31">
        <v>0</v>
      </c>
      <c r="BC68" s="31">
        <v>0</v>
      </c>
      <c r="BD68" s="31">
        <v>0</v>
      </c>
      <c r="BE68" s="31">
        <v>1806.4124999999999</v>
      </c>
      <c r="BF68" s="31">
        <v>0</v>
      </c>
      <c r="BG68" s="31">
        <v>0</v>
      </c>
      <c r="BH68" s="31">
        <v>0</v>
      </c>
      <c r="BI68" s="31">
        <v>0</v>
      </c>
      <c r="BJ68" s="32">
        <f t="shared" ref="BJ68:BJ131" si="23">BD68+BC68+BB68+BA68+AZ68+AY68+AX68+AW68+AV68+AU68+AT68+AS68+AR68+BE68+BF68+BG68+BH68+BI68</f>
        <v>1806.4124999999999</v>
      </c>
      <c r="BK68" s="41">
        <f>BJ68+AM68+AL68+'11-2025'!$N68+AN68+AO68</f>
        <v>4326.4125000000004</v>
      </c>
      <c r="BL68" s="34">
        <f>'11-2025'!$O68</f>
        <v>0</v>
      </c>
      <c r="BM68" s="34">
        <f t="shared" si="12"/>
        <v>0</v>
      </c>
      <c r="BN68" s="34">
        <f t="shared" si="13"/>
        <v>0</v>
      </c>
      <c r="BO68" s="34">
        <f t="shared" si="21"/>
        <v>1666.6666666666667</v>
      </c>
      <c r="BP68" s="35">
        <f t="shared" si="14"/>
        <v>2659.7458333333334</v>
      </c>
      <c r="BQ68" s="34">
        <f>IFERROR(BP68/'11-2025'!$J68,0)*12</f>
        <v>31916.95</v>
      </c>
      <c r="BR68" s="34">
        <f>IF(BQ68&lt;=40000,0,
IF(BQ68&lt;=55000,(BQ68-40000)*10%,
IF(BQ68&lt;=70000,(BQ68-55000)*15%+1500,
IF(BQ68&lt;=200000,(BQ68-70000)*20%+1500+2250,
IF(BQ68&lt;=400000,(BQ68-200000)*22.5%+1500+2250+26000,
IF(BQ68&lt;=600000,(BQ68-400000)*25%+1500+2250+26000+45000,
IF(AND(BQ68&gt;600000,BQ68&lt;=1200000),(BQ68-400000)*25%+1500+2250+26000+45000
+IFERROR(LOOKUP(BQ68,{600001;700001;800001;900001},{4000;6750;10250;15250}),0),IF(BQ68&gt;1200000,((BQ68-1200000)*27.5%)+300000,0)
)))))))</f>
        <v>0</v>
      </c>
      <c r="BS68" s="32">
        <f>(BR68/12*'11-2025'!$J68)</f>
        <v>0</v>
      </c>
      <c r="BT68" s="33">
        <f>BS68-'11-2025'!$V68</f>
        <v>0</v>
      </c>
      <c r="BU68" s="32">
        <f>IFERROR(+'11-2025'!$W68+AL68+AM68+BJ68-'11-2025'!$AJ68-BT68+AN68+AO68,"")-AL68+AP68+AQ68</f>
        <v>4326.4125000000004</v>
      </c>
      <c r="BV68" s="36"/>
      <c r="BW68" s="37"/>
      <c r="BX68" s="37">
        <f t="shared" si="22"/>
        <v>4326.4125000000004</v>
      </c>
      <c r="BY68" s="37"/>
      <c r="BZ68" s="59"/>
    </row>
    <row r="69" spans="1:78" x14ac:dyDescent="0.25">
      <c r="A69" s="21">
        <v>544</v>
      </c>
      <c r="B69" s="22" t="s">
        <v>173</v>
      </c>
      <c r="C69" s="22" t="s">
        <v>71</v>
      </c>
      <c r="D69" s="22" t="s">
        <v>77</v>
      </c>
      <c r="E69" s="22" t="s">
        <v>78</v>
      </c>
      <c r="F69" s="22" t="s">
        <v>160</v>
      </c>
      <c r="G69" s="23">
        <v>45658</v>
      </c>
      <c r="H69" s="22"/>
      <c r="I69" s="24">
        <v>29509201400651</v>
      </c>
      <c r="J69" s="25">
        <v>1</v>
      </c>
      <c r="K69" s="25">
        <v>4995</v>
      </c>
      <c r="L69" s="25"/>
      <c r="M69" s="26"/>
      <c r="N69" s="25">
        <f>SUM('11-2025'!$K69:$M69)</f>
        <v>4995</v>
      </c>
      <c r="O69" s="25">
        <v>4500</v>
      </c>
      <c r="P69" s="25">
        <f t="shared" si="15"/>
        <v>843.75</v>
      </c>
      <c r="Q69" s="25">
        <f t="shared" si="16"/>
        <v>495</v>
      </c>
      <c r="R69" s="25">
        <v>1666.6666666666667</v>
      </c>
      <c r="S69" s="27">
        <f t="shared" si="17"/>
        <v>2833.333333333333</v>
      </c>
      <c r="T69" s="25">
        <f t="shared" si="18"/>
        <v>34000</v>
      </c>
      <c r="U69" s="25">
        <f>IF(T69&lt;=40000,0,
IF(T69&lt;=55000,(T69-40000)*10%,
IF(T69&lt;=70000,(T69-55000)*15%+1500,
IF(T69&lt;=200000,(T69-70000)*20%+1500+2250,
IF(T69&lt;=400000,(T69-200000)*22.5%+1500+2250+26000,
IF(T69&lt;=600000,(T69-400000)*25%+1500+2250+26000+45000,
IF(AND(T69&gt;600000,T69&lt;=1200000),(T69-400000)*25%+1500+2250+26000+45000
+IFERROR(LOOKUP(T69,{600001;700001;800001;900001},{4000;6750;10250;15250}),0),IF(T69&gt;1200000,((T69-1200000)*27.5%)+300000,0)
)))))))</f>
        <v>0</v>
      </c>
      <c r="V69" s="25">
        <f t="shared" si="19"/>
        <v>0</v>
      </c>
      <c r="W69" s="28">
        <f>+'11-2025'!$S69-'11-2025'!$V69+'11-2025'!$R69</f>
        <v>4500</v>
      </c>
      <c r="X69" s="28">
        <f t="shared" si="20"/>
        <v>150</v>
      </c>
      <c r="Y69" s="29">
        <v>0</v>
      </c>
      <c r="Z69" s="29">
        <f>IFERROR(+'11-2025'!$X69*'11-2025'!$Y69,"")</f>
        <v>0</v>
      </c>
      <c r="AA69" s="29">
        <v>0</v>
      </c>
      <c r="AB69" s="29">
        <f>IFERROR(+'11-2025'!$X69*'11-2025'!$AA69,"")</f>
        <v>0</v>
      </c>
      <c r="AC69" s="29">
        <v>0</v>
      </c>
      <c r="AD69" s="29">
        <f>IFERROR(+'11-2025'!$X69*'11-2025'!$AC69,"")</f>
        <v>0</v>
      </c>
      <c r="AE69" s="29">
        <v>0</v>
      </c>
      <c r="AF69" s="29">
        <f>IFERROR(+'11-2025'!$X69*'11-2025'!$AE69,"")</f>
        <v>0</v>
      </c>
      <c r="AG69" s="29">
        <v>2.75</v>
      </c>
      <c r="AH69" s="29">
        <f>IFERROR(+'11-2025'!$X69*'11-2025'!$AG69,"")</f>
        <v>412.5</v>
      </c>
      <c r="AI69" s="29">
        <v>1500</v>
      </c>
      <c r="AJ69" s="29">
        <f>IFERROR('11-2025'!$Z69+'11-2025'!$AB69+'11-2025'!$AD69+'11-2025'!$AF69+'11-2025'!$AH69+'11-2025'!$AI69,"")</f>
        <v>1912.5</v>
      </c>
      <c r="AK69" s="30">
        <f>IFERROR('11-2025'!$W69-'11-2025'!$AJ69,"")</f>
        <v>2587.5</v>
      </c>
      <c r="AL69" s="31"/>
      <c r="AM69" s="31"/>
      <c r="AN69" s="31"/>
      <c r="AO69" s="31">
        <v>40</v>
      </c>
      <c r="AP69" s="31"/>
      <c r="AQ69" s="31"/>
      <c r="AR69" s="31">
        <v>0</v>
      </c>
      <c r="AS69" s="31">
        <v>0</v>
      </c>
      <c r="AT69" s="31">
        <v>0</v>
      </c>
      <c r="AU69" s="31">
        <v>0</v>
      </c>
      <c r="AV69" s="31">
        <v>0</v>
      </c>
      <c r="AW69" s="31">
        <v>0</v>
      </c>
      <c r="AX69" s="31">
        <v>125</v>
      </c>
      <c r="AY69" s="31">
        <v>55</v>
      </c>
      <c r="AZ69" s="31">
        <v>0</v>
      </c>
      <c r="BA69" s="31">
        <v>0</v>
      </c>
      <c r="BB69" s="31">
        <v>75</v>
      </c>
      <c r="BC69" s="31">
        <v>0</v>
      </c>
      <c r="BD69" s="31">
        <v>0</v>
      </c>
      <c r="BE69" s="31">
        <v>0</v>
      </c>
      <c r="BF69" s="31">
        <v>0</v>
      </c>
      <c r="BG69" s="31">
        <v>0</v>
      </c>
      <c r="BH69" s="31">
        <v>0</v>
      </c>
      <c r="BI69" s="31">
        <v>0</v>
      </c>
      <c r="BJ69" s="32">
        <f t="shared" si="23"/>
        <v>255</v>
      </c>
      <c r="BK69" s="41">
        <f>BJ69+AM69+AL69+'11-2025'!$N69+AN69+AO69</f>
        <v>5290</v>
      </c>
      <c r="BL69" s="34">
        <f>'11-2025'!$O69</f>
        <v>4500</v>
      </c>
      <c r="BM69" s="34">
        <f t="shared" si="12"/>
        <v>843.75</v>
      </c>
      <c r="BN69" s="34">
        <f t="shared" si="13"/>
        <v>495</v>
      </c>
      <c r="BO69" s="34">
        <f t="shared" si="21"/>
        <v>1666.6666666666667</v>
      </c>
      <c r="BP69" s="35">
        <f t="shared" si="14"/>
        <v>3128.333333333333</v>
      </c>
      <c r="BQ69" s="34">
        <f>IFERROR(BP69/'11-2025'!$J69,0)*12</f>
        <v>37540</v>
      </c>
      <c r="BR69" s="34">
        <f>IF(BQ69&lt;=40000,0,
IF(BQ69&lt;=55000,(BQ69-40000)*10%,
IF(BQ69&lt;=70000,(BQ69-55000)*15%+1500,
IF(BQ69&lt;=200000,(BQ69-70000)*20%+1500+2250,
IF(BQ69&lt;=400000,(BQ69-200000)*22.5%+1500+2250+26000,
IF(BQ69&lt;=600000,(BQ69-400000)*25%+1500+2250+26000+45000,
IF(AND(BQ69&gt;600000,BQ69&lt;=1200000),(BQ69-400000)*25%+1500+2250+26000+45000
+IFERROR(LOOKUP(BQ69,{600001;700001;800001;900001},{4000;6750;10250;15250}),0),IF(BQ69&gt;1200000,((BQ69-1200000)*27.5%)+300000,0)
)))))))</f>
        <v>0</v>
      </c>
      <c r="BS69" s="32">
        <f>(BR69/12*'11-2025'!$J69)</f>
        <v>0</v>
      </c>
      <c r="BT69" s="33">
        <f>BS69-'11-2025'!$V69</f>
        <v>0</v>
      </c>
      <c r="BU69" s="32">
        <f>IFERROR(+'11-2025'!$W69+AL69+AM69+BJ69-'11-2025'!$AJ69-BT69+AN69+AO69,"")-AL69+AP69+AQ69</f>
        <v>2882.5</v>
      </c>
      <c r="BV69" s="36"/>
      <c r="BW69" s="37"/>
      <c r="BX69" s="37">
        <f t="shared" si="22"/>
        <v>2882.5</v>
      </c>
      <c r="BY69" s="37"/>
      <c r="BZ69" s="59"/>
    </row>
    <row r="70" spans="1:78" s="75" customFormat="1" x14ac:dyDescent="0.25">
      <c r="A70" s="38">
        <v>545</v>
      </c>
      <c r="B70" s="40" t="s">
        <v>174</v>
      </c>
      <c r="C70" s="40" t="s">
        <v>71</v>
      </c>
      <c r="D70" s="40" t="s">
        <v>77</v>
      </c>
      <c r="E70" s="40" t="s">
        <v>78</v>
      </c>
      <c r="F70" s="40" t="s">
        <v>160</v>
      </c>
      <c r="G70" s="61">
        <v>45658</v>
      </c>
      <c r="H70" s="61" t="s">
        <v>175</v>
      </c>
      <c r="I70" s="62">
        <v>29506030102894</v>
      </c>
      <c r="J70" s="63">
        <v>1</v>
      </c>
      <c r="K70" s="63">
        <v>5550</v>
      </c>
      <c r="L70" s="63"/>
      <c r="M70" s="64"/>
      <c r="N70" s="63">
        <f>SUM('11-2025'!$K70:$M70)</f>
        <v>5550</v>
      </c>
      <c r="O70" s="63">
        <v>5000</v>
      </c>
      <c r="P70" s="63">
        <f t="shared" si="15"/>
        <v>937.5</v>
      </c>
      <c r="Q70" s="63">
        <f t="shared" si="16"/>
        <v>550</v>
      </c>
      <c r="R70" s="63">
        <v>1666.6666666666667</v>
      </c>
      <c r="S70" s="65">
        <f t="shared" si="17"/>
        <v>3333.333333333333</v>
      </c>
      <c r="T70" s="63">
        <f t="shared" si="18"/>
        <v>40000</v>
      </c>
      <c r="U70" s="63">
        <f>IF(T70&lt;=40000,0,
IF(T70&lt;=55000,(T70-40000)*10%,
IF(T70&lt;=70000,(T70-55000)*15%+1500,
IF(T70&lt;=200000,(T70-70000)*20%+1500+2250,
IF(T70&lt;=400000,(T70-200000)*22.5%+1500+2250+26000,
IF(T70&lt;=600000,(T70-400000)*25%+1500+2250+26000+45000,
IF(AND(T70&gt;600000,T70&lt;=1200000),(T70-400000)*25%+1500+2250+26000+45000
+IFERROR(LOOKUP(T70,{600001;700001;800001;900001},{4000;6750;10250;15250}),0),IF(T70&gt;1200000,((T70-1200000)*27.5%)+300000,0)
)))))))</f>
        <v>0</v>
      </c>
      <c r="V70" s="63">
        <f t="shared" si="19"/>
        <v>0</v>
      </c>
      <c r="W70" s="66">
        <f>+'11-2025'!$S70-'11-2025'!$V70+'11-2025'!$R70</f>
        <v>5000</v>
      </c>
      <c r="X70" s="66">
        <f t="shared" si="20"/>
        <v>166.66666666666666</v>
      </c>
      <c r="Y70" s="67"/>
      <c r="Z70" s="67">
        <f>IFERROR(+'11-2025'!$X70*'11-2025'!$Y70,"")</f>
        <v>0</v>
      </c>
      <c r="AA70" s="67"/>
      <c r="AB70" s="67">
        <f>IFERROR(+'11-2025'!$X70*'11-2025'!$AA70,"")</f>
        <v>0</v>
      </c>
      <c r="AC70" s="67">
        <v>30</v>
      </c>
      <c r="AD70" s="67">
        <f>IFERROR(+'11-2025'!$X70*'11-2025'!$AC70,"")</f>
        <v>5000</v>
      </c>
      <c r="AE70" s="67"/>
      <c r="AF70" s="67">
        <f>IFERROR(+'11-2025'!$X70*'11-2025'!$AE70,"")</f>
        <v>0</v>
      </c>
      <c r="AG70" s="67"/>
      <c r="AH70" s="67">
        <f>IFERROR(+'11-2025'!$X70*'11-2025'!$AG70,"")</f>
        <v>0</v>
      </c>
      <c r="AI70" s="29">
        <v>0</v>
      </c>
      <c r="AJ70" s="67">
        <f>IFERROR('11-2025'!$Z70+'11-2025'!$AB70+'11-2025'!$AD70+'11-2025'!$AF70+'11-2025'!$AH70+'11-2025'!$AI70,"")</f>
        <v>5000</v>
      </c>
      <c r="AK70" s="68">
        <f>IFERROR('11-2025'!$W70-'11-2025'!$AJ70,"")</f>
        <v>0</v>
      </c>
      <c r="AL70" s="69"/>
      <c r="AM70" s="69"/>
      <c r="AN70" s="69"/>
      <c r="AO70" s="69"/>
      <c r="AP70" s="69"/>
      <c r="AQ70" s="69"/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0</v>
      </c>
      <c r="AY70" s="31">
        <v>0</v>
      </c>
      <c r="AZ70" s="31">
        <v>0</v>
      </c>
      <c r="BA70" s="31">
        <v>0</v>
      </c>
      <c r="BB70" s="31">
        <v>0</v>
      </c>
      <c r="BC70" s="31">
        <v>0</v>
      </c>
      <c r="BD70" s="31">
        <v>0</v>
      </c>
      <c r="BE70" s="31">
        <v>0</v>
      </c>
      <c r="BF70" s="31">
        <v>0</v>
      </c>
      <c r="BG70" s="31">
        <v>0</v>
      </c>
      <c r="BH70" s="31">
        <v>0</v>
      </c>
      <c r="BI70" s="31">
        <v>0</v>
      </c>
      <c r="BJ70" s="39">
        <f t="shared" si="23"/>
        <v>0</v>
      </c>
      <c r="BK70" s="77">
        <f>BJ70+AM70+AL70+'11-2025'!$N70+AN70+AO70</f>
        <v>5550</v>
      </c>
      <c r="BL70" s="71">
        <f>'11-2025'!$O70</f>
        <v>5000</v>
      </c>
      <c r="BM70" s="71">
        <f t="shared" si="12"/>
        <v>937.5</v>
      </c>
      <c r="BN70" s="71">
        <f t="shared" si="13"/>
        <v>550</v>
      </c>
      <c r="BO70" s="71">
        <f t="shared" si="21"/>
        <v>1666.6666666666667</v>
      </c>
      <c r="BP70" s="72">
        <f t="shared" si="14"/>
        <v>3333.333333333333</v>
      </c>
      <c r="BQ70" s="71">
        <f>IFERROR(BP70/'11-2025'!$J70,0)*12</f>
        <v>40000</v>
      </c>
      <c r="BR70" s="71">
        <f>IF(BQ70&lt;=40000,0,
IF(BQ70&lt;=55000,(BQ70-40000)*10%,
IF(BQ70&lt;=70000,(BQ70-55000)*15%+1500,
IF(BQ70&lt;=200000,(BQ70-70000)*20%+1500+2250,
IF(BQ70&lt;=400000,(BQ70-200000)*22.5%+1500+2250+26000,
IF(BQ70&lt;=600000,(BQ70-400000)*25%+1500+2250+26000+45000,
IF(AND(BQ70&gt;600000,BQ70&lt;=1200000),(BQ70-400000)*25%+1500+2250+26000+45000
+IFERROR(LOOKUP(BQ70,{600001;700001;800001;900001},{4000;6750;10250;15250}),0),IF(BQ70&gt;1200000,((BQ70-1200000)*27.5%)+300000,0)
)))))))</f>
        <v>0</v>
      </c>
      <c r="BS70" s="39">
        <f>(BR70/12*'11-2025'!$J70)</f>
        <v>0</v>
      </c>
      <c r="BT70" s="70">
        <f>BS70-'11-2025'!$V70</f>
        <v>0</v>
      </c>
      <c r="BU70" s="39">
        <f>IFERROR(+'11-2025'!$W70+AL70+AM70+BJ70-'11-2025'!$AJ70-BT70+AN70+AO70,"")-AL70+AP70+AQ70</f>
        <v>0</v>
      </c>
      <c r="BV70" s="73"/>
      <c r="BW70" s="74"/>
      <c r="BX70" s="74">
        <f t="shared" si="22"/>
        <v>0</v>
      </c>
      <c r="BY70" s="74"/>
    </row>
    <row r="71" spans="1:78" s="75" customFormat="1" x14ac:dyDescent="0.25">
      <c r="A71" s="38">
        <v>552</v>
      </c>
      <c r="B71" s="40" t="s">
        <v>176</v>
      </c>
      <c r="C71" s="40" t="s">
        <v>106</v>
      </c>
      <c r="D71" s="40" t="s">
        <v>72</v>
      </c>
      <c r="E71" s="40" t="s">
        <v>82</v>
      </c>
      <c r="F71" s="40" t="s">
        <v>102</v>
      </c>
      <c r="G71" s="61">
        <v>45662</v>
      </c>
      <c r="H71" s="61">
        <v>45901</v>
      </c>
      <c r="I71" s="62">
        <v>30103231201201</v>
      </c>
      <c r="J71" s="63">
        <v>1</v>
      </c>
      <c r="K71" s="63">
        <v>2500</v>
      </c>
      <c r="L71" s="63"/>
      <c r="M71" s="64"/>
      <c r="N71" s="63">
        <f>SUM('11-2025'!$K71:$M71)</f>
        <v>2500</v>
      </c>
      <c r="O71" s="63">
        <v>2500</v>
      </c>
      <c r="P71" s="63">
        <f t="shared" si="15"/>
        <v>468.75</v>
      </c>
      <c r="Q71" s="63">
        <f t="shared" si="16"/>
        <v>275</v>
      </c>
      <c r="R71" s="63">
        <v>1666.6666666666667</v>
      </c>
      <c r="S71" s="65">
        <f t="shared" si="17"/>
        <v>558.33333333333326</v>
      </c>
      <c r="T71" s="63">
        <f t="shared" si="18"/>
        <v>6699.9999999999991</v>
      </c>
      <c r="U71" s="63">
        <f>IF(T71&lt;=40000,0,
IF(T71&lt;=55000,(T71-40000)*10%,
IF(T71&lt;=70000,(T71-55000)*15%+1500,
IF(T71&lt;=200000,(T71-70000)*20%+1500+2250,
IF(T71&lt;=400000,(T71-200000)*22.5%+1500+2250+26000,
IF(T71&lt;=600000,(T71-400000)*25%+1500+2250+26000+45000,
IF(AND(T71&gt;600000,T71&lt;=1200000),(T71-400000)*25%+1500+2250+26000+45000
+IFERROR(LOOKUP(T71,{600001;700001;800001;900001},{4000;6750;10250;15250}),0),IF(T71&gt;1200000,((T71-1200000)*27.5%)+300000,0)
)))))))</f>
        <v>0</v>
      </c>
      <c r="V71" s="63">
        <f t="shared" si="19"/>
        <v>0</v>
      </c>
      <c r="W71" s="66">
        <f>+'11-2025'!$S71-'11-2025'!$V71+'11-2025'!$R71</f>
        <v>2225</v>
      </c>
      <c r="X71" s="66">
        <f t="shared" si="20"/>
        <v>74.166666666666671</v>
      </c>
      <c r="Y71" s="67"/>
      <c r="Z71" s="67">
        <f>IFERROR(+'11-2025'!$X71*'11-2025'!$Y71,"")</f>
        <v>0</v>
      </c>
      <c r="AA71" s="67"/>
      <c r="AB71" s="67">
        <f>IFERROR(+'11-2025'!$X71*'11-2025'!$AA71,"")</f>
        <v>0</v>
      </c>
      <c r="AC71" s="67">
        <v>30</v>
      </c>
      <c r="AD71" s="67">
        <f>IFERROR(+'11-2025'!$X71*'11-2025'!$AC71,"")</f>
        <v>2225</v>
      </c>
      <c r="AE71" s="67"/>
      <c r="AF71" s="67">
        <f>IFERROR(+'11-2025'!$X71*'11-2025'!$AE71,"")</f>
        <v>0</v>
      </c>
      <c r="AG71" s="67"/>
      <c r="AH71" s="67">
        <f>IFERROR(+'11-2025'!$X71*'11-2025'!$AG71,"")</f>
        <v>0</v>
      </c>
      <c r="AI71" s="29">
        <v>0</v>
      </c>
      <c r="AJ71" s="67">
        <f>IFERROR('11-2025'!$Z71+'11-2025'!$AB71+'11-2025'!$AD71+'11-2025'!$AF71+'11-2025'!$AH71+'11-2025'!$AI71,"")</f>
        <v>2225</v>
      </c>
      <c r="AK71" s="68">
        <f>IFERROR('11-2025'!$W71-'11-2025'!$AJ71,"")</f>
        <v>0</v>
      </c>
      <c r="AL71" s="69"/>
      <c r="AM71" s="69"/>
      <c r="AN71" s="69"/>
      <c r="AO71" s="69"/>
      <c r="AP71" s="69"/>
      <c r="AQ71" s="69"/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1">
        <v>0</v>
      </c>
      <c r="AZ71" s="31">
        <v>0</v>
      </c>
      <c r="BA71" s="31">
        <v>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9">
        <f t="shared" si="23"/>
        <v>0</v>
      </c>
      <c r="BK71" s="77">
        <f>BJ71+AM71+AL71+'11-2025'!$N71+AN71+AO71</f>
        <v>2500</v>
      </c>
      <c r="BL71" s="71">
        <f>'11-2025'!$O71</f>
        <v>2500</v>
      </c>
      <c r="BM71" s="71">
        <f t="shared" si="12"/>
        <v>468.75</v>
      </c>
      <c r="BN71" s="71">
        <f t="shared" si="13"/>
        <v>275</v>
      </c>
      <c r="BO71" s="71">
        <f t="shared" si="21"/>
        <v>1666.6666666666667</v>
      </c>
      <c r="BP71" s="72">
        <f t="shared" si="14"/>
        <v>558.33333333333326</v>
      </c>
      <c r="BQ71" s="71">
        <f>IFERROR(BP71/'11-2025'!$J71,0)*12</f>
        <v>6699.9999999999991</v>
      </c>
      <c r="BR71" s="71">
        <f>IF(BQ71&lt;=40000,0,
IF(BQ71&lt;=55000,(BQ71-40000)*10%,
IF(BQ71&lt;=70000,(BQ71-55000)*15%+1500,
IF(BQ71&lt;=200000,(BQ71-70000)*20%+1500+2250,
IF(BQ71&lt;=400000,(BQ71-200000)*22.5%+1500+2250+26000,
IF(BQ71&lt;=600000,(BQ71-400000)*25%+1500+2250+26000+45000,
IF(AND(BQ71&gt;600000,BQ71&lt;=1200000),(BQ71-400000)*25%+1500+2250+26000+45000
+IFERROR(LOOKUP(BQ71,{600001;700001;800001;900001},{4000;6750;10250;15250}),0),IF(BQ71&gt;1200000,((BQ71-1200000)*27.5%)+300000,0)
)))))))</f>
        <v>0</v>
      </c>
      <c r="BS71" s="39">
        <f>(BR71/12*'11-2025'!$J71)</f>
        <v>0</v>
      </c>
      <c r="BT71" s="70">
        <f>BS71-'11-2025'!$V71</f>
        <v>0</v>
      </c>
      <c r="BU71" s="39">
        <f>IFERROR(+'11-2025'!$W71+AL71+AM71+BJ71-'11-2025'!$AJ71-BT71+AN71+AO71,"")-AL71+AP71+AQ71</f>
        <v>0</v>
      </c>
      <c r="BV71" s="73"/>
      <c r="BW71" s="74"/>
      <c r="BX71" s="74">
        <f t="shared" si="22"/>
        <v>0</v>
      </c>
      <c r="BY71" s="74"/>
    </row>
    <row r="72" spans="1:78" x14ac:dyDescent="0.25">
      <c r="A72" s="21">
        <v>554</v>
      </c>
      <c r="B72" s="22" t="s">
        <v>177</v>
      </c>
      <c r="C72" s="22" t="s">
        <v>106</v>
      </c>
      <c r="D72" s="22" t="s">
        <v>72</v>
      </c>
      <c r="E72" s="22" t="s">
        <v>110</v>
      </c>
      <c r="F72" s="22" t="s">
        <v>160</v>
      </c>
      <c r="G72" s="23">
        <v>45818</v>
      </c>
      <c r="H72" s="22"/>
      <c r="I72" s="24">
        <v>30201271201842</v>
      </c>
      <c r="J72" s="25">
        <v>1</v>
      </c>
      <c r="K72" s="25">
        <v>2500</v>
      </c>
      <c r="L72" s="25"/>
      <c r="M72" s="26"/>
      <c r="N72" s="25">
        <f>SUM('11-2025'!$K72:$M72)</f>
        <v>2500</v>
      </c>
      <c r="O72" s="25">
        <v>2500</v>
      </c>
      <c r="P72" s="25">
        <f t="shared" si="15"/>
        <v>468.75</v>
      </c>
      <c r="Q72" s="25">
        <f t="shared" si="16"/>
        <v>275</v>
      </c>
      <c r="R72" s="25">
        <v>1666.6666666666667</v>
      </c>
      <c r="S72" s="27">
        <f t="shared" si="17"/>
        <v>558.33333333333326</v>
      </c>
      <c r="T72" s="25">
        <f t="shared" si="18"/>
        <v>6699.9999999999991</v>
      </c>
      <c r="U72" s="25">
        <f>IF(T72&lt;=40000,0,
IF(T72&lt;=55000,(T72-40000)*10%,
IF(T72&lt;=70000,(T72-55000)*15%+1500,
IF(T72&lt;=200000,(T72-70000)*20%+1500+2250,
IF(T72&lt;=400000,(T72-200000)*22.5%+1500+2250+26000,
IF(T72&lt;=600000,(T72-400000)*25%+1500+2250+26000+45000,
IF(AND(T72&gt;600000,T72&lt;=1200000),(T72-400000)*25%+1500+2250+26000+45000
+IFERROR(LOOKUP(T72,{600001;700001;800001;900001},{4000;6750;10250;15250}),0),IF(T72&gt;1200000,((T72-1200000)*27.5%)+300000,0)
)))))))</f>
        <v>0</v>
      </c>
      <c r="V72" s="25">
        <f t="shared" si="19"/>
        <v>0</v>
      </c>
      <c r="W72" s="28">
        <f>+'11-2025'!$S72-'11-2025'!$V72+'11-2025'!$R72</f>
        <v>2225</v>
      </c>
      <c r="X72" s="28">
        <f t="shared" si="20"/>
        <v>74.166666666666671</v>
      </c>
      <c r="Y72" s="29">
        <v>0</v>
      </c>
      <c r="Z72" s="29">
        <f>IFERROR(+'11-2025'!$X72*'11-2025'!$Y72,"")</f>
        <v>0</v>
      </c>
      <c r="AA72" s="29">
        <v>0</v>
      </c>
      <c r="AB72" s="29">
        <f>IFERROR(+'11-2025'!$X72*'11-2025'!$AA72,"")</f>
        <v>0</v>
      </c>
      <c r="AC72" s="29">
        <v>0</v>
      </c>
      <c r="AD72" s="29">
        <f>IFERROR(+'11-2025'!$X72*'11-2025'!$AC72,"")</f>
        <v>0</v>
      </c>
      <c r="AE72" s="29">
        <v>0</v>
      </c>
      <c r="AF72" s="29">
        <f>IFERROR(+'11-2025'!$X72*'11-2025'!$AE72,"")</f>
        <v>0</v>
      </c>
      <c r="AG72" s="29">
        <v>0</v>
      </c>
      <c r="AH72" s="29">
        <f>IFERROR(+'11-2025'!$X72*'11-2025'!$AG72,"")</f>
        <v>0</v>
      </c>
      <c r="AI72" s="29">
        <v>200</v>
      </c>
      <c r="AJ72" s="29">
        <f>IFERROR('11-2025'!$Z72+'11-2025'!$AB72+'11-2025'!$AD72+'11-2025'!$AF72+'11-2025'!$AH72+'11-2025'!$AI72,"")</f>
        <v>200</v>
      </c>
      <c r="AK72" s="30">
        <f>IFERROR('11-2025'!$W72-'11-2025'!$AJ72,"")</f>
        <v>2025</v>
      </c>
      <c r="AL72" s="31"/>
      <c r="AM72" s="31"/>
      <c r="AN72" s="31"/>
      <c r="AO72" s="31">
        <v>0</v>
      </c>
      <c r="AP72" s="31"/>
      <c r="AQ72" s="31"/>
      <c r="AR72" s="31">
        <v>0</v>
      </c>
      <c r="AS72" s="31">
        <v>0</v>
      </c>
      <c r="AT72" s="31">
        <v>0</v>
      </c>
      <c r="AU72" s="31">
        <v>0</v>
      </c>
      <c r="AV72" s="31">
        <v>0</v>
      </c>
      <c r="AW72" s="31">
        <v>0</v>
      </c>
      <c r="AX72" s="31">
        <v>0</v>
      </c>
      <c r="AY72" s="31">
        <v>0</v>
      </c>
      <c r="AZ72" s="31">
        <v>0</v>
      </c>
      <c r="BA72" s="31">
        <v>0</v>
      </c>
      <c r="BB72" s="31">
        <v>0</v>
      </c>
      <c r="BC72" s="31">
        <v>0</v>
      </c>
      <c r="BD72" s="31">
        <v>0</v>
      </c>
      <c r="BE72" s="31">
        <v>818.34749999999997</v>
      </c>
      <c r="BF72" s="31">
        <v>0</v>
      </c>
      <c r="BG72" s="31">
        <v>0</v>
      </c>
      <c r="BH72" s="31">
        <v>0</v>
      </c>
      <c r="BI72" s="31">
        <v>0</v>
      </c>
      <c r="BJ72" s="32">
        <f t="shared" si="23"/>
        <v>818.34749999999997</v>
      </c>
      <c r="BK72" s="41">
        <f>BJ72+AM72+AL72+'11-2025'!$N72+AN72+AO72</f>
        <v>3318.3474999999999</v>
      </c>
      <c r="BL72" s="34">
        <f>'11-2025'!$O72</f>
        <v>2500</v>
      </c>
      <c r="BM72" s="34">
        <f t="shared" si="12"/>
        <v>468.75</v>
      </c>
      <c r="BN72" s="34">
        <f t="shared" si="13"/>
        <v>275</v>
      </c>
      <c r="BO72" s="34">
        <f t="shared" si="21"/>
        <v>1666.6666666666667</v>
      </c>
      <c r="BP72" s="35">
        <f t="shared" si="14"/>
        <v>1376.6808333333331</v>
      </c>
      <c r="BQ72" s="34">
        <f>IFERROR(BP72/'11-2025'!$J72,0)*12</f>
        <v>16520.169999999998</v>
      </c>
      <c r="BR72" s="34">
        <f>IF(BQ72&lt;=40000,0,
IF(BQ72&lt;=55000,(BQ72-40000)*10%,
IF(BQ72&lt;=70000,(BQ72-55000)*15%+1500,
IF(BQ72&lt;=200000,(BQ72-70000)*20%+1500+2250,
IF(BQ72&lt;=400000,(BQ72-200000)*22.5%+1500+2250+26000,
IF(BQ72&lt;=600000,(BQ72-400000)*25%+1500+2250+26000+45000,
IF(AND(BQ72&gt;600000,BQ72&lt;=1200000),(BQ72-400000)*25%+1500+2250+26000+45000
+IFERROR(LOOKUP(BQ72,{600001;700001;800001;900001},{4000;6750;10250;15250}),0),IF(BQ72&gt;1200000,((BQ72-1200000)*27.5%)+300000,0)
)))))))</f>
        <v>0</v>
      </c>
      <c r="BS72" s="32">
        <f>(BR72/12*'11-2025'!$J72)</f>
        <v>0</v>
      </c>
      <c r="BT72" s="33">
        <f>BS72-'11-2025'!$V72</f>
        <v>0</v>
      </c>
      <c r="BU72" s="32">
        <f>IFERROR(+'11-2025'!$W72+AL72+AM72+BJ72-'11-2025'!$AJ72-BT72+AN72+AO72,"")-AL72+AP72+AQ72</f>
        <v>2843.3474999999999</v>
      </c>
      <c r="BV72" s="36"/>
      <c r="BW72" s="37"/>
      <c r="BX72" s="37">
        <f t="shared" si="22"/>
        <v>2843.3474999999999</v>
      </c>
      <c r="BY72" s="37"/>
    </row>
    <row r="73" spans="1:78" x14ac:dyDescent="0.25">
      <c r="A73" s="21">
        <v>558</v>
      </c>
      <c r="B73" s="22" t="s">
        <v>178</v>
      </c>
      <c r="C73" s="22" t="s">
        <v>71</v>
      </c>
      <c r="D73" s="22" t="s">
        <v>72</v>
      </c>
      <c r="E73" s="22" t="s">
        <v>88</v>
      </c>
      <c r="F73" s="22" t="s">
        <v>74</v>
      </c>
      <c r="G73" s="23">
        <v>45676</v>
      </c>
      <c r="H73" s="22"/>
      <c r="I73" s="24">
        <v>29703302102406</v>
      </c>
      <c r="J73" s="25">
        <v>1</v>
      </c>
      <c r="K73" s="25">
        <v>5500.56</v>
      </c>
      <c r="L73" s="25"/>
      <c r="M73" s="26"/>
      <c r="N73" s="25">
        <f>SUM('11-2025'!$K73:$M73)</f>
        <v>5500.56</v>
      </c>
      <c r="O73" s="25">
        <v>4500</v>
      </c>
      <c r="P73" s="25">
        <f t="shared" si="15"/>
        <v>843.75</v>
      </c>
      <c r="Q73" s="25">
        <f t="shared" si="16"/>
        <v>495</v>
      </c>
      <c r="R73" s="25">
        <v>1666.6666666666667</v>
      </c>
      <c r="S73" s="27">
        <f t="shared" si="17"/>
        <v>3338.8933333333334</v>
      </c>
      <c r="T73" s="25">
        <f t="shared" si="18"/>
        <v>40066.720000000001</v>
      </c>
      <c r="U73" s="25">
        <f>IF(T73&lt;=40000,0,
IF(T73&lt;=55000,(T73-40000)*10%,
IF(T73&lt;=70000,(T73-55000)*15%+1500,
IF(T73&lt;=200000,(T73-70000)*20%+1500+2250,
IF(T73&lt;=400000,(T73-200000)*22.5%+1500+2250+26000,
IF(T73&lt;=600000,(T73-400000)*25%+1500+2250+26000+45000,
IF(AND(T73&gt;600000,T73&lt;=1200000),(T73-400000)*25%+1500+2250+26000+45000
+IFERROR(LOOKUP(T73,{600001;700001;800001;900001},{4000;6750;10250;15250}),0),IF(T73&gt;1200000,((T73-1200000)*27.5%)+300000,0)
)))))))</f>
        <v>6.6720000000001169</v>
      </c>
      <c r="V73" s="25">
        <f t="shared" si="19"/>
        <v>0.55600000000000971</v>
      </c>
      <c r="W73" s="28">
        <f>+'11-2025'!$S73-'11-2025'!$V73+'11-2025'!$R73</f>
        <v>5005.0039999999999</v>
      </c>
      <c r="X73" s="28">
        <f t="shared" si="20"/>
        <v>166.83346666666665</v>
      </c>
      <c r="Y73" s="29">
        <v>0</v>
      </c>
      <c r="Z73" s="29">
        <f>IFERROR(+'11-2025'!$X73*'11-2025'!$Y73,"")</f>
        <v>0</v>
      </c>
      <c r="AA73" s="29">
        <v>0</v>
      </c>
      <c r="AB73" s="29">
        <f>IFERROR(+'11-2025'!$X73*'11-2025'!$AA73,"")</f>
        <v>0</v>
      </c>
      <c r="AC73" s="29">
        <v>0</v>
      </c>
      <c r="AD73" s="29">
        <f>IFERROR(+'11-2025'!$X73*'11-2025'!$AC73,"")</f>
        <v>0</v>
      </c>
      <c r="AE73" s="29">
        <v>0</v>
      </c>
      <c r="AF73" s="29">
        <f>IFERROR(+'11-2025'!$X73*'11-2025'!$AE73,"")</f>
        <v>0</v>
      </c>
      <c r="AG73" s="29">
        <v>4</v>
      </c>
      <c r="AH73" s="29">
        <f>IFERROR(+'11-2025'!$X73*'11-2025'!$AG73,"")</f>
        <v>667.33386666666661</v>
      </c>
      <c r="AI73" s="29">
        <v>0</v>
      </c>
      <c r="AJ73" s="29">
        <f>IFERROR('11-2025'!$Z73+'11-2025'!$AB73+'11-2025'!$AD73+'11-2025'!$AF73+'11-2025'!$AH73+'11-2025'!$AI73,"")</f>
        <v>667.33386666666661</v>
      </c>
      <c r="AK73" s="30">
        <f>IFERROR('11-2025'!$W73-'11-2025'!$AJ73,"")</f>
        <v>4337.6701333333331</v>
      </c>
      <c r="AL73" s="31"/>
      <c r="AM73" s="31"/>
      <c r="AN73" s="31"/>
      <c r="AO73" s="31">
        <v>0</v>
      </c>
      <c r="AP73" s="31"/>
      <c r="AQ73" s="31"/>
      <c r="AR73" s="31">
        <v>0</v>
      </c>
      <c r="AS73" s="31">
        <v>0</v>
      </c>
      <c r="AT73" s="31">
        <v>0</v>
      </c>
      <c r="AU73" s="31">
        <v>464.22997499999997</v>
      </c>
      <c r="AV73" s="31">
        <v>0</v>
      </c>
      <c r="AW73" s="31">
        <v>0</v>
      </c>
      <c r="AX73" s="31">
        <v>0</v>
      </c>
      <c r="AY73" s="31">
        <v>0</v>
      </c>
      <c r="AZ73" s="31">
        <v>0</v>
      </c>
      <c r="BA73" s="31">
        <v>0</v>
      </c>
      <c r="BB73" s="31">
        <v>0</v>
      </c>
      <c r="BC73" s="31">
        <v>0</v>
      </c>
      <c r="BD73" s="31">
        <v>0</v>
      </c>
      <c r="BE73" s="31">
        <v>0</v>
      </c>
      <c r="BF73" s="31">
        <v>0</v>
      </c>
      <c r="BG73" s="31">
        <v>0</v>
      </c>
      <c r="BH73" s="31">
        <v>0</v>
      </c>
      <c r="BI73" s="31">
        <v>0</v>
      </c>
      <c r="BJ73" s="32">
        <f t="shared" si="23"/>
        <v>464.22997499999997</v>
      </c>
      <c r="BK73" s="41">
        <f>BJ73+AM73+AL73+'11-2025'!$N73+AN73+AO73</f>
        <v>5964.7899750000006</v>
      </c>
      <c r="BL73" s="34">
        <f>'11-2025'!$O73</f>
        <v>4500</v>
      </c>
      <c r="BM73" s="34">
        <f t="shared" si="12"/>
        <v>843.75</v>
      </c>
      <c r="BN73" s="34">
        <f t="shared" si="13"/>
        <v>495</v>
      </c>
      <c r="BO73" s="34">
        <f t="shared" si="21"/>
        <v>1666.6666666666667</v>
      </c>
      <c r="BP73" s="35">
        <f t="shared" si="14"/>
        <v>3803.1233083333336</v>
      </c>
      <c r="BQ73" s="34">
        <f>IFERROR(BP73/'11-2025'!$J73,0)*12</f>
        <v>45637.479700000004</v>
      </c>
      <c r="BR73" s="34">
        <f>IF(BQ73&lt;=40000,0,
IF(BQ73&lt;=55000,(BQ73-40000)*10%,
IF(BQ73&lt;=70000,(BQ73-55000)*15%+1500,
IF(BQ73&lt;=200000,(BQ73-70000)*20%+1500+2250,
IF(BQ73&lt;=400000,(BQ73-200000)*22.5%+1500+2250+26000,
IF(BQ73&lt;=600000,(BQ73-400000)*25%+1500+2250+26000+45000,
IF(AND(BQ73&gt;600000,BQ73&lt;=1200000),(BQ73-400000)*25%+1500+2250+26000+45000
+IFERROR(LOOKUP(BQ73,{600001;700001;800001;900001},{4000;6750;10250;15250}),0),IF(BQ73&gt;1200000,((BQ73-1200000)*27.5%)+300000,0)
)))))))</f>
        <v>563.74797000000035</v>
      </c>
      <c r="BS73" s="32">
        <f>(BR73/12*'11-2025'!$J73)</f>
        <v>46.978997500000027</v>
      </c>
      <c r="BT73" s="33">
        <f>BS73-'11-2025'!$V73</f>
        <v>46.422997500000015</v>
      </c>
      <c r="BU73" s="32">
        <f>IFERROR(+'11-2025'!$W73+AL73+AM73+BJ73-'11-2025'!$AJ73-BT73+AN73+AO73,"")-AL73+AP73+AQ73</f>
        <v>4755.4771108333334</v>
      </c>
      <c r="BV73" s="36"/>
      <c r="BW73" s="37"/>
      <c r="BX73" s="37">
        <f t="shared" si="22"/>
        <v>4755.4771108333334</v>
      </c>
      <c r="BY73" s="37" t="s">
        <v>75</v>
      </c>
    </row>
    <row r="74" spans="1:78" s="75" customFormat="1" x14ac:dyDescent="0.25">
      <c r="A74" s="38">
        <v>563</v>
      </c>
      <c r="B74" s="40" t="s">
        <v>179</v>
      </c>
      <c r="C74" s="40" t="s">
        <v>106</v>
      </c>
      <c r="D74" s="40" t="s">
        <v>77</v>
      </c>
      <c r="E74" s="40" t="s">
        <v>85</v>
      </c>
      <c r="F74" s="40" t="s">
        <v>180</v>
      </c>
      <c r="G74" s="61">
        <v>45683</v>
      </c>
      <c r="H74" s="40"/>
      <c r="I74" s="62">
        <v>29912090105327</v>
      </c>
      <c r="J74" s="63">
        <v>1</v>
      </c>
      <c r="K74" s="63">
        <v>4000</v>
      </c>
      <c r="L74" s="63"/>
      <c r="M74" s="64"/>
      <c r="N74" s="63">
        <f>SUM('11-2025'!$K74:$M74)</f>
        <v>4000</v>
      </c>
      <c r="O74" s="63">
        <v>3500</v>
      </c>
      <c r="P74" s="63">
        <f t="shared" si="15"/>
        <v>656.25</v>
      </c>
      <c r="Q74" s="63">
        <f t="shared" si="16"/>
        <v>385</v>
      </c>
      <c r="R74" s="63">
        <v>1666.6666666666667</v>
      </c>
      <c r="S74" s="65">
        <f t="shared" si="17"/>
        <v>1948.3333333333333</v>
      </c>
      <c r="T74" s="63">
        <f t="shared" si="18"/>
        <v>23380</v>
      </c>
      <c r="U74" s="63">
        <f>IF(T74&lt;=40000,0,
IF(T74&lt;=55000,(T74-40000)*10%,
IF(T74&lt;=70000,(T74-55000)*15%+1500,
IF(T74&lt;=200000,(T74-70000)*20%+1500+2250,
IF(T74&lt;=400000,(T74-200000)*22.5%+1500+2250+26000,
IF(T74&lt;=600000,(T74-400000)*25%+1500+2250+26000+45000,
IF(AND(T74&gt;600000,T74&lt;=1200000),(T74-400000)*25%+1500+2250+26000+45000
+IFERROR(LOOKUP(T74,{600001;700001;800001;900001},{4000;6750;10250;15250}),0),IF(T74&gt;1200000,((T74-1200000)*27.5%)+300000,0)
)))))))</f>
        <v>0</v>
      </c>
      <c r="V74" s="63">
        <f t="shared" si="19"/>
        <v>0</v>
      </c>
      <c r="W74" s="66">
        <f>+'11-2025'!$S74-'11-2025'!$V74+'11-2025'!$R74</f>
        <v>3615</v>
      </c>
      <c r="X74" s="66">
        <f t="shared" si="20"/>
        <v>120.5</v>
      </c>
      <c r="Y74" s="67"/>
      <c r="Z74" s="67">
        <f>IFERROR(+'11-2025'!$X74*'11-2025'!$Y74,"")</f>
        <v>0</v>
      </c>
      <c r="AA74" s="67"/>
      <c r="AB74" s="67">
        <f>IFERROR(+'11-2025'!$X74*'11-2025'!$AA74,"")</f>
        <v>0</v>
      </c>
      <c r="AC74" s="67">
        <v>30</v>
      </c>
      <c r="AD74" s="67">
        <f>IFERROR(+'11-2025'!$X74*'11-2025'!$AC74,"")</f>
        <v>3615</v>
      </c>
      <c r="AE74" s="67"/>
      <c r="AF74" s="67">
        <f>IFERROR(+'11-2025'!$X74*'11-2025'!$AE74,"")</f>
        <v>0</v>
      </c>
      <c r="AG74" s="67"/>
      <c r="AH74" s="67">
        <f>IFERROR(+'11-2025'!$X74*'11-2025'!$AG74,"")</f>
        <v>0</v>
      </c>
      <c r="AI74" s="29">
        <v>0</v>
      </c>
      <c r="AJ74" s="67">
        <f>IFERROR('11-2025'!$Z74+'11-2025'!$AB74+'11-2025'!$AD74+'11-2025'!$AF74+'11-2025'!$AH74+'11-2025'!$AI74,"")</f>
        <v>3615</v>
      </c>
      <c r="AK74" s="68">
        <f>IFERROR('11-2025'!$W74-'11-2025'!$AJ74,"")</f>
        <v>0</v>
      </c>
      <c r="AL74" s="69"/>
      <c r="AM74" s="69"/>
      <c r="AN74" s="69"/>
      <c r="AO74" s="69"/>
      <c r="AP74" s="69"/>
      <c r="AQ74" s="69"/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31">
        <v>0</v>
      </c>
      <c r="AZ74" s="31">
        <v>0</v>
      </c>
      <c r="BA74" s="31">
        <v>0</v>
      </c>
      <c r="BB74" s="31">
        <v>0</v>
      </c>
      <c r="BC74" s="31">
        <v>0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9">
        <f t="shared" si="23"/>
        <v>0</v>
      </c>
      <c r="BK74" s="77">
        <f>BJ74+AM74+AL74+'11-2025'!$N74+AN74+AO74</f>
        <v>4000</v>
      </c>
      <c r="BL74" s="71">
        <f>'11-2025'!$O74</f>
        <v>3500</v>
      </c>
      <c r="BM74" s="71">
        <f t="shared" si="12"/>
        <v>656.25</v>
      </c>
      <c r="BN74" s="71">
        <f t="shared" si="13"/>
        <v>385</v>
      </c>
      <c r="BO74" s="71">
        <f t="shared" si="21"/>
        <v>1666.6666666666667</v>
      </c>
      <c r="BP74" s="72">
        <f t="shared" si="14"/>
        <v>1948.3333333333333</v>
      </c>
      <c r="BQ74" s="71">
        <f>IFERROR(BP74/'11-2025'!$J74,0)*12</f>
        <v>23380</v>
      </c>
      <c r="BR74" s="71">
        <f>IF(BQ74&lt;=40000,0,
IF(BQ74&lt;=55000,(BQ74-40000)*10%,
IF(BQ74&lt;=70000,(BQ74-55000)*15%+1500,
IF(BQ74&lt;=200000,(BQ74-70000)*20%+1500+2250,
IF(BQ74&lt;=400000,(BQ74-200000)*22.5%+1500+2250+26000,
IF(BQ74&lt;=600000,(BQ74-400000)*25%+1500+2250+26000+45000,
IF(AND(BQ74&gt;600000,BQ74&lt;=1200000),(BQ74-400000)*25%+1500+2250+26000+45000
+IFERROR(LOOKUP(BQ74,{600001;700001;800001;900001},{4000;6750;10250;15250}),0),IF(BQ74&gt;1200000,((BQ74-1200000)*27.5%)+300000,0)
)))))))</f>
        <v>0</v>
      </c>
      <c r="BS74" s="39">
        <f>(BR74/12*'11-2025'!$J74)</f>
        <v>0</v>
      </c>
      <c r="BT74" s="70">
        <f>BS74-'11-2025'!$V74</f>
        <v>0</v>
      </c>
      <c r="BU74" s="39">
        <f>IFERROR(+'11-2025'!$W74+AL74+AM74+BJ74-'11-2025'!$AJ74-BT74+AN74+AO74,"")-AL74+AP74+AQ74</f>
        <v>0</v>
      </c>
      <c r="BV74" s="73"/>
      <c r="BW74" s="74"/>
      <c r="BX74" s="74">
        <f t="shared" si="22"/>
        <v>0</v>
      </c>
      <c r="BY74" s="74"/>
    </row>
    <row r="75" spans="1:78" x14ac:dyDescent="0.25">
      <c r="A75" s="42">
        <v>570</v>
      </c>
      <c r="B75" s="22" t="s">
        <v>181</v>
      </c>
      <c r="C75" s="22" t="s">
        <v>182</v>
      </c>
      <c r="D75" s="22" t="s">
        <v>72</v>
      </c>
      <c r="E75" s="22" t="s">
        <v>183</v>
      </c>
      <c r="F75" s="22" t="s">
        <v>139</v>
      </c>
      <c r="G75" s="23">
        <v>0</v>
      </c>
      <c r="H75" s="22"/>
      <c r="I75" s="24"/>
      <c r="J75" s="25">
        <v>1</v>
      </c>
      <c r="K75" s="25">
        <v>0</v>
      </c>
      <c r="L75" s="25"/>
      <c r="M75" s="26"/>
      <c r="N75" s="25">
        <f>SUM('11-2025'!$K75:$M75)</f>
        <v>0</v>
      </c>
      <c r="O75" s="25"/>
      <c r="P75" s="25">
        <f t="shared" si="15"/>
        <v>0</v>
      </c>
      <c r="Q75" s="25">
        <f t="shared" si="16"/>
        <v>0</v>
      </c>
      <c r="R75" s="25">
        <v>1666.6666666666667</v>
      </c>
      <c r="S75" s="27">
        <f t="shared" si="17"/>
        <v>0</v>
      </c>
      <c r="T75" s="25">
        <f t="shared" si="18"/>
        <v>0</v>
      </c>
      <c r="U75" s="25">
        <f>IF(T75&lt;=40000,0,
IF(T75&lt;=55000,(T75-40000)*10%,
IF(T75&lt;=70000,(T75-55000)*15%+1500,
IF(T75&lt;=200000,(T75-70000)*20%+1500+2250,
IF(T75&lt;=400000,(T75-200000)*22.5%+1500+2250+26000,
IF(T75&lt;=600000,(T75-400000)*25%+1500+2250+26000+45000,
IF(AND(T75&gt;600000,T75&lt;=1200000),(T75-400000)*25%+1500+2250+26000+45000
+IFERROR(LOOKUP(T75,{600001;700001;800001;900001},{4000;6750;10250;15250}),0),IF(T75&gt;1200000,((T75-1200000)*27.5%)+300000,0)
)))))))</f>
        <v>0</v>
      </c>
      <c r="V75" s="25">
        <f t="shared" si="19"/>
        <v>0</v>
      </c>
      <c r="W75" s="28">
        <v>0</v>
      </c>
      <c r="X75" s="28">
        <f t="shared" si="20"/>
        <v>0</v>
      </c>
      <c r="Y75" s="29"/>
      <c r="Z75" s="29">
        <f>IFERROR(+'11-2025'!$X75*'11-2025'!$Y75,"")</f>
        <v>0</v>
      </c>
      <c r="AA75" s="29"/>
      <c r="AB75" s="29">
        <f>IFERROR(+'11-2025'!$X75*'11-2025'!$AA75,"")</f>
        <v>0</v>
      </c>
      <c r="AC75" s="29"/>
      <c r="AD75" s="29">
        <f>IFERROR(+'11-2025'!$X75*'11-2025'!$AC75,"")</f>
        <v>0</v>
      </c>
      <c r="AE75" s="29"/>
      <c r="AF75" s="29">
        <f>IFERROR(+'11-2025'!$X75*'11-2025'!$AE75,"")</f>
        <v>0</v>
      </c>
      <c r="AG75" s="29"/>
      <c r="AH75" s="29">
        <f>IFERROR(+'11-2025'!$X75*'11-2025'!$AG75,"")</f>
        <v>0</v>
      </c>
      <c r="AI75" s="29">
        <v>0</v>
      </c>
      <c r="AJ75" s="29">
        <f>IFERROR('11-2025'!$Z75+'11-2025'!$AB75+'11-2025'!$AD75+'11-2025'!$AF75+'11-2025'!$AH75+'11-2025'!$AI75,"")</f>
        <v>0</v>
      </c>
      <c r="AK75" s="30">
        <f>IFERROR('11-2025'!$W75-'11-2025'!$AJ75,"")</f>
        <v>0</v>
      </c>
      <c r="AL75" s="31"/>
      <c r="AM75" s="31">
        <v>1000</v>
      </c>
      <c r="AN75" s="31"/>
      <c r="AO75" s="31"/>
      <c r="AP75" s="31"/>
      <c r="AQ75" s="31"/>
      <c r="AR75" s="31">
        <v>0</v>
      </c>
      <c r="AS75" s="31">
        <v>0</v>
      </c>
      <c r="AT75" s="31">
        <v>0</v>
      </c>
      <c r="AU75" s="31">
        <v>0</v>
      </c>
      <c r="AV75" s="31">
        <v>1918.2506750000002</v>
      </c>
      <c r="AW75" s="31">
        <v>0</v>
      </c>
      <c r="AX75" s="31">
        <v>0</v>
      </c>
      <c r="AY75" s="31">
        <v>0</v>
      </c>
      <c r="AZ75" s="31">
        <v>0</v>
      </c>
      <c r="BA75" s="31">
        <v>0</v>
      </c>
      <c r="BB75" s="31">
        <v>0</v>
      </c>
      <c r="BC75" s="31">
        <v>0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</v>
      </c>
      <c r="BJ75" s="32">
        <f t="shared" si="23"/>
        <v>1918.2506750000002</v>
      </c>
      <c r="BK75" s="41">
        <f>BJ75+AM75+AL75+'11-2025'!$N75+AN75+AO75</f>
        <v>2918.2506750000002</v>
      </c>
      <c r="BL75" s="34">
        <f>'11-2025'!$O75</f>
        <v>0</v>
      </c>
      <c r="BM75" s="34">
        <f t="shared" si="12"/>
        <v>0</v>
      </c>
      <c r="BN75" s="34">
        <f t="shared" si="13"/>
        <v>0</v>
      </c>
      <c r="BO75" s="34">
        <f t="shared" si="21"/>
        <v>1666.6666666666667</v>
      </c>
      <c r="BP75" s="35">
        <f t="shared" si="14"/>
        <v>1251.5840083333335</v>
      </c>
      <c r="BQ75" s="34">
        <f>IFERROR(BP75/'11-2025'!$J75,0)*12</f>
        <v>15019.008100000003</v>
      </c>
      <c r="BR75" s="34">
        <f>IF(BQ75&lt;=40000,0,
IF(BQ75&lt;=55000,(BQ75-40000)*10%,
IF(BQ75&lt;=70000,(BQ75-55000)*15%+1500,
IF(BQ75&lt;=200000,(BQ75-70000)*20%+1500+2250,
IF(BQ75&lt;=400000,(BQ75-200000)*22.5%+1500+2250+26000,
IF(BQ75&lt;=600000,(BQ75-400000)*25%+1500+2250+26000+45000,
IF(AND(BQ75&gt;600000,BQ75&lt;=1200000),(BQ75-400000)*25%+1500+2250+26000+45000
+IFERROR(LOOKUP(BQ75,{600001;700001;800001;900001},{4000;6750;10250;15250}),0),IF(BQ75&gt;1200000,((BQ75-1200000)*27.5%)+300000,0)
)))))))</f>
        <v>0</v>
      </c>
      <c r="BS75" s="32">
        <f>(BR75/12*'11-2025'!$J75)</f>
        <v>0</v>
      </c>
      <c r="BT75" s="33">
        <f>BS75-'11-2025'!$V75</f>
        <v>0</v>
      </c>
      <c r="BU75" s="32">
        <f>IFERROR(+'11-2025'!$W75+AL75+AM75+BJ75-'11-2025'!$AJ75-BT75+AN75+AO75,"")-AL75+AP75+AQ75</f>
        <v>2918.2506750000002</v>
      </c>
      <c r="BV75" s="36" t="s">
        <v>426</v>
      </c>
      <c r="BW75" s="37"/>
      <c r="BX75" s="37">
        <f t="shared" si="22"/>
        <v>2918.2506750000002</v>
      </c>
      <c r="BY75" s="37"/>
    </row>
    <row r="76" spans="1:78" x14ac:dyDescent="0.25">
      <c r="A76" s="21">
        <v>571</v>
      </c>
      <c r="B76" s="22" t="s">
        <v>184</v>
      </c>
      <c r="C76" s="22" t="s">
        <v>71</v>
      </c>
      <c r="D76" s="22" t="s">
        <v>77</v>
      </c>
      <c r="E76" s="22" t="s">
        <v>85</v>
      </c>
      <c r="F76" s="22" t="s">
        <v>113</v>
      </c>
      <c r="G76" s="23">
        <v>45696</v>
      </c>
      <c r="H76" s="22"/>
      <c r="I76" s="24">
        <v>30304231402148</v>
      </c>
      <c r="J76" s="25">
        <v>1</v>
      </c>
      <c r="K76" s="25">
        <v>4296.1540999999997</v>
      </c>
      <c r="L76" s="25"/>
      <c r="M76" s="26"/>
      <c r="N76" s="25">
        <f>SUM('11-2025'!$K76:$M76)</f>
        <v>4296.1540999999997</v>
      </c>
      <c r="O76" s="25">
        <v>2692.31</v>
      </c>
      <c r="P76" s="25">
        <f t="shared" si="15"/>
        <v>504.80812500000002</v>
      </c>
      <c r="Q76" s="25">
        <f t="shared" si="16"/>
        <v>296.15409999999997</v>
      </c>
      <c r="R76" s="25">
        <v>1666.6666666666667</v>
      </c>
      <c r="S76" s="27">
        <f t="shared" si="17"/>
        <v>2333.333333333333</v>
      </c>
      <c r="T76" s="25">
        <f t="shared" si="18"/>
        <v>27999.999999999996</v>
      </c>
      <c r="U76" s="25">
        <f>IF(T76&lt;=40000,0,
IF(T76&lt;=55000,(T76-40000)*10%,
IF(T76&lt;=70000,(T76-55000)*15%+1500,
IF(T76&lt;=200000,(T76-70000)*20%+1500+2250,
IF(T76&lt;=400000,(T76-200000)*22.5%+1500+2250+26000,
IF(T76&lt;=600000,(T76-400000)*25%+1500+2250+26000+45000,
IF(AND(T76&gt;600000,T76&lt;=1200000),(T76-400000)*25%+1500+2250+26000+45000
+IFERROR(LOOKUP(T76,{600001;700001;800001;900001},{4000;6750;10250;15250}),0),IF(T76&gt;1200000,((T76-1200000)*27.5%)+300000,0)
)))))))</f>
        <v>0</v>
      </c>
      <c r="V76" s="25">
        <f t="shared" si="19"/>
        <v>0</v>
      </c>
      <c r="W76" s="28">
        <f>+'11-2025'!$S76-'11-2025'!$V76+'11-2025'!$R76</f>
        <v>4000</v>
      </c>
      <c r="X76" s="28">
        <f t="shared" si="20"/>
        <v>133.33333333333334</v>
      </c>
      <c r="Y76" s="29">
        <v>0</v>
      </c>
      <c r="Z76" s="29">
        <f>IFERROR(+'11-2025'!$X76*'11-2025'!$Y76,"")</f>
        <v>0</v>
      </c>
      <c r="AA76" s="29">
        <v>0</v>
      </c>
      <c r="AB76" s="29">
        <f>IFERROR(+'11-2025'!$X76*'11-2025'!$AA76,"")</f>
        <v>0</v>
      </c>
      <c r="AC76" s="29">
        <v>0</v>
      </c>
      <c r="AD76" s="29">
        <f>IFERROR(+'11-2025'!$X76*'11-2025'!$AC76,"")</f>
        <v>0</v>
      </c>
      <c r="AE76" s="29">
        <v>0</v>
      </c>
      <c r="AF76" s="29">
        <f>IFERROR(+'11-2025'!$X76*'11-2025'!$AE76,"")</f>
        <v>0</v>
      </c>
      <c r="AG76" s="29">
        <v>1</v>
      </c>
      <c r="AH76" s="29">
        <f>IFERROR(+'11-2025'!$X76*'11-2025'!$AG76,"")</f>
        <v>133.33333333333334</v>
      </c>
      <c r="AI76" s="29">
        <v>0</v>
      </c>
      <c r="AJ76" s="29">
        <f>IFERROR('11-2025'!$Z76+'11-2025'!$AB76+'11-2025'!$AD76+'11-2025'!$AF76+'11-2025'!$AH76+'11-2025'!$AI76,"")</f>
        <v>133.33333333333334</v>
      </c>
      <c r="AK76" s="30">
        <f>IFERROR('11-2025'!$W76-'11-2025'!$AJ76,"")</f>
        <v>3866.6666666666665</v>
      </c>
      <c r="AL76" s="31"/>
      <c r="AM76" s="31"/>
      <c r="AN76" s="31"/>
      <c r="AO76" s="31">
        <v>0</v>
      </c>
      <c r="AP76" s="31"/>
      <c r="AQ76" s="31"/>
      <c r="AR76" s="31">
        <v>0</v>
      </c>
      <c r="AS76" s="31">
        <v>0</v>
      </c>
      <c r="AT76" s="31">
        <v>0</v>
      </c>
      <c r="AU76" s="31">
        <v>0</v>
      </c>
      <c r="AV76" s="31">
        <v>0</v>
      </c>
      <c r="AW76" s="31">
        <v>0</v>
      </c>
      <c r="AX76" s="31">
        <v>0</v>
      </c>
      <c r="AY76" s="31">
        <v>0</v>
      </c>
      <c r="AZ76" s="31">
        <v>0</v>
      </c>
      <c r="BA76" s="31">
        <v>0</v>
      </c>
      <c r="BB76" s="31">
        <v>0</v>
      </c>
      <c r="BC76" s="31">
        <v>0</v>
      </c>
      <c r="BD76" s="31">
        <v>0</v>
      </c>
      <c r="BE76" s="31">
        <v>0</v>
      </c>
      <c r="BF76" s="31">
        <v>0</v>
      </c>
      <c r="BG76" s="31">
        <v>0</v>
      </c>
      <c r="BH76" s="31">
        <v>0</v>
      </c>
      <c r="BI76" s="31">
        <v>0</v>
      </c>
      <c r="BJ76" s="32">
        <f t="shared" si="23"/>
        <v>0</v>
      </c>
      <c r="BK76" s="41">
        <f>BJ76+AM76+AL76+'11-2025'!$N76+AN76+AO76</f>
        <v>4296.1540999999997</v>
      </c>
      <c r="BL76" s="34">
        <f>'11-2025'!$O76</f>
        <v>2692.31</v>
      </c>
      <c r="BM76" s="34">
        <f t="shared" si="12"/>
        <v>504.80812500000002</v>
      </c>
      <c r="BN76" s="34">
        <f t="shared" si="13"/>
        <v>296.15409999999997</v>
      </c>
      <c r="BO76" s="34">
        <f t="shared" si="21"/>
        <v>1666.6666666666667</v>
      </c>
      <c r="BP76" s="35">
        <f t="shared" si="14"/>
        <v>2333.333333333333</v>
      </c>
      <c r="BQ76" s="34">
        <f>IFERROR(BP76/'11-2025'!$J76,0)*12</f>
        <v>27999.999999999996</v>
      </c>
      <c r="BR76" s="34">
        <f>IF(BQ76&lt;=40000,0,
IF(BQ76&lt;=55000,(BQ76-40000)*10%,
IF(BQ76&lt;=70000,(BQ76-55000)*15%+1500,
IF(BQ76&lt;=200000,(BQ76-70000)*20%+1500+2250,
IF(BQ76&lt;=400000,(BQ76-200000)*22.5%+1500+2250+26000,
IF(BQ76&lt;=600000,(BQ76-400000)*25%+1500+2250+26000+45000,
IF(AND(BQ76&gt;600000,BQ76&lt;=1200000),(BQ76-400000)*25%+1500+2250+26000+45000
+IFERROR(LOOKUP(BQ76,{600001;700001;800001;900001},{4000;6750;10250;15250}),0),IF(BQ76&gt;1200000,((BQ76-1200000)*27.5%)+300000,0)
)))))))</f>
        <v>0</v>
      </c>
      <c r="BS76" s="32">
        <f>(BR76/12*'11-2025'!$J76)</f>
        <v>0</v>
      </c>
      <c r="BT76" s="33">
        <f>BS76-'11-2025'!$V76</f>
        <v>0</v>
      </c>
      <c r="BU76" s="32">
        <f>IFERROR(+'11-2025'!$W76+AL76+AM76+BJ76-'11-2025'!$AJ76-BT76+AN76+AO76,"")-AL76+AP76+AQ76</f>
        <v>3866.6666666666665</v>
      </c>
      <c r="BV76" s="36"/>
      <c r="BW76" s="37"/>
      <c r="BX76" s="37">
        <f t="shared" si="22"/>
        <v>3866.6666666666665</v>
      </c>
      <c r="BY76" s="37"/>
    </row>
    <row r="77" spans="1:78" x14ac:dyDescent="0.25">
      <c r="A77" s="21">
        <v>577</v>
      </c>
      <c r="B77" s="22" t="s">
        <v>185</v>
      </c>
      <c r="C77" s="22" t="s">
        <v>71</v>
      </c>
      <c r="D77" s="22" t="s">
        <v>77</v>
      </c>
      <c r="E77" s="22" t="s">
        <v>78</v>
      </c>
      <c r="F77" s="22" t="s">
        <v>160</v>
      </c>
      <c r="G77" s="23">
        <v>45699</v>
      </c>
      <c r="H77" s="22"/>
      <c r="I77" s="24">
        <v>28201021405281</v>
      </c>
      <c r="J77" s="25">
        <v>1</v>
      </c>
      <c r="K77" s="25">
        <v>4185</v>
      </c>
      <c r="L77" s="25"/>
      <c r="M77" s="26"/>
      <c r="N77" s="25">
        <f>SUM('11-2025'!$K77:$M77)</f>
        <v>4185</v>
      </c>
      <c r="O77" s="25">
        <v>3500</v>
      </c>
      <c r="P77" s="25">
        <f t="shared" si="15"/>
        <v>656.25</v>
      </c>
      <c r="Q77" s="25">
        <f t="shared" si="16"/>
        <v>385</v>
      </c>
      <c r="R77" s="25">
        <v>1666.6666666666667</v>
      </c>
      <c r="S77" s="27">
        <f t="shared" si="17"/>
        <v>2133.333333333333</v>
      </c>
      <c r="T77" s="25">
        <f t="shared" si="18"/>
        <v>25599.999999999996</v>
      </c>
      <c r="U77" s="25">
        <f>IF(T77&lt;=40000,0,
IF(T77&lt;=55000,(T77-40000)*10%,
IF(T77&lt;=70000,(T77-55000)*15%+1500,
IF(T77&lt;=200000,(T77-70000)*20%+1500+2250,
IF(T77&lt;=400000,(T77-200000)*22.5%+1500+2250+26000,
IF(T77&lt;=600000,(T77-400000)*25%+1500+2250+26000+45000,
IF(AND(T77&gt;600000,T77&lt;=1200000),(T77-400000)*25%+1500+2250+26000+45000
+IFERROR(LOOKUP(T77,{600001;700001;800001;900001},{4000;6750;10250;15250}),0),IF(T77&gt;1200000,((T77-1200000)*27.5%)+300000,0)
)))))))</f>
        <v>0</v>
      </c>
      <c r="V77" s="25">
        <f t="shared" si="19"/>
        <v>0</v>
      </c>
      <c r="W77" s="28">
        <f>+'11-2025'!$S77-'11-2025'!$V77+'11-2025'!$R77</f>
        <v>3800</v>
      </c>
      <c r="X77" s="28">
        <f t="shared" si="20"/>
        <v>126.66666666666667</v>
      </c>
      <c r="Y77" s="29">
        <v>0</v>
      </c>
      <c r="Z77" s="29">
        <f>IFERROR(+'11-2025'!$X77*'11-2025'!$Y77,"")</f>
        <v>0</v>
      </c>
      <c r="AA77" s="29">
        <v>0</v>
      </c>
      <c r="AB77" s="29">
        <f>IFERROR(+'11-2025'!$X77*'11-2025'!$AA77,"")</f>
        <v>0</v>
      </c>
      <c r="AC77" s="29">
        <v>0</v>
      </c>
      <c r="AD77" s="29">
        <f>IFERROR(+'11-2025'!$X77*'11-2025'!$AC77,"")</f>
        <v>0</v>
      </c>
      <c r="AE77" s="29">
        <v>0</v>
      </c>
      <c r="AF77" s="29">
        <f>IFERROR(+'11-2025'!$X77*'11-2025'!$AE77,"")</f>
        <v>0</v>
      </c>
      <c r="AG77" s="29">
        <v>0</v>
      </c>
      <c r="AH77" s="29">
        <f>IFERROR(+'11-2025'!$X77*'11-2025'!$AG77,"")</f>
        <v>0</v>
      </c>
      <c r="AI77" s="29">
        <v>0</v>
      </c>
      <c r="AJ77" s="29">
        <f>IFERROR('11-2025'!$Z77+'11-2025'!$AB77+'11-2025'!$AD77+'11-2025'!$AF77+'11-2025'!$AH77+'11-2025'!$AI77,"")</f>
        <v>0</v>
      </c>
      <c r="AK77" s="30">
        <f>IFERROR('11-2025'!$W77-'11-2025'!$AJ77,"")</f>
        <v>3800</v>
      </c>
      <c r="AL77" s="31"/>
      <c r="AM77" s="31"/>
      <c r="AN77" s="31"/>
      <c r="AO77" s="31">
        <v>0</v>
      </c>
      <c r="AP77" s="31"/>
      <c r="AQ77" s="31"/>
      <c r="AR77" s="31">
        <v>0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500</v>
      </c>
      <c r="AY77" s="31">
        <v>175</v>
      </c>
      <c r="AZ77" s="31">
        <v>0</v>
      </c>
      <c r="BA77" s="31">
        <v>5</v>
      </c>
      <c r="BB77" s="31">
        <v>75</v>
      </c>
      <c r="BC77" s="31">
        <v>0</v>
      </c>
      <c r="BD77" s="31">
        <v>0</v>
      </c>
      <c r="BE77" s="31">
        <v>0</v>
      </c>
      <c r="BF77" s="31">
        <v>50</v>
      </c>
      <c r="BG77" s="31">
        <v>0</v>
      </c>
      <c r="BH77" s="31">
        <v>0</v>
      </c>
      <c r="BI77" s="31">
        <v>310</v>
      </c>
      <c r="BJ77" s="32">
        <f t="shared" si="23"/>
        <v>1115</v>
      </c>
      <c r="BK77" s="41">
        <f>BJ77+AM77+AL77+'11-2025'!$N77+AN77+AO77</f>
        <v>5300</v>
      </c>
      <c r="BL77" s="34">
        <f>'11-2025'!$O77</f>
        <v>3500</v>
      </c>
      <c r="BM77" s="34">
        <f t="shared" si="12"/>
        <v>656.25</v>
      </c>
      <c r="BN77" s="34">
        <f t="shared" si="13"/>
        <v>385</v>
      </c>
      <c r="BO77" s="34">
        <f t="shared" si="21"/>
        <v>1666.6666666666667</v>
      </c>
      <c r="BP77" s="35">
        <f t="shared" si="14"/>
        <v>3248.333333333333</v>
      </c>
      <c r="BQ77" s="34">
        <f>IFERROR(BP77/'11-2025'!$J77,0)*12</f>
        <v>38980</v>
      </c>
      <c r="BR77" s="34">
        <f>IF(BQ77&lt;=40000,0,
IF(BQ77&lt;=55000,(BQ77-40000)*10%,
IF(BQ77&lt;=70000,(BQ77-55000)*15%+1500,
IF(BQ77&lt;=200000,(BQ77-70000)*20%+1500+2250,
IF(BQ77&lt;=400000,(BQ77-200000)*22.5%+1500+2250+26000,
IF(BQ77&lt;=600000,(BQ77-400000)*25%+1500+2250+26000+45000,
IF(AND(BQ77&gt;600000,BQ77&lt;=1200000),(BQ77-400000)*25%+1500+2250+26000+45000
+IFERROR(LOOKUP(BQ77,{600001;700001;800001;900001},{4000;6750;10250;15250}),0),IF(BQ77&gt;1200000,((BQ77-1200000)*27.5%)+300000,0)
)))))))</f>
        <v>0</v>
      </c>
      <c r="BS77" s="32">
        <f>(BR77/12*'11-2025'!$J77)</f>
        <v>0</v>
      </c>
      <c r="BT77" s="33">
        <f>BS77-'11-2025'!$V77</f>
        <v>0</v>
      </c>
      <c r="BU77" s="32">
        <f>IFERROR(+'11-2025'!$W77+AL77+AM77+BJ77-'11-2025'!$AJ77-BT77+AN77+AO77,"")-AL77+AP77+AQ77</f>
        <v>4915</v>
      </c>
      <c r="BV77" s="36"/>
      <c r="BW77" s="37"/>
      <c r="BX77" s="37">
        <f t="shared" si="22"/>
        <v>4915</v>
      </c>
      <c r="BY77" s="37"/>
    </row>
    <row r="78" spans="1:78" x14ac:dyDescent="0.25">
      <c r="A78" s="21">
        <v>583</v>
      </c>
      <c r="B78" s="22" t="s">
        <v>186</v>
      </c>
      <c r="C78" s="22" t="s">
        <v>71</v>
      </c>
      <c r="D78" s="22" t="s">
        <v>72</v>
      </c>
      <c r="E78" s="22" t="s">
        <v>99</v>
      </c>
      <c r="F78" s="22" t="s">
        <v>102</v>
      </c>
      <c r="G78" s="23">
        <v>45713</v>
      </c>
      <c r="H78" s="23"/>
      <c r="I78" s="24">
        <v>30504181400822</v>
      </c>
      <c r="J78" s="25">
        <v>1</v>
      </c>
      <c r="K78" s="25">
        <v>3000</v>
      </c>
      <c r="L78" s="25"/>
      <c r="M78" s="26"/>
      <c r="N78" s="25">
        <f>SUM('11-2025'!$K78:$M78)</f>
        <v>3000</v>
      </c>
      <c r="O78" s="25"/>
      <c r="P78" s="25">
        <f t="shared" si="15"/>
        <v>0</v>
      </c>
      <c r="Q78" s="25">
        <f t="shared" si="16"/>
        <v>0</v>
      </c>
      <c r="R78" s="25">
        <v>1666.6666666666667</v>
      </c>
      <c r="S78" s="27">
        <f t="shared" si="17"/>
        <v>1333.3333333333333</v>
      </c>
      <c r="T78" s="25">
        <f t="shared" si="18"/>
        <v>16000</v>
      </c>
      <c r="U78" s="25">
        <f>IF(T78&lt;=40000,0,
IF(T78&lt;=55000,(T78-40000)*10%,
IF(T78&lt;=70000,(T78-55000)*15%+1500,
IF(T78&lt;=200000,(T78-70000)*20%+1500+2250,
IF(T78&lt;=400000,(T78-200000)*22.5%+1500+2250+26000,
IF(T78&lt;=600000,(T78-400000)*25%+1500+2250+26000+45000,
IF(AND(T78&gt;600000,T78&lt;=1200000),(T78-400000)*25%+1500+2250+26000+45000
+IFERROR(LOOKUP(T78,{600001;700001;800001;900001},{4000;6750;10250;15250}),0),IF(T78&gt;1200000,((T78-1200000)*27.5%)+300000,0)
)))))))</f>
        <v>0</v>
      </c>
      <c r="V78" s="25">
        <f t="shared" si="19"/>
        <v>0</v>
      </c>
      <c r="W78" s="28">
        <f>+'11-2025'!$S78-'11-2025'!$V78+'11-2025'!$R78</f>
        <v>3000</v>
      </c>
      <c r="X78" s="28">
        <f t="shared" si="20"/>
        <v>100</v>
      </c>
      <c r="Y78" s="29">
        <v>0</v>
      </c>
      <c r="Z78" s="29">
        <f>IFERROR(+'11-2025'!$X78*'11-2025'!$Y78,"")</f>
        <v>0</v>
      </c>
      <c r="AA78" s="29">
        <v>2</v>
      </c>
      <c r="AB78" s="29">
        <f>IFERROR(+'11-2025'!$X78*'11-2025'!$AA78,"")</f>
        <v>200</v>
      </c>
      <c r="AC78" s="29">
        <v>0</v>
      </c>
      <c r="AD78" s="29">
        <f>IFERROR(+'11-2025'!$X78*'11-2025'!$AC78,"")</f>
        <v>0</v>
      </c>
      <c r="AE78" s="29">
        <v>0</v>
      </c>
      <c r="AF78" s="29">
        <f>IFERROR(+'11-2025'!$X78*'11-2025'!$AE78,"")</f>
        <v>0</v>
      </c>
      <c r="AG78" s="29">
        <v>4.75</v>
      </c>
      <c r="AH78" s="29">
        <f>IFERROR(+'11-2025'!$X78*'11-2025'!$AG78,"")</f>
        <v>475</v>
      </c>
      <c r="AI78" s="29">
        <v>0</v>
      </c>
      <c r="AJ78" s="29">
        <f>IFERROR('11-2025'!$Z78+'11-2025'!$AB78+'11-2025'!$AD78+'11-2025'!$AF78+'11-2025'!$AH78+'11-2025'!$AI78,"")</f>
        <v>675</v>
      </c>
      <c r="AK78" s="30">
        <f>IFERROR('11-2025'!$W78-'11-2025'!$AJ78,"")</f>
        <v>2325</v>
      </c>
      <c r="AL78" s="31"/>
      <c r="AM78" s="31"/>
      <c r="AN78" s="31"/>
      <c r="AO78" s="31">
        <v>0</v>
      </c>
      <c r="AP78" s="31"/>
      <c r="AQ78" s="31"/>
      <c r="AR78" s="31">
        <v>0</v>
      </c>
      <c r="AS78" s="31">
        <v>1167.8850000000002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1">
        <v>0</v>
      </c>
      <c r="AZ78" s="31">
        <v>0</v>
      </c>
      <c r="BA78" s="31">
        <v>0</v>
      </c>
      <c r="BB78" s="31">
        <v>0</v>
      </c>
      <c r="BC78" s="31">
        <v>0</v>
      </c>
      <c r="BD78" s="31">
        <v>0</v>
      </c>
      <c r="BE78" s="31">
        <v>0</v>
      </c>
      <c r="BF78" s="31">
        <v>0</v>
      </c>
      <c r="BG78" s="31">
        <v>0</v>
      </c>
      <c r="BH78" s="31">
        <v>0</v>
      </c>
      <c r="BI78" s="31">
        <v>0</v>
      </c>
      <c r="BJ78" s="32">
        <f t="shared" si="23"/>
        <v>1167.8850000000002</v>
      </c>
      <c r="BK78" s="41">
        <f>BJ78+AM78+AL78+'11-2025'!$N78+AN78+AO78</f>
        <v>4167.8850000000002</v>
      </c>
      <c r="BL78" s="34">
        <f>'11-2025'!$O78</f>
        <v>0</v>
      </c>
      <c r="BM78" s="34">
        <f t="shared" si="12"/>
        <v>0</v>
      </c>
      <c r="BN78" s="34">
        <f t="shared" si="13"/>
        <v>0</v>
      </c>
      <c r="BO78" s="34">
        <f t="shared" si="21"/>
        <v>1666.6666666666667</v>
      </c>
      <c r="BP78" s="35">
        <f t="shared" si="14"/>
        <v>2501.2183333333332</v>
      </c>
      <c r="BQ78" s="34">
        <f>IFERROR(BP78/'11-2025'!$J78,0)*12</f>
        <v>30014.62</v>
      </c>
      <c r="BR78" s="34">
        <f>IF(BQ78&lt;=40000,0,
IF(BQ78&lt;=55000,(BQ78-40000)*10%,
IF(BQ78&lt;=70000,(BQ78-55000)*15%+1500,
IF(BQ78&lt;=200000,(BQ78-70000)*20%+1500+2250,
IF(BQ78&lt;=400000,(BQ78-200000)*22.5%+1500+2250+26000,
IF(BQ78&lt;=600000,(BQ78-400000)*25%+1500+2250+26000+45000,
IF(AND(BQ78&gt;600000,BQ78&lt;=1200000),(BQ78-400000)*25%+1500+2250+26000+45000
+IFERROR(LOOKUP(BQ78,{600001;700001;800001;900001},{4000;6750;10250;15250}),0),IF(BQ78&gt;1200000,((BQ78-1200000)*27.5%)+300000,0)
)))))))</f>
        <v>0</v>
      </c>
      <c r="BS78" s="32">
        <f>(BR78/12*'11-2025'!$J78)</f>
        <v>0</v>
      </c>
      <c r="BT78" s="33">
        <f>BS78-'11-2025'!$V78</f>
        <v>0</v>
      </c>
      <c r="BU78" s="32">
        <f>IFERROR(+'11-2025'!$W78+AL78+AM78+BJ78-'11-2025'!$AJ78-BT78+AN78+AO78,"")-AL78+AP78+AQ78</f>
        <v>3492.8850000000002</v>
      </c>
      <c r="BV78" s="36"/>
      <c r="BW78" s="37"/>
      <c r="BX78" s="37">
        <f t="shared" si="22"/>
        <v>3492.8850000000002</v>
      </c>
      <c r="BY78" s="37"/>
    </row>
    <row r="79" spans="1:78" x14ac:dyDescent="0.25">
      <c r="A79" s="38">
        <v>588</v>
      </c>
      <c r="B79" s="22" t="s">
        <v>187</v>
      </c>
      <c r="C79" s="22" t="s">
        <v>81</v>
      </c>
      <c r="D79" s="22" t="s">
        <v>77</v>
      </c>
      <c r="E79" s="22" t="s">
        <v>85</v>
      </c>
      <c r="F79" s="22" t="s">
        <v>180</v>
      </c>
      <c r="G79" s="23">
        <v>45718</v>
      </c>
      <c r="H79" s="23">
        <v>45961</v>
      </c>
      <c r="I79" s="24">
        <v>30003062103004</v>
      </c>
      <c r="J79" s="25">
        <v>1</v>
      </c>
      <c r="K79" s="25">
        <v>4296.1540999999997</v>
      </c>
      <c r="L79" s="25"/>
      <c r="M79" s="26"/>
      <c r="N79" s="25">
        <f>SUM('11-2025'!$K79:$M79)</f>
        <v>4296.1540999999997</v>
      </c>
      <c r="O79" s="25">
        <v>2692.31</v>
      </c>
      <c r="P79" s="25">
        <f t="shared" si="15"/>
        <v>504.80812500000002</v>
      </c>
      <c r="Q79" s="25">
        <f t="shared" si="16"/>
        <v>296.15409999999997</v>
      </c>
      <c r="R79" s="25">
        <v>1666.6666666666667</v>
      </c>
      <c r="S79" s="27">
        <f t="shared" si="17"/>
        <v>2333.333333333333</v>
      </c>
      <c r="T79" s="25">
        <f t="shared" si="18"/>
        <v>27999.999999999996</v>
      </c>
      <c r="U79" s="25">
        <f>IF(T79&lt;=40000,0,
IF(T79&lt;=55000,(T79-40000)*10%,
IF(T79&lt;=70000,(T79-55000)*15%+1500,
IF(T79&lt;=200000,(T79-70000)*20%+1500+2250,
IF(T79&lt;=400000,(T79-200000)*22.5%+1500+2250+26000,
IF(T79&lt;=600000,(T79-400000)*25%+1500+2250+26000+45000,
IF(AND(T79&gt;600000,T79&lt;=1200000),(T79-400000)*25%+1500+2250+26000+45000
+IFERROR(LOOKUP(T79,{600001;700001;800001;900001},{4000;6750;10250;15250}),0),IF(T79&gt;1200000,((T79-1200000)*27.5%)+300000,0)
)))))))</f>
        <v>0</v>
      </c>
      <c r="V79" s="25">
        <f t="shared" si="19"/>
        <v>0</v>
      </c>
      <c r="W79" s="28">
        <f>+'11-2025'!$S79-'11-2025'!$V79+'11-2025'!$R79</f>
        <v>4000</v>
      </c>
      <c r="X79" s="28">
        <f t="shared" si="20"/>
        <v>133.33333333333334</v>
      </c>
      <c r="Y79" s="29"/>
      <c r="Z79" s="29">
        <f>IFERROR(+'11-2025'!$X79*'11-2025'!$Y79,"")</f>
        <v>0</v>
      </c>
      <c r="AA79" s="29">
        <v>0</v>
      </c>
      <c r="AB79" s="29">
        <f>IFERROR(+'11-2025'!$X79*'11-2025'!$AA79,"")</f>
        <v>0</v>
      </c>
      <c r="AC79" s="29">
        <v>23</v>
      </c>
      <c r="AD79" s="29">
        <f>IFERROR(+'11-2025'!$X79*'11-2025'!$AC79,"")</f>
        <v>3066.666666666667</v>
      </c>
      <c r="AE79" s="29">
        <v>3.5</v>
      </c>
      <c r="AF79" s="29">
        <f>IFERROR(+'11-2025'!$X79*'11-2025'!$AE79,"")</f>
        <v>466.66666666666669</v>
      </c>
      <c r="AG79" s="29"/>
      <c r="AH79" s="29">
        <f>IFERROR(+'11-2025'!$X79*'11-2025'!$AG79,"")</f>
        <v>0</v>
      </c>
      <c r="AI79" s="29">
        <v>0</v>
      </c>
      <c r="AJ79" s="29">
        <f>IFERROR('11-2025'!$Z79+'11-2025'!$AB79+'11-2025'!$AD79+'11-2025'!$AF79+'11-2025'!$AH79+'11-2025'!$AI79,"")</f>
        <v>3533.3333333333335</v>
      </c>
      <c r="AK79" s="30">
        <f>IFERROR('11-2025'!$W79-'11-2025'!$AJ79,"")</f>
        <v>466.66666666666652</v>
      </c>
      <c r="AL79" s="31"/>
      <c r="AM79" s="31"/>
      <c r="AN79" s="31"/>
      <c r="AO79" s="31"/>
      <c r="AP79" s="31"/>
      <c r="AQ79" s="31"/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0</v>
      </c>
      <c r="AY79" s="31">
        <v>0</v>
      </c>
      <c r="AZ79" s="31">
        <v>0</v>
      </c>
      <c r="BA79" s="31">
        <v>0</v>
      </c>
      <c r="BB79" s="31">
        <v>0</v>
      </c>
      <c r="BC79" s="31">
        <v>0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2">
        <f t="shared" si="23"/>
        <v>0</v>
      </c>
      <c r="BK79" s="41">
        <f>BJ79+AM79+AL79+'11-2025'!$N79+AN79+AO79</f>
        <v>4296.1540999999997</v>
      </c>
      <c r="BL79" s="34">
        <f>'11-2025'!$O79</f>
        <v>2692.31</v>
      </c>
      <c r="BM79" s="34">
        <f t="shared" si="12"/>
        <v>504.80812500000002</v>
      </c>
      <c r="BN79" s="34">
        <f t="shared" si="13"/>
        <v>296.15409999999997</v>
      </c>
      <c r="BO79" s="34">
        <f t="shared" si="21"/>
        <v>1666.6666666666667</v>
      </c>
      <c r="BP79" s="35">
        <f t="shared" si="14"/>
        <v>2333.333333333333</v>
      </c>
      <c r="BQ79" s="34">
        <f>IFERROR(BP79/'11-2025'!$J79,0)*12</f>
        <v>27999.999999999996</v>
      </c>
      <c r="BR79" s="34">
        <f>IF(BQ79&lt;=40000,0,
IF(BQ79&lt;=55000,(BQ79-40000)*10%,
IF(BQ79&lt;=70000,(BQ79-55000)*15%+1500,
IF(BQ79&lt;=200000,(BQ79-70000)*20%+1500+2250,
IF(BQ79&lt;=400000,(BQ79-200000)*22.5%+1500+2250+26000,
IF(BQ79&lt;=600000,(BQ79-400000)*25%+1500+2250+26000+45000,
IF(AND(BQ79&gt;600000,BQ79&lt;=1200000),(BQ79-400000)*25%+1500+2250+26000+45000
+IFERROR(LOOKUP(BQ79,{600001;700001;800001;900001},{4000;6750;10250;15250}),0),IF(BQ79&gt;1200000,((BQ79-1200000)*27.5%)+300000,0)
)))))))</f>
        <v>0</v>
      </c>
      <c r="BS79" s="32">
        <f>(BR79/12*'11-2025'!$J79)</f>
        <v>0</v>
      </c>
      <c r="BT79" s="33">
        <f>BS79-'11-2025'!$V79</f>
        <v>0</v>
      </c>
      <c r="BU79" s="32">
        <f>IFERROR(+'11-2025'!$W79+AL79+AM79+BJ79-'11-2025'!$AJ79-BT79+AN79+AO79,"")-AL79+AP79+AQ79</f>
        <v>466.66666666666652</v>
      </c>
      <c r="BV79" s="36"/>
      <c r="BW79" s="37"/>
      <c r="BX79" s="37">
        <f t="shared" si="22"/>
        <v>466.66666666666652</v>
      </c>
      <c r="BY79" s="37"/>
    </row>
    <row r="80" spans="1:78" x14ac:dyDescent="0.25">
      <c r="A80" s="21">
        <v>592</v>
      </c>
      <c r="B80" s="22" t="s">
        <v>188</v>
      </c>
      <c r="C80" s="22" t="s">
        <v>81</v>
      </c>
      <c r="D80" s="22" t="s">
        <v>77</v>
      </c>
      <c r="E80" s="22" t="s">
        <v>85</v>
      </c>
      <c r="F80" s="22" t="s">
        <v>180</v>
      </c>
      <c r="G80" s="23">
        <v>45721</v>
      </c>
      <c r="H80" s="22"/>
      <c r="I80" s="24">
        <v>30310220103181</v>
      </c>
      <c r="J80" s="25">
        <v>1</v>
      </c>
      <c r="K80" s="25">
        <v>4000</v>
      </c>
      <c r="L80" s="25"/>
      <c r="M80" s="26"/>
      <c r="N80" s="25">
        <f>SUM('11-2025'!$K80:$M80)</f>
        <v>4000</v>
      </c>
      <c r="O80" s="25"/>
      <c r="P80" s="25">
        <f t="shared" si="15"/>
        <v>0</v>
      </c>
      <c r="Q80" s="25">
        <f t="shared" si="16"/>
        <v>0</v>
      </c>
      <c r="R80" s="25">
        <v>1666.6666666666667</v>
      </c>
      <c r="S80" s="27">
        <f t="shared" si="17"/>
        <v>2333.333333333333</v>
      </c>
      <c r="T80" s="25">
        <f t="shared" si="18"/>
        <v>27999.999999999996</v>
      </c>
      <c r="U80" s="25">
        <f>IF(T80&lt;=40000,0,
IF(T80&lt;=55000,(T80-40000)*10%,
IF(T80&lt;=70000,(T80-55000)*15%+1500,
IF(T80&lt;=200000,(T80-70000)*20%+1500+2250,
IF(T80&lt;=400000,(T80-200000)*22.5%+1500+2250+26000,
IF(T80&lt;=600000,(T80-400000)*25%+1500+2250+26000+45000,
IF(AND(T80&gt;600000,T80&lt;=1200000),(T80-400000)*25%+1500+2250+26000+45000
+IFERROR(LOOKUP(T80,{600001;700001;800001;900001},{4000;6750;10250;15250}),0),IF(T80&gt;1200000,((T80-1200000)*27.5%)+300000,0)
)))))))</f>
        <v>0</v>
      </c>
      <c r="V80" s="25">
        <f t="shared" si="19"/>
        <v>0</v>
      </c>
      <c r="W80" s="28">
        <f>+'11-2025'!$S80-'11-2025'!$V80+'11-2025'!$R80</f>
        <v>4000</v>
      </c>
      <c r="X80" s="28">
        <f t="shared" si="20"/>
        <v>133.33333333333334</v>
      </c>
      <c r="Y80" s="29">
        <v>0</v>
      </c>
      <c r="Z80" s="29">
        <f>IFERROR(+'11-2025'!$X80*'11-2025'!$Y80,"")</f>
        <v>0</v>
      </c>
      <c r="AA80" s="29">
        <v>0</v>
      </c>
      <c r="AB80" s="29">
        <f>IFERROR(+'11-2025'!$X80*'11-2025'!$AA80,"")</f>
        <v>0</v>
      </c>
      <c r="AC80" s="29">
        <v>4</v>
      </c>
      <c r="AD80" s="29">
        <f>IFERROR(+'11-2025'!$X80*'11-2025'!$AC80,"")</f>
        <v>533.33333333333337</v>
      </c>
      <c r="AE80" s="29">
        <v>0</v>
      </c>
      <c r="AF80" s="29">
        <f>IFERROR(+'11-2025'!$X80*'11-2025'!$AE80,"")</f>
        <v>0</v>
      </c>
      <c r="AG80" s="29">
        <v>3.5</v>
      </c>
      <c r="AH80" s="29">
        <f>IFERROR(+'11-2025'!$X80*'11-2025'!$AG80,"")</f>
        <v>466.66666666666669</v>
      </c>
      <c r="AI80" s="29">
        <v>0</v>
      </c>
      <c r="AJ80" s="29">
        <f>IFERROR('11-2025'!$Z80+'11-2025'!$AB80+'11-2025'!$AD80+'11-2025'!$AF80+'11-2025'!$AH80+'11-2025'!$AI80,"")</f>
        <v>1000</v>
      </c>
      <c r="AK80" s="30">
        <f>IFERROR('11-2025'!$W80-'11-2025'!$AJ80,"")</f>
        <v>3000</v>
      </c>
      <c r="AL80" s="31"/>
      <c r="AM80" s="31"/>
      <c r="AN80" s="31"/>
      <c r="AO80" s="31">
        <v>0</v>
      </c>
      <c r="AP80" s="31"/>
      <c r="AQ80" s="31"/>
      <c r="AR80" s="31">
        <v>0</v>
      </c>
      <c r="AS80" s="31">
        <v>0</v>
      </c>
      <c r="AT80" s="31">
        <v>0</v>
      </c>
      <c r="AU80" s="31">
        <v>0</v>
      </c>
      <c r="AV80" s="31">
        <v>0</v>
      </c>
      <c r="AW80" s="31">
        <v>0</v>
      </c>
      <c r="AX80" s="31">
        <v>0</v>
      </c>
      <c r="AY80" s="31">
        <v>0</v>
      </c>
      <c r="AZ80" s="31">
        <v>0</v>
      </c>
      <c r="BA80" s="31">
        <v>0</v>
      </c>
      <c r="BB80" s="31">
        <v>0</v>
      </c>
      <c r="BC80" s="31">
        <v>0</v>
      </c>
      <c r="BD80" s="31">
        <v>0</v>
      </c>
      <c r="BE80" s="31">
        <v>0</v>
      </c>
      <c r="BF80" s="31">
        <v>0</v>
      </c>
      <c r="BG80" s="31">
        <v>0</v>
      </c>
      <c r="BH80" s="31">
        <v>0</v>
      </c>
      <c r="BI80" s="31">
        <v>0</v>
      </c>
      <c r="BJ80" s="32">
        <f t="shared" si="23"/>
        <v>0</v>
      </c>
      <c r="BK80" s="41">
        <f>BJ80+AM80+AL80+'11-2025'!$N80+AN80+AO80</f>
        <v>4000</v>
      </c>
      <c r="BL80" s="34">
        <f>'11-2025'!$O80</f>
        <v>0</v>
      </c>
      <c r="BM80" s="34">
        <f t="shared" si="12"/>
        <v>0</v>
      </c>
      <c r="BN80" s="34">
        <f t="shared" si="13"/>
        <v>0</v>
      </c>
      <c r="BO80" s="34">
        <f t="shared" si="21"/>
        <v>1666.6666666666667</v>
      </c>
      <c r="BP80" s="35">
        <f t="shared" si="14"/>
        <v>2333.333333333333</v>
      </c>
      <c r="BQ80" s="34">
        <f>IFERROR(BP80/'11-2025'!$J80,0)*12</f>
        <v>27999.999999999996</v>
      </c>
      <c r="BR80" s="34">
        <f>IF(BQ80&lt;=40000,0,
IF(BQ80&lt;=55000,(BQ80-40000)*10%,
IF(BQ80&lt;=70000,(BQ80-55000)*15%+1500,
IF(BQ80&lt;=200000,(BQ80-70000)*20%+1500+2250,
IF(BQ80&lt;=400000,(BQ80-200000)*22.5%+1500+2250+26000,
IF(BQ80&lt;=600000,(BQ80-400000)*25%+1500+2250+26000+45000,
IF(AND(BQ80&gt;600000,BQ80&lt;=1200000),(BQ80-400000)*25%+1500+2250+26000+45000
+IFERROR(LOOKUP(BQ80,{600001;700001;800001;900001},{4000;6750;10250;15250}),0),IF(BQ80&gt;1200000,((BQ80-1200000)*27.5%)+300000,0)
)))))))</f>
        <v>0</v>
      </c>
      <c r="BS80" s="32">
        <f>(BR80/12*'11-2025'!$J80)</f>
        <v>0</v>
      </c>
      <c r="BT80" s="33">
        <f>BS80-'11-2025'!$V80</f>
        <v>0</v>
      </c>
      <c r="BU80" s="32">
        <f>IFERROR(+'11-2025'!$W80+AL80+AM80+BJ80-'11-2025'!$AJ80-BT80+AN80+AO80,"")-AL80+AP80+AQ80</f>
        <v>3000</v>
      </c>
      <c r="BV80" s="36"/>
      <c r="BW80" s="37"/>
      <c r="BX80" s="37">
        <f t="shared" si="22"/>
        <v>3000</v>
      </c>
      <c r="BY80" s="37"/>
    </row>
    <row r="81" spans="1:78" x14ac:dyDescent="0.25">
      <c r="A81" s="21">
        <v>594</v>
      </c>
      <c r="B81" s="22" t="s">
        <v>189</v>
      </c>
      <c r="C81" s="22" t="s">
        <v>81</v>
      </c>
      <c r="D81" s="22" t="s">
        <v>72</v>
      </c>
      <c r="E81" s="22" t="s">
        <v>124</v>
      </c>
      <c r="F81" s="22" t="s">
        <v>102</v>
      </c>
      <c r="G81" s="23">
        <v>45726</v>
      </c>
      <c r="H81" s="22"/>
      <c r="I81" s="24">
        <v>30107290100805</v>
      </c>
      <c r="J81" s="25">
        <v>1</v>
      </c>
      <c r="K81" s="25">
        <v>2500</v>
      </c>
      <c r="L81" s="25"/>
      <c r="M81" s="26"/>
      <c r="N81" s="25">
        <f>SUM('11-2025'!$K81:$M81)</f>
        <v>2500</v>
      </c>
      <c r="O81" s="25">
        <v>2500</v>
      </c>
      <c r="P81" s="25">
        <f t="shared" si="15"/>
        <v>468.75</v>
      </c>
      <c r="Q81" s="25">
        <f t="shared" si="16"/>
        <v>275</v>
      </c>
      <c r="R81" s="25">
        <v>1666.6666666666667</v>
      </c>
      <c r="S81" s="27">
        <f t="shared" si="17"/>
        <v>558.33333333333326</v>
      </c>
      <c r="T81" s="25">
        <f t="shared" si="18"/>
        <v>6699.9999999999991</v>
      </c>
      <c r="U81" s="25">
        <f>IF(T81&lt;=40000,0,
IF(T81&lt;=55000,(T81-40000)*10%,
IF(T81&lt;=70000,(T81-55000)*15%+1500,
IF(T81&lt;=200000,(T81-70000)*20%+1500+2250,
IF(T81&lt;=400000,(T81-200000)*22.5%+1500+2250+26000,
IF(T81&lt;=600000,(T81-400000)*25%+1500+2250+26000+45000,
IF(AND(T81&gt;600000,T81&lt;=1200000),(T81-400000)*25%+1500+2250+26000+45000
+IFERROR(LOOKUP(T81,{600001;700001;800001;900001},{4000;6750;10250;15250}),0),IF(T81&gt;1200000,((T81-1200000)*27.5%)+300000,0)
)))))))</f>
        <v>0</v>
      </c>
      <c r="V81" s="25">
        <f t="shared" si="19"/>
        <v>0</v>
      </c>
      <c r="W81" s="28">
        <f>+'11-2025'!$S81-'11-2025'!$V81+'11-2025'!$R81</f>
        <v>2225</v>
      </c>
      <c r="X81" s="28">
        <f t="shared" si="20"/>
        <v>74.166666666666671</v>
      </c>
      <c r="Y81" s="29">
        <v>0</v>
      </c>
      <c r="Z81" s="29">
        <f>IFERROR(+'11-2025'!$X81*'11-2025'!$Y81,"")</f>
        <v>0</v>
      </c>
      <c r="AA81" s="29">
        <v>2</v>
      </c>
      <c r="AB81" s="29">
        <f>IFERROR(+'11-2025'!$X81*'11-2025'!$AA81,"")</f>
        <v>148.33333333333334</v>
      </c>
      <c r="AC81" s="29">
        <v>0</v>
      </c>
      <c r="AD81" s="29">
        <f>IFERROR(+'11-2025'!$X81*'11-2025'!$AC81,"")</f>
        <v>0</v>
      </c>
      <c r="AE81" s="29">
        <v>0</v>
      </c>
      <c r="AF81" s="29">
        <f>IFERROR(+'11-2025'!$X81*'11-2025'!$AE81,"")</f>
        <v>0</v>
      </c>
      <c r="AG81" s="29">
        <v>0</v>
      </c>
      <c r="AH81" s="29">
        <f>IFERROR(+'11-2025'!$X81*'11-2025'!$AG81,"")</f>
        <v>0</v>
      </c>
      <c r="AI81" s="29">
        <v>600</v>
      </c>
      <c r="AJ81" s="29">
        <f>IFERROR('11-2025'!$Z81+'11-2025'!$AB81+'11-2025'!$AD81+'11-2025'!$AF81+'11-2025'!$AH81+'11-2025'!$AI81,"")</f>
        <v>748.33333333333337</v>
      </c>
      <c r="AK81" s="30">
        <f>IFERROR('11-2025'!$W81-'11-2025'!$AJ81,"")</f>
        <v>1476.6666666666665</v>
      </c>
      <c r="AL81" s="31"/>
      <c r="AM81" s="31">
        <v>500</v>
      </c>
      <c r="AN81" s="31"/>
      <c r="AO81" s="31">
        <v>0</v>
      </c>
      <c r="AP81" s="31"/>
      <c r="AQ81" s="31"/>
      <c r="AR81" s="31">
        <v>0</v>
      </c>
      <c r="AS81" s="31">
        <v>0</v>
      </c>
      <c r="AT81" s="31">
        <v>0</v>
      </c>
      <c r="AU81" s="31">
        <v>0</v>
      </c>
      <c r="AV81" s="31">
        <v>1174.5485999999999</v>
      </c>
      <c r="AW81" s="31">
        <v>0</v>
      </c>
      <c r="AX81" s="31">
        <v>0</v>
      </c>
      <c r="AY81" s="31">
        <v>0</v>
      </c>
      <c r="AZ81" s="31">
        <v>0</v>
      </c>
      <c r="BA81" s="31">
        <v>0</v>
      </c>
      <c r="BB81" s="31">
        <v>0</v>
      </c>
      <c r="BC81" s="31">
        <v>0</v>
      </c>
      <c r="BD81" s="31">
        <v>0</v>
      </c>
      <c r="BE81" s="31">
        <v>0</v>
      </c>
      <c r="BF81" s="31">
        <v>0</v>
      </c>
      <c r="BG81" s="31">
        <v>0</v>
      </c>
      <c r="BH81" s="31">
        <v>0</v>
      </c>
      <c r="BI81" s="31">
        <v>0</v>
      </c>
      <c r="BJ81" s="32">
        <f t="shared" si="23"/>
        <v>1174.5485999999999</v>
      </c>
      <c r="BK81" s="41">
        <f>BJ81+AM81+AL81+'11-2025'!$N81+AN81+AO81</f>
        <v>4174.5486000000001</v>
      </c>
      <c r="BL81" s="34">
        <f>'11-2025'!$O81</f>
        <v>2500</v>
      </c>
      <c r="BM81" s="34">
        <f t="shared" si="12"/>
        <v>468.75</v>
      </c>
      <c r="BN81" s="34">
        <f t="shared" si="13"/>
        <v>275</v>
      </c>
      <c r="BO81" s="34">
        <f t="shared" si="21"/>
        <v>1666.6666666666667</v>
      </c>
      <c r="BP81" s="35">
        <f t="shared" si="14"/>
        <v>2232.8819333333331</v>
      </c>
      <c r="BQ81" s="34">
        <f>IFERROR(BP81/'11-2025'!$J81,0)*12</f>
        <v>26794.583199999997</v>
      </c>
      <c r="BR81" s="34">
        <f>IF(BQ81&lt;=40000,0,
IF(BQ81&lt;=55000,(BQ81-40000)*10%,
IF(BQ81&lt;=70000,(BQ81-55000)*15%+1500,
IF(BQ81&lt;=200000,(BQ81-70000)*20%+1500+2250,
IF(BQ81&lt;=400000,(BQ81-200000)*22.5%+1500+2250+26000,
IF(BQ81&lt;=600000,(BQ81-400000)*25%+1500+2250+26000+45000,
IF(AND(BQ81&gt;600000,BQ81&lt;=1200000),(BQ81-400000)*25%+1500+2250+26000+45000
+IFERROR(LOOKUP(BQ81,{600001;700001;800001;900001},{4000;6750;10250;15250}),0),IF(BQ81&gt;1200000,((BQ81-1200000)*27.5%)+300000,0)
)))))))</f>
        <v>0</v>
      </c>
      <c r="BS81" s="32">
        <f>(BR81/12*'11-2025'!$J81)</f>
        <v>0</v>
      </c>
      <c r="BT81" s="33">
        <f>BS81-'11-2025'!$V81</f>
        <v>0</v>
      </c>
      <c r="BU81" s="32">
        <f>IFERROR(+'11-2025'!$W81+AL81+AM81+BJ81-'11-2025'!$AJ81-BT81+AN81+AO81,"")-AL81+AP81+AQ81</f>
        <v>3151.2152666666666</v>
      </c>
      <c r="BV81" s="36" t="s">
        <v>427</v>
      </c>
      <c r="BW81" s="37"/>
      <c r="BX81" s="37">
        <f t="shared" si="22"/>
        <v>3151.2152666666666</v>
      </c>
      <c r="BY81" s="37"/>
    </row>
    <row r="82" spans="1:78" s="75" customFormat="1" x14ac:dyDescent="0.25">
      <c r="A82" s="38">
        <v>596</v>
      </c>
      <c r="B82" s="40" t="s">
        <v>191</v>
      </c>
      <c r="C82" s="40" t="s">
        <v>81</v>
      </c>
      <c r="D82" s="40" t="s">
        <v>72</v>
      </c>
      <c r="E82" s="40" t="s">
        <v>190</v>
      </c>
      <c r="F82" s="40" t="s">
        <v>102</v>
      </c>
      <c r="G82" s="61">
        <v>45728</v>
      </c>
      <c r="H82" s="61">
        <v>45931</v>
      </c>
      <c r="I82" s="62">
        <v>30507080100169</v>
      </c>
      <c r="J82" s="63">
        <v>1</v>
      </c>
      <c r="K82" s="63">
        <v>2500</v>
      </c>
      <c r="L82" s="63"/>
      <c r="M82" s="64"/>
      <c r="N82" s="63">
        <f>SUM('11-2025'!$K82:$M82)</f>
        <v>2500</v>
      </c>
      <c r="O82" s="63"/>
      <c r="P82" s="63">
        <f t="shared" si="15"/>
        <v>0</v>
      </c>
      <c r="Q82" s="63">
        <f t="shared" si="16"/>
        <v>0</v>
      </c>
      <c r="R82" s="63">
        <v>1666.6666666666667</v>
      </c>
      <c r="S82" s="65">
        <f t="shared" si="17"/>
        <v>833.33333333333326</v>
      </c>
      <c r="T82" s="63">
        <f t="shared" si="18"/>
        <v>10000</v>
      </c>
      <c r="U82" s="63">
        <f>IF(T82&lt;=40000,0,
IF(T82&lt;=55000,(T82-40000)*10%,
IF(T82&lt;=70000,(T82-55000)*15%+1500,
IF(T82&lt;=200000,(T82-70000)*20%+1500+2250,
IF(T82&lt;=400000,(T82-200000)*22.5%+1500+2250+26000,
IF(T82&lt;=600000,(T82-400000)*25%+1500+2250+26000+45000,
IF(AND(T82&gt;600000,T82&lt;=1200000),(T82-400000)*25%+1500+2250+26000+45000
+IFERROR(LOOKUP(T82,{600001;700001;800001;900001},{4000;6750;10250;15250}),0),IF(T82&gt;1200000,((T82-1200000)*27.5%)+300000,0)
)))))))</f>
        <v>0</v>
      </c>
      <c r="V82" s="63">
        <f t="shared" si="19"/>
        <v>0</v>
      </c>
      <c r="W82" s="66">
        <f>+'11-2025'!$S82-'11-2025'!$V82+'11-2025'!$R82</f>
        <v>2500</v>
      </c>
      <c r="X82" s="66">
        <f t="shared" si="20"/>
        <v>83.333333333333329</v>
      </c>
      <c r="Y82" s="67"/>
      <c r="Z82" s="67">
        <f>IFERROR(+'11-2025'!$X82*'11-2025'!$Y82,"")</f>
        <v>0</v>
      </c>
      <c r="AA82" s="67"/>
      <c r="AB82" s="67">
        <f>IFERROR(+'11-2025'!$X82*'11-2025'!$AA82,"")</f>
        <v>0</v>
      </c>
      <c r="AC82" s="67">
        <v>30</v>
      </c>
      <c r="AD82" s="67">
        <f>IFERROR(+'11-2025'!$X82*'11-2025'!$AC82,"")</f>
        <v>2500</v>
      </c>
      <c r="AE82" s="67"/>
      <c r="AF82" s="67">
        <f>IFERROR(+'11-2025'!$X82*'11-2025'!$AE82,"")</f>
        <v>0</v>
      </c>
      <c r="AG82" s="67"/>
      <c r="AH82" s="67">
        <f>IFERROR(+'11-2025'!$X82*'11-2025'!$AG82,"")</f>
        <v>0</v>
      </c>
      <c r="AI82" s="29">
        <v>0</v>
      </c>
      <c r="AJ82" s="67">
        <f>IFERROR('11-2025'!$Z82+'11-2025'!$AB82+'11-2025'!$AD82+'11-2025'!$AF82+'11-2025'!$AH82+'11-2025'!$AI82,"")</f>
        <v>2500</v>
      </c>
      <c r="AK82" s="68">
        <f>IFERROR('11-2025'!$W82-'11-2025'!$AJ82,"")</f>
        <v>0</v>
      </c>
      <c r="AL82" s="69"/>
      <c r="AM82" s="69"/>
      <c r="AN82" s="69"/>
      <c r="AO82" s="69"/>
      <c r="AP82" s="69"/>
      <c r="AQ82" s="69"/>
      <c r="AR82" s="31">
        <v>0</v>
      </c>
      <c r="AS82" s="31">
        <v>0</v>
      </c>
      <c r="AT82" s="31">
        <v>0</v>
      </c>
      <c r="AU82" s="31">
        <v>0</v>
      </c>
      <c r="AV82" s="31">
        <v>0</v>
      </c>
      <c r="AW82" s="31">
        <v>0</v>
      </c>
      <c r="AX82" s="31">
        <v>0</v>
      </c>
      <c r="AY82" s="31">
        <v>0</v>
      </c>
      <c r="AZ82" s="31">
        <v>0</v>
      </c>
      <c r="BA82" s="31">
        <v>0</v>
      </c>
      <c r="BB82" s="31">
        <v>0</v>
      </c>
      <c r="BC82" s="31">
        <v>0</v>
      </c>
      <c r="BD82" s="31">
        <v>0</v>
      </c>
      <c r="BE82" s="31">
        <v>0</v>
      </c>
      <c r="BF82" s="31">
        <v>0</v>
      </c>
      <c r="BG82" s="31">
        <v>0</v>
      </c>
      <c r="BH82" s="31">
        <v>0</v>
      </c>
      <c r="BI82" s="31">
        <v>0</v>
      </c>
      <c r="BJ82" s="39">
        <f t="shared" si="23"/>
        <v>0</v>
      </c>
      <c r="BK82" s="77">
        <f>BJ82+AM82+AL82+'11-2025'!$N82+AN82+AO82</f>
        <v>2500</v>
      </c>
      <c r="BL82" s="71">
        <f>'11-2025'!$O82</f>
        <v>0</v>
      </c>
      <c r="BM82" s="71">
        <f t="shared" si="12"/>
        <v>0</v>
      </c>
      <c r="BN82" s="71">
        <f t="shared" si="13"/>
        <v>0</v>
      </c>
      <c r="BO82" s="71">
        <f t="shared" si="21"/>
        <v>1666.6666666666667</v>
      </c>
      <c r="BP82" s="72">
        <f t="shared" si="14"/>
        <v>833.33333333333326</v>
      </c>
      <c r="BQ82" s="71">
        <f>IFERROR(BP82/'11-2025'!$J82,0)*12</f>
        <v>10000</v>
      </c>
      <c r="BR82" s="71">
        <f>IF(BQ82&lt;=40000,0,
IF(BQ82&lt;=55000,(BQ82-40000)*10%,
IF(BQ82&lt;=70000,(BQ82-55000)*15%+1500,
IF(BQ82&lt;=200000,(BQ82-70000)*20%+1500+2250,
IF(BQ82&lt;=400000,(BQ82-200000)*22.5%+1500+2250+26000,
IF(BQ82&lt;=600000,(BQ82-400000)*25%+1500+2250+26000+45000,
IF(AND(BQ82&gt;600000,BQ82&lt;=1200000),(BQ82-400000)*25%+1500+2250+26000+45000
+IFERROR(LOOKUP(BQ82,{600001;700001;800001;900001},{4000;6750;10250;15250}),0),IF(BQ82&gt;1200000,((BQ82-1200000)*27.5%)+300000,0)
)))))))</f>
        <v>0</v>
      </c>
      <c r="BS82" s="39">
        <f>(BR82/12*'11-2025'!$J82)</f>
        <v>0</v>
      </c>
      <c r="BT82" s="70">
        <f>BS82-'11-2025'!$V82</f>
        <v>0</v>
      </c>
      <c r="BU82" s="39">
        <f>IFERROR(+'11-2025'!$W82+AL82+AM82+BJ82-'11-2025'!$AJ82-BT82+AN82+AO82,"")-AL82+AP82+AQ82</f>
        <v>0</v>
      </c>
      <c r="BV82" s="73"/>
      <c r="BW82" s="74"/>
      <c r="BX82" s="74">
        <f t="shared" si="22"/>
        <v>0</v>
      </c>
      <c r="BY82" s="74"/>
    </row>
    <row r="83" spans="1:78" x14ac:dyDescent="0.25">
      <c r="A83" s="21">
        <v>599</v>
      </c>
      <c r="B83" s="22" t="s">
        <v>192</v>
      </c>
      <c r="C83" s="22" t="s">
        <v>106</v>
      </c>
      <c r="D83" s="22" t="s">
        <v>72</v>
      </c>
      <c r="E83" s="22" t="s">
        <v>82</v>
      </c>
      <c r="F83" s="22" t="s">
        <v>236</v>
      </c>
      <c r="G83" s="23">
        <v>45861</v>
      </c>
      <c r="H83" s="22"/>
      <c r="I83" s="24">
        <v>30007031202328</v>
      </c>
      <c r="J83" s="25">
        <v>1</v>
      </c>
      <c r="K83" s="25">
        <v>2500</v>
      </c>
      <c r="L83" s="25"/>
      <c r="M83" s="26"/>
      <c r="N83" s="25">
        <f>SUM('11-2025'!$K83:$M83)</f>
        <v>2500</v>
      </c>
      <c r="O83" s="25"/>
      <c r="P83" s="25">
        <f t="shared" si="15"/>
        <v>0</v>
      </c>
      <c r="Q83" s="25">
        <f t="shared" si="16"/>
        <v>0</v>
      </c>
      <c r="R83" s="25">
        <v>1666.6666666666667</v>
      </c>
      <c r="S83" s="27">
        <f t="shared" si="17"/>
        <v>833.33333333333326</v>
      </c>
      <c r="T83" s="25">
        <f t="shared" si="18"/>
        <v>10000</v>
      </c>
      <c r="U83" s="25">
        <f>IF(T83&lt;=40000,0,
IF(T83&lt;=55000,(T83-40000)*10%,
IF(T83&lt;=70000,(T83-55000)*15%+1500,
IF(T83&lt;=200000,(T83-70000)*20%+1500+2250,
IF(T83&lt;=400000,(T83-200000)*22.5%+1500+2250+26000,
IF(T83&lt;=600000,(T83-400000)*25%+1500+2250+26000+45000,
IF(AND(T83&gt;600000,T83&lt;=1200000),(T83-400000)*25%+1500+2250+26000+45000
+IFERROR(LOOKUP(T83,{600001;700001;800001;900001},{4000;6750;10250;15250}),0),IF(T83&gt;1200000,((T83-1200000)*27.5%)+300000,0)
)))))))</f>
        <v>0</v>
      </c>
      <c r="V83" s="25">
        <f t="shared" si="19"/>
        <v>0</v>
      </c>
      <c r="W83" s="28">
        <f>+'11-2025'!$S83-'11-2025'!$V83+'11-2025'!$R83</f>
        <v>2500</v>
      </c>
      <c r="X83" s="28">
        <f t="shared" si="20"/>
        <v>83.333333333333329</v>
      </c>
      <c r="Y83" s="29">
        <v>0</v>
      </c>
      <c r="Z83" s="29">
        <f>IFERROR(+'11-2025'!$X83*'11-2025'!$Y83,"")</f>
        <v>0</v>
      </c>
      <c r="AA83" s="29">
        <v>0</v>
      </c>
      <c r="AB83" s="29">
        <f>IFERROR(+'11-2025'!$X83*'11-2025'!$AA83,"")</f>
        <v>0</v>
      </c>
      <c r="AC83" s="29">
        <v>0</v>
      </c>
      <c r="AD83" s="29">
        <f>IFERROR(+'11-2025'!$X83*'11-2025'!$AC83,"")</f>
        <v>0</v>
      </c>
      <c r="AE83" s="29">
        <v>0</v>
      </c>
      <c r="AF83" s="29">
        <f>IFERROR(+'11-2025'!$X83*'11-2025'!$AE83,"")</f>
        <v>0</v>
      </c>
      <c r="AG83" s="29">
        <v>0</v>
      </c>
      <c r="AH83" s="29">
        <f>IFERROR(+'11-2025'!$X83*'11-2025'!$AG83,"")</f>
        <v>0</v>
      </c>
      <c r="AI83" s="29">
        <v>0</v>
      </c>
      <c r="AJ83" s="29">
        <f>IFERROR('11-2025'!$Z83+'11-2025'!$AB83+'11-2025'!$AD83+'11-2025'!$AF83+'11-2025'!$AH83+'11-2025'!$AI83,"")</f>
        <v>0</v>
      </c>
      <c r="AK83" s="30">
        <f>IFERROR('11-2025'!$W83-'11-2025'!$AJ83,"")</f>
        <v>2500</v>
      </c>
      <c r="AL83" s="31"/>
      <c r="AM83" s="31"/>
      <c r="AN83" s="31"/>
      <c r="AO83" s="31">
        <v>0</v>
      </c>
      <c r="AP83" s="31"/>
      <c r="AQ83" s="31"/>
      <c r="AR83" s="31">
        <v>0</v>
      </c>
      <c r="AS83" s="31">
        <v>0</v>
      </c>
      <c r="AT83" s="31">
        <v>0</v>
      </c>
      <c r="AU83" s="31">
        <v>1000.8937500000002</v>
      </c>
      <c r="AV83" s="31">
        <v>0</v>
      </c>
      <c r="AW83" s="31">
        <v>0</v>
      </c>
      <c r="AX83" s="31">
        <v>0</v>
      </c>
      <c r="AY83" s="31">
        <v>0</v>
      </c>
      <c r="AZ83" s="31">
        <v>0</v>
      </c>
      <c r="BA83" s="31">
        <v>0</v>
      </c>
      <c r="BB83" s="31">
        <v>0</v>
      </c>
      <c r="BC83" s="31">
        <v>0</v>
      </c>
      <c r="BD83" s="31">
        <v>0</v>
      </c>
      <c r="BE83" s="31">
        <v>0</v>
      </c>
      <c r="BF83" s="31">
        <v>0</v>
      </c>
      <c r="BG83" s="31">
        <v>0</v>
      </c>
      <c r="BH83" s="31">
        <v>267.95</v>
      </c>
      <c r="BI83" s="31">
        <v>0</v>
      </c>
      <c r="BJ83" s="32">
        <f t="shared" si="23"/>
        <v>1268.8437500000002</v>
      </c>
      <c r="BK83" s="41">
        <f>BJ83+AM83+AL83+'11-2025'!$N83+AN83+AO83</f>
        <v>3768.84375</v>
      </c>
      <c r="BL83" s="34">
        <f>'11-2025'!$O83</f>
        <v>0</v>
      </c>
      <c r="BM83" s="34">
        <f t="shared" si="12"/>
        <v>0</v>
      </c>
      <c r="BN83" s="34">
        <f t="shared" si="13"/>
        <v>0</v>
      </c>
      <c r="BO83" s="34">
        <f t="shared" si="21"/>
        <v>1666.6666666666667</v>
      </c>
      <c r="BP83" s="35">
        <f t="shared" si="14"/>
        <v>2102.177083333333</v>
      </c>
      <c r="BQ83" s="34">
        <f>IFERROR(BP83/'11-2025'!$J83,0)*12</f>
        <v>25226.124999999996</v>
      </c>
      <c r="BR83" s="34">
        <f>IF(BQ83&lt;=40000,0,
IF(BQ83&lt;=55000,(BQ83-40000)*10%,
IF(BQ83&lt;=70000,(BQ83-55000)*15%+1500,
IF(BQ83&lt;=200000,(BQ83-70000)*20%+1500+2250,
IF(BQ83&lt;=400000,(BQ83-200000)*22.5%+1500+2250+26000,
IF(BQ83&lt;=600000,(BQ83-400000)*25%+1500+2250+26000+45000,
IF(AND(BQ83&gt;600000,BQ83&lt;=1200000),(BQ83-400000)*25%+1500+2250+26000+45000
+IFERROR(LOOKUP(BQ83,{600001;700001;800001;900001},{4000;6750;10250;15250}),0),IF(BQ83&gt;1200000,((BQ83-1200000)*27.5%)+300000,0)
)))))))</f>
        <v>0</v>
      </c>
      <c r="BS83" s="32">
        <f>(BR83/12*'11-2025'!$J83)</f>
        <v>0</v>
      </c>
      <c r="BT83" s="33">
        <f>BS83-'11-2025'!$V83</f>
        <v>0</v>
      </c>
      <c r="BU83" s="32">
        <f>IFERROR(+'11-2025'!$W83+AL83+AM83+BJ83-'11-2025'!$AJ83-BT83+AN83+AO83,"")-AL83+AP83+AQ83</f>
        <v>3768.84375</v>
      </c>
      <c r="BV83" s="36"/>
      <c r="BW83" s="37"/>
      <c r="BX83" s="37">
        <f t="shared" si="22"/>
        <v>3768.84375</v>
      </c>
      <c r="BY83" s="37"/>
    </row>
    <row r="84" spans="1:78" x14ac:dyDescent="0.25">
      <c r="A84" s="21">
        <v>603</v>
      </c>
      <c r="B84" s="22" t="s">
        <v>193</v>
      </c>
      <c r="C84" s="22" t="s">
        <v>106</v>
      </c>
      <c r="D84" s="22" t="s">
        <v>72</v>
      </c>
      <c r="E84" s="22" t="s">
        <v>82</v>
      </c>
      <c r="F84" s="22" t="s">
        <v>74</v>
      </c>
      <c r="G84" s="23">
        <v>45873</v>
      </c>
      <c r="H84" s="22"/>
      <c r="I84" s="24">
        <v>28910011231413</v>
      </c>
      <c r="J84" s="25">
        <v>1</v>
      </c>
      <c r="K84" s="25">
        <v>5550</v>
      </c>
      <c r="L84" s="25"/>
      <c r="M84" s="26"/>
      <c r="N84" s="25">
        <f>SUM('11-2025'!$K84:$M84)</f>
        <v>5550</v>
      </c>
      <c r="O84" s="25">
        <v>5000</v>
      </c>
      <c r="P84" s="25">
        <f t="shared" si="15"/>
        <v>937.5</v>
      </c>
      <c r="Q84" s="25">
        <f t="shared" si="16"/>
        <v>550</v>
      </c>
      <c r="R84" s="25">
        <v>1666.6666666666667</v>
      </c>
      <c r="S84" s="27">
        <f t="shared" si="17"/>
        <v>3333.333333333333</v>
      </c>
      <c r="T84" s="25">
        <f t="shared" si="18"/>
        <v>40000</v>
      </c>
      <c r="U84" s="25">
        <f>IF(T84&lt;=40000,0,
IF(T84&lt;=55000,(T84-40000)*10%,
IF(T84&lt;=70000,(T84-55000)*15%+1500,
IF(T84&lt;=200000,(T84-70000)*20%+1500+2250,
IF(T84&lt;=400000,(T84-200000)*22.5%+1500+2250+26000,
IF(T84&lt;=600000,(T84-400000)*25%+1500+2250+26000+45000,
IF(AND(T84&gt;600000,T84&lt;=1200000),(T84-400000)*25%+1500+2250+26000+45000
+IFERROR(LOOKUP(T84,{600001;700001;800001;900001},{4000;6750;10250;15250}),0),IF(T84&gt;1200000,((T84-1200000)*27.5%)+300000,0)
)))))))</f>
        <v>0</v>
      </c>
      <c r="V84" s="25">
        <f t="shared" si="19"/>
        <v>0</v>
      </c>
      <c r="W84" s="28">
        <f>+'11-2025'!$S84-'11-2025'!$V84+'11-2025'!$R84</f>
        <v>5000</v>
      </c>
      <c r="X84" s="28">
        <f t="shared" si="20"/>
        <v>166.66666666666666</v>
      </c>
      <c r="Y84" s="29">
        <v>0</v>
      </c>
      <c r="Z84" s="29">
        <f>IFERROR(+'11-2025'!$X84*'11-2025'!$Y84,"")</f>
        <v>0</v>
      </c>
      <c r="AA84" s="29">
        <v>0</v>
      </c>
      <c r="AB84" s="29">
        <f>IFERROR(+'11-2025'!$X84*'11-2025'!$AA84,"")</f>
        <v>0</v>
      </c>
      <c r="AC84" s="29">
        <v>0</v>
      </c>
      <c r="AD84" s="29">
        <f>IFERROR(+'11-2025'!$X84*'11-2025'!$AC84,"")</f>
        <v>0</v>
      </c>
      <c r="AE84" s="29">
        <v>0</v>
      </c>
      <c r="AF84" s="29">
        <f>IFERROR(+'11-2025'!$X84*'11-2025'!$AE84,"")</f>
        <v>0</v>
      </c>
      <c r="AG84" s="29">
        <v>0</v>
      </c>
      <c r="AH84" s="29">
        <f>IFERROR(+'11-2025'!$X84*'11-2025'!$AG84,"")</f>
        <v>0</v>
      </c>
      <c r="AI84" s="29">
        <v>1500</v>
      </c>
      <c r="AJ84" s="29">
        <f>IFERROR('11-2025'!$Z84+'11-2025'!$AB84+'11-2025'!$AD84+'11-2025'!$AF84+'11-2025'!$AH84+'11-2025'!$AI84,"")</f>
        <v>1500</v>
      </c>
      <c r="AK84" s="30">
        <f>IFERROR('11-2025'!$W84-'11-2025'!$AJ84,"")</f>
        <v>3500</v>
      </c>
      <c r="AL84" s="31"/>
      <c r="AM84" s="31">
        <f>2400+1000</f>
        <v>3400</v>
      </c>
      <c r="AN84" s="31"/>
      <c r="AO84" s="31">
        <v>0</v>
      </c>
      <c r="AP84" s="31"/>
      <c r="AQ84" s="31"/>
      <c r="AR84" s="31">
        <v>0</v>
      </c>
      <c r="AS84" s="31">
        <v>0</v>
      </c>
      <c r="AT84" s="31">
        <v>0</v>
      </c>
      <c r="AU84" s="31">
        <v>0</v>
      </c>
      <c r="AV84" s="31">
        <v>3769.7093749999999</v>
      </c>
      <c r="AW84" s="31">
        <v>0</v>
      </c>
      <c r="AX84" s="31">
        <v>0</v>
      </c>
      <c r="AY84" s="31">
        <v>0</v>
      </c>
      <c r="AZ84" s="31">
        <v>0</v>
      </c>
      <c r="BA84" s="31">
        <v>0</v>
      </c>
      <c r="BB84" s="31">
        <v>0</v>
      </c>
      <c r="BC84" s="31">
        <v>0</v>
      </c>
      <c r="BD84" s="31">
        <v>0</v>
      </c>
      <c r="BE84" s="31">
        <v>0</v>
      </c>
      <c r="BF84" s="31">
        <v>0</v>
      </c>
      <c r="BG84" s="31">
        <v>0</v>
      </c>
      <c r="BH84" s="31">
        <v>1156.4499499999999</v>
      </c>
      <c r="BI84" s="31">
        <v>0</v>
      </c>
      <c r="BJ84" s="32">
        <f t="shared" si="23"/>
        <v>4926.1593249999996</v>
      </c>
      <c r="BK84" s="41">
        <f>BJ84+AM84+AL84+'11-2025'!$N84+AN84+AO84</f>
        <v>13876.159325000001</v>
      </c>
      <c r="BL84" s="34">
        <f>'11-2025'!$O84</f>
        <v>5000</v>
      </c>
      <c r="BM84" s="34">
        <f t="shared" si="12"/>
        <v>937.5</v>
      </c>
      <c r="BN84" s="34">
        <f t="shared" si="13"/>
        <v>550</v>
      </c>
      <c r="BO84" s="34">
        <f t="shared" si="21"/>
        <v>1666.6666666666667</v>
      </c>
      <c r="BP84" s="35">
        <f t="shared" si="14"/>
        <v>11659.492658333334</v>
      </c>
      <c r="BQ84" s="34">
        <f>IFERROR(BP84/'11-2025'!$J84,0)*12</f>
        <v>139913.91190000001</v>
      </c>
      <c r="BR84" s="34">
        <f>IF(BQ84&lt;=40000,0,
IF(BQ84&lt;=55000,(BQ84-40000)*10%,
IF(BQ84&lt;=70000,(BQ84-55000)*15%+1500,
IF(BQ84&lt;=200000,(BQ84-70000)*20%+1500+2250,
IF(BQ84&lt;=400000,(BQ84-200000)*22.5%+1500+2250+26000,
IF(BQ84&lt;=600000,(BQ84-400000)*25%+1500+2250+26000+45000,
IF(AND(BQ84&gt;600000,BQ84&lt;=1200000),(BQ84-400000)*25%+1500+2250+26000+45000
+IFERROR(LOOKUP(BQ84,{600001;700001;800001;900001},{4000;6750;10250;15250}),0),IF(BQ84&gt;1200000,((BQ84-1200000)*27.5%)+300000,0)
)))))))</f>
        <v>17732.782380000004</v>
      </c>
      <c r="BS84" s="32">
        <f>(BR84/12*'11-2025'!$J84)</f>
        <v>1477.7318650000004</v>
      </c>
      <c r="BT84" s="33">
        <f>BS84-'11-2025'!$V84</f>
        <v>1477.7318650000004</v>
      </c>
      <c r="BU84" s="32">
        <f>IFERROR(+'11-2025'!$W84+AL84+AM84+BJ84-'11-2025'!$AJ84-BT84+AN84+AO84,"")-AL84+AP84+AQ84</f>
        <v>10348.427460000001</v>
      </c>
      <c r="BV84" s="36" t="s">
        <v>429</v>
      </c>
      <c r="BW84" s="37"/>
      <c r="BX84" s="37">
        <f t="shared" si="22"/>
        <v>10348.427460000001</v>
      </c>
      <c r="BY84" s="37" t="s">
        <v>75</v>
      </c>
      <c r="BZ84" s="59"/>
    </row>
    <row r="85" spans="1:78" x14ac:dyDescent="0.25">
      <c r="A85" s="43">
        <v>242</v>
      </c>
      <c r="B85" s="22" t="s">
        <v>194</v>
      </c>
      <c r="C85" s="22" t="s">
        <v>71</v>
      </c>
      <c r="D85" s="22" t="s">
        <v>77</v>
      </c>
      <c r="E85" s="22" t="s">
        <v>132</v>
      </c>
      <c r="F85" s="22" t="s">
        <v>195</v>
      </c>
      <c r="G85" s="23">
        <v>45763</v>
      </c>
      <c r="H85" s="22"/>
      <c r="I85" s="24">
        <v>26701172102171</v>
      </c>
      <c r="J85" s="25">
        <v>1</v>
      </c>
      <c r="K85" s="25">
        <v>4000</v>
      </c>
      <c r="L85" s="25"/>
      <c r="M85" s="26"/>
      <c r="N85" s="25">
        <f>SUM('11-2025'!$K85:$M85)</f>
        <v>4000</v>
      </c>
      <c r="O85" s="25"/>
      <c r="P85" s="25">
        <f t="shared" si="15"/>
        <v>0</v>
      </c>
      <c r="Q85" s="25">
        <f t="shared" si="16"/>
        <v>0</v>
      </c>
      <c r="R85" s="25">
        <v>1666.6666666666667</v>
      </c>
      <c r="S85" s="27">
        <f t="shared" si="17"/>
        <v>2333.333333333333</v>
      </c>
      <c r="T85" s="25">
        <f t="shared" si="18"/>
        <v>27999.999999999996</v>
      </c>
      <c r="U85" s="25">
        <f>IF(T85&lt;=40000,0,
IF(T85&lt;=55000,(T85-40000)*10%,
IF(T85&lt;=70000,(T85-55000)*15%+1500,
IF(T85&lt;=200000,(T85-70000)*20%+1500+2250,
IF(T85&lt;=400000,(T85-200000)*22.5%+1500+2250+26000,
IF(T85&lt;=600000,(T85-400000)*25%+1500+2250+26000+45000,
IF(AND(T85&gt;600000,T85&lt;=1200000),(T85-400000)*25%+1500+2250+26000+45000
+IFERROR(LOOKUP(T85,{600001;700001;800001;900001},{4000;6750;10250;15250}),0),IF(T85&gt;1200000,((T85-1200000)*27.5%)+300000,0)
)))))))</f>
        <v>0</v>
      </c>
      <c r="V85" s="25">
        <f t="shared" si="19"/>
        <v>0</v>
      </c>
      <c r="W85" s="28">
        <f>+'11-2025'!$S85-'11-2025'!$V85+'11-2025'!$R85</f>
        <v>4000</v>
      </c>
      <c r="X85" s="28">
        <f t="shared" si="20"/>
        <v>133.33333333333334</v>
      </c>
      <c r="Y85" s="29">
        <v>0</v>
      </c>
      <c r="Z85" s="29">
        <f>IFERROR(+'11-2025'!$X85*'11-2025'!$Y85,"")</f>
        <v>0</v>
      </c>
      <c r="AA85" s="29">
        <v>0</v>
      </c>
      <c r="AB85" s="29">
        <f>IFERROR(+'11-2025'!$X85*'11-2025'!$AA85,"")</f>
        <v>0</v>
      </c>
      <c r="AC85" s="29">
        <v>1</v>
      </c>
      <c r="AD85" s="29">
        <f>IFERROR(+'11-2025'!$X85*'11-2025'!$AC85,"")</f>
        <v>133.33333333333334</v>
      </c>
      <c r="AE85" s="29">
        <v>0</v>
      </c>
      <c r="AF85" s="29">
        <f>IFERROR(+'11-2025'!$X85*'11-2025'!$AE85,"")</f>
        <v>0</v>
      </c>
      <c r="AG85" s="29">
        <v>0.5</v>
      </c>
      <c r="AH85" s="29">
        <f>IFERROR(+'11-2025'!$X85*'11-2025'!$AG85,"")</f>
        <v>66.666666666666671</v>
      </c>
      <c r="AI85" s="29">
        <v>0</v>
      </c>
      <c r="AJ85" s="29">
        <f>IFERROR('11-2025'!$Z85+'11-2025'!$AB85+'11-2025'!$AD85+'11-2025'!$AF85+'11-2025'!$AH85+'11-2025'!$AI85,"")</f>
        <v>200</v>
      </c>
      <c r="AK85" s="30">
        <f>IFERROR('11-2025'!$W85-'11-2025'!$AJ85,"")</f>
        <v>3800</v>
      </c>
      <c r="AL85" s="31"/>
      <c r="AM85" s="31"/>
      <c r="AN85" s="31"/>
      <c r="AO85" s="31">
        <v>0</v>
      </c>
      <c r="AP85" s="31"/>
      <c r="AQ85" s="31"/>
      <c r="AR85" s="31">
        <v>0</v>
      </c>
      <c r="AS85" s="31">
        <v>0</v>
      </c>
      <c r="AT85" s="31">
        <v>0</v>
      </c>
      <c r="AU85" s="31">
        <v>0</v>
      </c>
      <c r="AV85" s="31">
        <v>0</v>
      </c>
      <c r="AW85" s="31">
        <v>0</v>
      </c>
      <c r="AX85" s="31">
        <v>0</v>
      </c>
      <c r="AY85" s="31">
        <v>0</v>
      </c>
      <c r="AZ85" s="31">
        <v>0</v>
      </c>
      <c r="BA85" s="31">
        <v>0</v>
      </c>
      <c r="BB85" s="31">
        <v>0</v>
      </c>
      <c r="BC85" s="31">
        <v>0</v>
      </c>
      <c r="BD85" s="31">
        <v>0</v>
      </c>
      <c r="BE85" s="31">
        <v>0</v>
      </c>
      <c r="BF85" s="31">
        <v>0</v>
      </c>
      <c r="BG85" s="31">
        <v>0</v>
      </c>
      <c r="BH85" s="31">
        <v>0</v>
      </c>
      <c r="BI85" s="31">
        <v>0</v>
      </c>
      <c r="BJ85" s="32">
        <f t="shared" si="23"/>
        <v>0</v>
      </c>
      <c r="BK85" s="41">
        <f>BJ85+AM85+AL85+'11-2025'!$N85+AN85+AO85</f>
        <v>4000</v>
      </c>
      <c r="BL85" s="34">
        <f>'11-2025'!$O85</f>
        <v>0</v>
      </c>
      <c r="BM85" s="34">
        <f t="shared" si="12"/>
        <v>0</v>
      </c>
      <c r="BN85" s="34">
        <f t="shared" si="13"/>
        <v>0</v>
      </c>
      <c r="BO85" s="34">
        <f t="shared" si="21"/>
        <v>1666.6666666666667</v>
      </c>
      <c r="BP85" s="35">
        <f t="shared" si="14"/>
        <v>2333.333333333333</v>
      </c>
      <c r="BQ85" s="34">
        <f>IFERROR(BP85/'11-2025'!$J85,0)*12</f>
        <v>27999.999999999996</v>
      </c>
      <c r="BR85" s="34">
        <f>IF(BQ85&lt;=40000,0,
IF(BQ85&lt;=55000,(BQ85-40000)*10%,
IF(BQ85&lt;=70000,(BQ85-55000)*15%+1500,
IF(BQ85&lt;=200000,(BQ85-70000)*20%+1500+2250,
IF(BQ85&lt;=400000,(BQ85-200000)*22.5%+1500+2250+26000,
IF(BQ85&lt;=600000,(BQ85-400000)*25%+1500+2250+26000+45000,
IF(AND(BQ85&gt;600000,BQ85&lt;=1200000),(BQ85-400000)*25%+1500+2250+26000+45000
+IFERROR(LOOKUP(BQ85,{600001;700001;800001;900001},{4000;6750;10250;15250}),0),IF(BQ85&gt;1200000,((BQ85-1200000)*27.5%)+300000,0)
)))))))</f>
        <v>0</v>
      </c>
      <c r="BS85" s="32">
        <f>(BR85/12*'11-2025'!$J85)</f>
        <v>0</v>
      </c>
      <c r="BT85" s="33">
        <f>BS85-'11-2025'!$V85</f>
        <v>0</v>
      </c>
      <c r="BU85" s="32">
        <f>IFERROR(+'11-2025'!$W85+AL85+AM85+BJ85-'11-2025'!$AJ85-BT85+AN85+AO85,"")-AL85+AP85+AQ85</f>
        <v>3800</v>
      </c>
      <c r="BV85" s="36"/>
      <c r="BW85" s="37"/>
      <c r="BX85" s="37">
        <f t="shared" si="22"/>
        <v>3800</v>
      </c>
      <c r="BY85" s="37"/>
    </row>
    <row r="86" spans="1:78" s="75" customFormat="1" x14ac:dyDescent="0.25">
      <c r="A86" s="44">
        <v>609</v>
      </c>
      <c r="B86" s="40" t="s">
        <v>196</v>
      </c>
      <c r="C86" s="40" t="s">
        <v>81</v>
      </c>
      <c r="D86" s="40" t="s">
        <v>72</v>
      </c>
      <c r="E86" s="40" t="s">
        <v>124</v>
      </c>
      <c r="F86" s="40" t="s">
        <v>86</v>
      </c>
      <c r="G86" s="61">
        <v>45752</v>
      </c>
      <c r="H86" s="61">
        <v>45931</v>
      </c>
      <c r="I86" s="62">
        <v>27909280102393</v>
      </c>
      <c r="J86" s="63">
        <v>1</v>
      </c>
      <c r="K86" s="63">
        <v>5000</v>
      </c>
      <c r="L86" s="63"/>
      <c r="M86" s="64"/>
      <c r="N86" s="63">
        <f>SUM('11-2025'!$K86:$M86)</f>
        <v>5000</v>
      </c>
      <c r="O86" s="63"/>
      <c r="P86" s="63">
        <f t="shared" si="15"/>
        <v>0</v>
      </c>
      <c r="Q86" s="63">
        <f t="shared" si="16"/>
        <v>0</v>
      </c>
      <c r="R86" s="63">
        <v>1666.6666666666667</v>
      </c>
      <c r="S86" s="65">
        <f t="shared" si="17"/>
        <v>3333.333333333333</v>
      </c>
      <c r="T86" s="63">
        <f t="shared" si="18"/>
        <v>40000</v>
      </c>
      <c r="U86" s="63">
        <f>IF(T86&lt;=40000,0,
IF(T86&lt;=55000,(T86-40000)*10%,
IF(T86&lt;=70000,(T86-55000)*15%+1500,
IF(T86&lt;=200000,(T86-70000)*20%+1500+2250,
IF(T86&lt;=400000,(T86-200000)*22.5%+1500+2250+26000,
IF(T86&lt;=600000,(T86-400000)*25%+1500+2250+26000+45000,
IF(AND(T86&gt;600000,T86&lt;=1200000),(T86-400000)*25%+1500+2250+26000+45000
+IFERROR(LOOKUP(T86,{600001;700001;800001;900001},{4000;6750;10250;15250}),0),IF(T86&gt;1200000,((T86-1200000)*27.5%)+300000,0)
)))))))</f>
        <v>0</v>
      </c>
      <c r="V86" s="63">
        <f t="shared" si="19"/>
        <v>0</v>
      </c>
      <c r="W86" s="66">
        <f>+'11-2025'!$S86-'11-2025'!$V86+'11-2025'!$R86</f>
        <v>5000</v>
      </c>
      <c r="X86" s="66">
        <f t="shared" si="20"/>
        <v>166.66666666666666</v>
      </c>
      <c r="Y86" s="67"/>
      <c r="Z86" s="67">
        <f>IFERROR(+'11-2025'!$X86*'11-2025'!$Y86,"")</f>
        <v>0</v>
      </c>
      <c r="AA86" s="67"/>
      <c r="AB86" s="67">
        <f>IFERROR(+'11-2025'!$X86*'11-2025'!$AA86,"")</f>
        <v>0</v>
      </c>
      <c r="AC86" s="67">
        <v>30</v>
      </c>
      <c r="AD86" s="67">
        <f>IFERROR(+'11-2025'!$X86*'11-2025'!$AC86,"")</f>
        <v>5000</v>
      </c>
      <c r="AE86" s="67"/>
      <c r="AF86" s="67">
        <f>IFERROR(+'11-2025'!$X86*'11-2025'!$AE86,"")</f>
        <v>0</v>
      </c>
      <c r="AG86" s="67"/>
      <c r="AH86" s="67">
        <f>IFERROR(+'11-2025'!$X86*'11-2025'!$AG86,"")</f>
        <v>0</v>
      </c>
      <c r="AI86" s="29">
        <v>0</v>
      </c>
      <c r="AJ86" s="67">
        <f>IFERROR('11-2025'!$Z86+'11-2025'!$AB86+'11-2025'!$AD86+'11-2025'!$AF86+'11-2025'!$AH86+'11-2025'!$AI86,"")</f>
        <v>5000</v>
      </c>
      <c r="AK86" s="68">
        <f>IFERROR('11-2025'!$W86-'11-2025'!$AJ86,"")</f>
        <v>0</v>
      </c>
      <c r="AL86" s="69"/>
      <c r="AM86" s="69"/>
      <c r="AN86" s="69"/>
      <c r="AO86" s="69"/>
      <c r="AP86" s="69"/>
      <c r="AQ86" s="69"/>
      <c r="AR86" s="31">
        <v>0</v>
      </c>
      <c r="AS86" s="31">
        <v>0</v>
      </c>
      <c r="AT86" s="31">
        <v>0</v>
      </c>
      <c r="AU86" s="31">
        <v>0</v>
      </c>
      <c r="AV86" s="31">
        <v>0</v>
      </c>
      <c r="AW86" s="31">
        <v>0</v>
      </c>
      <c r="AX86" s="31">
        <v>0</v>
      </c>
      <c r="AY86" s="31">
        <v>0</v>
      </c>
      <c r="AZ86" s="31">
        <v>0</v>
      </c>
      <c r="BA86" s="31">
        <v>0</v>
      </c>
      <c r="BB86" s="31">
        <v>0</v>
      </c>
      <c r="BC86" s="31">
        <v>0</v>
      </c>
      <c r="BD86" s="31">
        <v>0</v>
      </c>
      <c r="BE86" s="31">
        <v>0</v>
      </c>
      <c r="BF86" s="31">
        <v>0</v>
      </c>
      <c r="BG86" s="31">
        <v>0</v>
      </c>
      <c r="BH86" s="31">
        <v>0</v>
      </c>
      <c r="BI86" s="31">
        <v>0</v>
      </c>
      <c r="BJ86" s="39">
        <f t="shared" si="23"/>
        <v>0</v>
      </c>
      <c r="BK86" s="77">
        <f>BJ86+AM86+AL86+'11-2025'!$N86+AN86+AO86</f>
        <v>5000</v>
      </c>
      <c r="BL86" s="71">
        <f>'11-2025'!$O86</f>
        <v>0</v>
      </c>
      <c r="BM86" s="71">
        <f t="shared" si="12"/>
        <v>0</v>
      </c>
      <c r="BN86" s="71">
        <f t="shared" si="13"/>
        <v>0</v>
      </c>
      <c r="BO86" s="71">
        <f t="shared" si="21"/>
        <v>1666.6666666666667</v>
      </c>
      <c r="BP86" s="72">
        <f t="shared" si="14"/>
        <v>3333.333333333333</v>
      </c>
      <c r="BQ86" s="71">
        <f>IFERROR(BP86/'11-2025'!$J86,0)*12</f>
        <v>40000</v>
      </c>
      <c r="BR86" s="71">
        <f>IF(BQ86&lt;=40000,0,
IF(BQ86&lt;=55000,(BQ86-40000)*10%,
IF(BQ86&lt;=70000,(BQ86-55000)*15%+1500,
IF(BQ86&lt;=200000,(BQ86-70000)*20%+1500+2250,
IF(BQ86&lt;=400000,(BQ86-200000)*22.5%+1500+2250+26000,
IF(BQ86&lt;=600000,(BQ86-400000)*25%+1500+2250+26000+45000,
IF(AND(BQ86&gt;600000,BQ86&lt;=1200000),(BQ86-400000)*25%+1500+2250+26000+45000
+IFERROR(LOOKUP(BQ86,{600001;700001;800001;900001},{4000;6750;10250;15250}),0),IF(BQ86&gt;1200000,((BQ86-1200000)*27.5%)+300000,0)
)))))))</f>
        <v>0</v>
      </c>
      <c r="BS86" s="39">
        <f>(BR86/12*'11-2025'!$J86)</f>
        <v>0</v>
      </c>
      <c r="BT86" s="70">
        <f>BS86-'11-2025'!$V86</f>
        <v>0</v>
      </c>
      <c r="BU86" s="39">
        <f>IFERROR(+'11-2025'!$W86+AL86+AM86+BJ86-'11-2025'!$AJ86-BT86+AN86+AO86,"")-AL86+AP86+AQ86</f>
        <v>0</v>
      </c>
      <c r="BV86" s="73"/>
      <c r="BW86" s="74"/>
      <c r="BX86" s="74">
        <f t="shared" si="22"/>
        <v>0</v>
      </c>
      <c r="BY86" s="74"/>
    </row>
    <row r="87" spans="1:78" s="75" customFormat="1" x14ac:dyDescent="0.25">
      <c r="A87" s="44">
        <v>611</v>
      </c>
      <c r="B87" s="40" t="s">
        <v>197</v>
      </c>
      <c r="C87" s="40" t="s">
        <v>81</v>
      </c>
      <c r="D87" s="40" t="s">
        <v>77</v>
      </c>
      <c r="E87" s="40" t="s">
        <v>132</v>
      </c>
      <c r="F87" s="40" t="s">
        <v>133</v>
      </c>
      <c r="G87" s="61">
        <v>45752</v>
      </c>
      <c r="H87" s="61">
        <v>45935</v>
      </c>
      <c r="I87" s="62">
        <v>29612240103669</v>
      </c>
      <c r="J87" s="63">
        <v>1</v>
      </c>
      <c r="K87" s="63">
        <v>4000</v>
      </c>
      <c r="L87" s="63"/>
      <c r="M87" s="64"/>
      <c r="N87" s="63">
        <f>SUM('11-2025'!$K87:$M87)</f>
        <v>4000</v>
      </c>
      <c r="O87" s="63"/>
      <c r="P87" s="63">
        <f t="shared" si="15"/>
        <v>0</v>
      </c>
      <c r="Q87" s="63">
        <f t="shared" si="16"/>
        <v>0</v>
      </c>
      <c r="R87" s="63">
        <v>1666.6666666666667</v>
      </c>
      <c r="S87" s="65">
        <f t="shared" si="17"/>
        <v>2333.333333333333</v>
      </c>
      <c r="T87" s="63">
        <f t="shared" si="18"/>
        <v>27999.999999999996</v>
      </c>
      <c r="U87" s="63">
        <f>IF(T87&lt;=40000,0,
IF(T87&lt;=55000,(T87-40000)*10%,
IF(T87&lt;=70000,(T87-55000)*15%+1500,
IF(T87&lt;=200000,(T87-70000)*20%+1500+2250,
IF(T87&lt;=400000,(T87-200000)*22.5%+1500+2250+26000,
IF(T87&lt;=600000,(T87-400000)*25%+1500+2250+26000+45000,
IF(AND(T87&gt;600000,T87&lt;=1200000),(T87-400000)*25%+1500+2250+26000+45000
+IFERROR(LOOKUP(T87,{600001;700001;800001;900001},{4000;6750;10250;15250}),0),IF(T87&gt;1200000,((T87-1200000)*27.5%)+300000,0)
)))))))</f>
        <v>0</v>
      </c>
      <c r="V87" s="63">
        <f t="shared" si="19"/>
        <v>0</v>
      </c>
      <c r="W87" s="66">
        <f>+'11-2025'!$S87-'11-2025'!$V87+'11-2025'!$R87</f>
        <v>4000</v>
      </c>
      <c r="X87" s="66">
        <f t="shared" si="20"/>
        <v>133.33333333333334</v>
      </c>
      <c r="Y87" s="67"/>
      <c r="Z87" s="67">
        <f>IFERROR(+'11-2025'!$X87*'11-2025'!$Y87,"")</f>
        <v>0</v>
      </c>
      <c r="AA87" s="67"/>
      <c r="AB87" s="67">
        <f>IFERROR(+'11-2025'!$X87*'11-2025'!$AA87,"")</f>
        <v>0</v>
      </c>
      <c r="AC87" s="67">
        <v>30</v>
      </c>
      <c r="AD87" s="67">
        <f>IFERROR(+'11-2025'!$X87*'11-2025'!$AC87,"")</f>
        <v>4000.0000000000005</v>
      </c>
      <c r="AE87" s="67"/>
      <c r="AF87" s="67">
        <f>IFERROR(+'11-2025'!$X87*'11-2025'!$AE87,"")</f>
        <v>0</v>
      </c>
      <c r="AG87" s="67"/>
      <c r="AH87" s="67">
        <f>IFERROR(+'11-2025'!$X87*'11-2025'!$AG87,"")</f>
        <v>0</v>
      </c>
      <c r="AI87" s="29">
        <v>0</v>
      </c>
      <c r="AJ87" s="67">
        <f>IFERROR('11-2025'!$Z87+'11-2025'!$AB87+'11-2025'!$AD87+'11-2025'!$AF87+'11-2025'!$AH87+'11-2025'!$AI87,"")</f>
        <v>4000.0000000000005</v>
      </c>
      <c r="AK87" s="68">
        <f>IFERROR('11-2025'!$W87-'11-2025'!$AJ87,"")</f>
        <v>-4.5474735088646412E-13</v>
      </c>
      <c r="AL87" s="69"/>
      <c r="AM87" s="69"/>
      <c r="AN87" s="69"/>
      <c r="AO87" s="69"/>
      <c r="AP87" s="69"/>
      <c r="AQ87" s="69"/>
      <c r="AR87" s="31">
        <v>0</v>
      </c>
      <c r="AS87" s="31">
        <v>0</v>
      </c>
      <c r="AT87" s="31">
        <v>0</v>
      </c>
      <c r="AU87" s="31">
        <v>0</v>
      </c>
      <c r="AV87" s="31">
        <v>0</v>
      </c>
      <c r="AW87" s="31">
        <v>0</v>
      </c>
      <c r="AX87" s="31">
        <v>0</v>
      </c>
      <c r="AY87" s="31">
        <v>0</v>
      </c>
      <c r="AZ87" s="31">
        <v>0</v>
      </c>
      <c r="BA87" s="31">
        <v>0</v>
      </c>
      <c r="BB87" s="31">
        <v>0</v>
      </c>
      <c r="BC87" s="31">
        <v>0</v>
      </c>
      <c r="BD87" s="31">
        <v>0</v>
      </c>
      <c r="BE87" s="31">
        <v>0</v>
      </c>
      <c r="BF87" s="31">
        <v>0</v>
      </c>
      <c r="BG87" s="31">
        <v>0</v>
      </c>
      <c r="BH87" s="31">
        <v>0</v>
      </c>
      <c r="BI87" s="31">
        <v>0</v>
      </c>
      <c r="BJ87" s="39">
        <f t="shared" si="23"/>
        <v>0</v>
      </c>
      <c r="BK87" s="77">
        <f>BJ87+AM87+AL87+'11-2025'!$N87+AN87+AO87</f>
        <v>4000</v>
      </c>
      <c r="BL87" s="71">
        <f>'11-2025'!$O87</f>
        <v>0</v>
      </c>
      <c r="BM87" s="71">
        <f t="shared" si="12"/>
        <v>0</v>
      </c>
      <c r="BN87" s="71">
        <f t="shared" si="13"/>
        <v>0</v>
      </c>
      <c r="BO87" s="71">
        <f t="shared" si="21"/>
        <v>1666.6666666666667</v>
      </c>
      <c r="BP87" s="72">
        <f t="shared" si="14"/>
        <v>2333.333333333333</v>
      </c>
      <c r="BQ87" s="71">
        <f>IFERROR(BP87/'11-2025'!$J87,0)*12</f>
        <v>27999.999999999996</v>
      </c>
      <c r="BR87" s="71">
        <f>IF(BQ87&lt;=40000,0,
IF(BQ87&lt;=55000,(BQ87-40000)*10%,
IF(BQ87&lt;=70000,(BQ87-55000)*15%+1500,
IF(BQ87&lt;=200000,(BQ87-70000)*20%+1500+2250,
IF(BQ87&lt;=400000,(BQ87-200000)*22.5%+1500+2250+26000,
IF(BQ87&lt;=600000,(BQ87-400000)*25%+1500+2250+26000+45000,
IF(AND(BQ87&gt;600000,BQ87&lt;=1200000),(BQ87-400000)*25%+1500+2250+26000+45000
+IFERROR(LOOKUP(BQ87,{600001;700001;800001;900001},{4000;6750;10250;15250}),0),IF(BQ87&gt;1200000,((BQ87-1200000)*27.5%)+300000,0)
)))))))</f>
        <v>0</v>
      </c>
      <c r="BS87" s="39">
        <f>(BR87/12*'11-2025'!$J87)</f>
        <v>0</v>
      </c>
      <c r="BT87" s="70">
        <f>BS87-'11-2025'!$V87</f>
        <v>0</v>
      </c>
      <c r="BU87" s="39">
        <f>IFERROR(+'11-2025'!$W87+AL87+AM87+BJ87-'11-2025'!$AJ87-BT87+AN87+AO87,"")-AL87+AP87+AQ87</f>
        <v>-4.5474735088646412E-13</v>
      </c>
      <c r="BV87" s="73"/>
      <c r="BW87" s="74"/>
      <c r="BX87" s="74">
        <f t="shared" si="22"/>
        <v>-4.5474735088646412E-13</v>
      </c>
      <c r="BY87" s="74"/>
    </row>
    <row r="88" spans="1:78" x14ac:dyDescent="0.25">
      <c r="A88" s="43">
        <v>612</v>
      </c>
      <c r="B88" s="22" t="s">
        <v>198</v>
      </c>
      <c r="C88" s="22" t="s">
        <v>71</v>
      </c>
      <c r="D88" s="22" t="s">
        <v>77</v>
      </c>
      <c r="E88" s="22" t="s">
        <v>78</v>
      </c>
      <c r="F88" s="22" t="s">
        <v>160</v>
      </c>
      <c r="G88" s="23">
        <v>45752</v>
      </c>
      <c r="H88" s="22"/>
      <c r="I88" s="24">
        <v>29509100100893</v>
      </c>
      <c r="J88" s="25">
        <v>1</v>
      </c>
      <c r="K88" s="25">
        <v>4218</v>
      </c>
      <c r="L88" s="25"/>
      <c r="M88" s="26"/>
      <c r="N88" s="25">
        <f>SUM('11-2025'!$K88:$M88)</f>
        <v>4218</v>
      </c>
      <c r="O88" s="25">
        <v>3800</v>
      </c>
      <c r="P88" s="25">
        <f t="shared" si="15"/>
        <v>712.5</v>
      </c>
      <c r="Q88" s="25">
        <f t="shared" si="16"/>
        <v>418</v>
      </c>
      <c r="R88" s="25">
        <v>1666.6666666666667</v>
      </c>
      <c r="S88" s="27">
        <f t="shared" si="17"/>
        <v>2133.333333333333</v>
      </c>
      <c r="T88" s="25">
        <f t="shared" si="18"/>
        <v>25599.999999999996</v>
      </c>
      <c r="U88" s="25">
        <f>IF(T88&lt;=40000,0,
IF(T88&lt;=55000,(T88-40000)*10%,
IF(T88&lt;=70000,(T88-55000)*15%+1500,
IF(T88&lt;=200000,(T88-70000)*20%+1500+2250,
IF(T88&lt;=400000,(T88-200000)*22.5%+1500+2250+26000,
IF(T88&lt;=600000,(T88-400000)*25%+1500+2250+26000+45000,
IF(AND(T88&gt;600000,T88&lt;=1200000),(T88-400000)*25%+1500+2250+26000+45000
+IFERROR(LOOKUP(T88,{600001;700001;800001;900001},{4000;6750;10250;15250}),0),IF(T88&gt;1200000,((T88-1200000)*27.5%)+300000,0)
)))))))</f>
        <v>0</v>
      </c>
      <c r="V88" s="25">
        <f t="shared" si="19"/>
        <v>0</v>
      </c>
      <c r="W88" s="28">
        <f>+'11-2025'!$S88-'11-2025'!$V88+'11-2025'!$R88</f>
        <v>3800</v>
      </c>
      <c r="X88" s="28">
        <f t="shared" si="20"/>
        <v>126.66666666666667</v>
      </c>
      <c r="Y88" s="29">
        <v>0</v>
      </c>
      <c r="Z88" s="29">
        <f>IFERROR(+'11-2025'!$X88*'11-2025'!$Y88,"")</f>
        <v>0</v>
      </c>
      <c r="AA88" s="29">
        <v>0</v>
      </c>
      <c r="AB88" s="29">
        <f>IFERROR(+'11-2025'!$X88*'11-2025'!$AA88,"")</f>
        <v>0</v>
      </c>
      <c r="AC88" s="29">
        <v>0</v>
      </c>
      <c r="AD88" s="29">
        <f>IFERROR(+'11-2025'!$X88*'11-2025'!$AC88,"")</f>
        <v>0</v>
      </c>
      <c r="AE88" s="29">
        <v>0.5</v>
      </c>
      <c r="AF88" s="29">
        <f>IFERROR(+'11-2025'!$X88*'11-2025'!$AE88,"")</f>
        <v>63.333333333333336</v>
      </c>
      <c r="AG88" s="29">
        <v>1</v>
      </c>
      <c r="AH88" s="29">
        <f>IFERROR(+'11-2025'!$X88*'11-2025'!$AG88,"")</f>
        <v>126.66666666666667</v>
      </c>
      <c r="AI88" s="29">
        <v>500</v>
      </c>
      <c r="AJ88" s="29">
        <f>IFERROR('11-2025'!$Z88+'11-2025'!$AB88+'11-2025'!$AD88+'11-2025'!$AF88+'11-2025'!$AH88+'11-2025'!$AI88,"")</f>
        <v>690</v>
      </c>
      <c r="AK88" s="30">
        <f>IFERROR('11-2025'!$W88-'11-2025'!$AJ88,"")</f>
        <v>3110</v>
      </c>
      <c r="AL88" s="31"/>
      <c r="AM88" s="31"/>
      <c r="AN88" s="31"/>
      <c r="AO88" s="31">
        <v>220</v>
      </c>
      <c r="AP88" s="31"/>
      <c r="AQ88" s="31"/>
      <c r="AR88" s="31">
        <v>0</v>
      </c>
      <c r="AS88" s="31">
        <v>0</v>
      </c>
      <c r="AT88" s="31">
        <v>0</v>
      </c>
      <c r="AU88" s="31">
        <v>0</v>
      </c>
      <c r="AV88" s="31">
        <v>0</v>
      </c>
      <c r="AW88" s="31">
        <v>0</v>
      </c>
      <c r="AX88" s="31">
        <v>200</v>
      </c>
      <c r="AY88" s="31">
        <v>0</v>
      </c>
      <c r="AZ88" s="31">
        <v>0</v>
      </c>
      <c r="BA88" s="31">
        <v>0</v>
      </c>
      <c r="BB88" s="31">
        <v>0</v>
      </c>
      <c r="BC88" s="31">
        <v>0</v>
      </c>
      <c r="BD88" s="31">
        <v>0</v>
      </c>
      <c r="BE88" s="31">
        <v>0</v>
      </c>
      <c r="BF88" s="31">
        <v>30</v>
      </c>
      <c r="BG88" s="31">
        <v>0</v>
      </c>
      <c r="BH88" s="31">
        <v>0</v>
      </c>
      <c r="BI88" s="31">
        <v>80</v>
      </c>
      <c r="BJ88" s="32">
        <f t="shared" si="23"/>
        <v>310</v>
      </c>
      <c r="BK88" s="41">
        <f>BJ88+AM88+AL88+'11-2025'!$N88+AN88+AO88</f>
        <v>4748</v>
      </c>
      <c r="BL88" s="34">
        <f>'11-2025'!$O88</f>
        <v>3800</v>
      </c>
      <c r="BM88" s="34">
        <f t="shared" si="12"/>
        <v>712.5</v>
      </c>
      <c r="BN88" s="34">
        <f t="shared" si="13"/>
        <v>418</v>
      </c>
      <c r="BO88" s="34">
        <f t="shared" si="21"/>
        <v>1666.6666666666667</v>
      </c>
      <c r="BP88" s="35">
        <f t="shared" si="14"/>
        <v>2663.333333333333</v>
      </c>
      <c r="BQ88" s="34">
        <f>IFERROR(BP88/'11-2025'!$J88,0)*12</f>
        <v>31959.999999999996</v>
      </c>
      <c r="BR88" s="34">
        <f>IF(BQ88&lt;=40000,0,
IF(BQ88&lt;=55000,(BQ88-40000)*10%,
IF(BQ88&lt;=70000,(BQ88-55000)*15%+1500,
IF(BQ88&lt;=200000,(BQ88-70000)*20%+1500+2250,
IF(BQ88&lt;=400000,(BQ88-200000)*22.5%+1500+2250+26000,
IF(BQ88&lt;=600000,(BQ88-400000)*25%+1500+2250+26000+45000,
IF(AND(BQ88&gt;600000,BQ88&lt;=1200000),(BQ88-400000)*25%+1500+2250+26000+45000
+IFERROR(LOOKUP(BQ88,{600001;700001;800001;900001},{4000;6750;10250;15250}),0),IF(BQ88&gt;1200000,((BQ88-1200000)*27.5%)+300000,0)
)))))))</f>
        <v>0</v>
      </c>
      <c r="BS88" s="32">
        <f>(BR88/12*'11-2025'!$J88)</f>
        <v>0</v>
      </c>
      <c r="BT88" s="33">
        <f>BS88-'11-2025'!$V88</f>
        <v>0</v>
      </c>
      <c r="BU88" s="32">
        <f>IFERROR(+'11-2025'!$W88+AL88+AM88+BJ88-'11-2025'!$AJ88-BT88+AN88+AO88,"")-AL88+AP88+AQ88</f>
        <v>3640</v>
      </c>
      <c r="BV88" s="36"/>
      <c r="BW88" s="37"/>
      <c r="BX88" s="37">
        <f t="shared" si="22"/>
        <v>3640</v>
      </c>
      <c r="BY88" s="37"/>
    </row>
    <row r="89" spans="1:78" s="75" customFormat="1" x14ac:dyDescent="0.25">
      <c r="A89" s="44">
        <v>620</v>
      </c>
      <c r="B89" s="40" t="s">
        <v>199</v>
      </c>
      <c r="C89" s="40" t="s">
        <v>81</v>
      </c>
      <c r="D89" s="40" t="s">
        <v>72</v>
      </c>
      <c r="E89" s="40" t="s">
        <v>124</v>
      </c>
      <c r="F89" s="40" t="s">
        <v>102</v>
      </c>
      <c r="G89" s="61">
        <v>45759</v>
      </c>
      <c r="H89" s="61">
        <v>45900</v>
      </c>
      <c r="I89" s="62">
        <v>30205040101328</v>
      </c>
      <c r="J89" s="63">
        <v>1</v>
      </c>
      <c r="K89" s="63">
        <v>3000</v>
      </c>
      <c r="L89" s="63"/>
      <c r="M89" s="64"/>
      <c r="N89" s="63">
        <f>SUM('11-2025'!$K89:$M89)</f>
        <v>3000</v>
      </c>
      <c r="O89" s="63"/>
      <c r="P89" s="63">
        <f t="shared" si="15"/>
        <v>0</v>
      </c>
      <c r="Q89" s="63">
        <f t="shared" si="16"/>
        <v>0</v>
      </c>
      <c r="R89" s="63">
        <v>1666.6666666666667</v>
      </c>
      <c r="S89" s="65">
        <f t="shared" si="17"/>
        <v>1333.3333333333333</v>
      </c>
      <c r="T89" s="63">
        <f t="shared" si="18"/>
        <v>16000</v>
      </c>
      <c r="U89" s="63">
        <f>IF(T89&lt;=40000,0,
IF(T89&lt;=55000,(T89-40000)*10%,
IF(T89&lt;=70000,(T89-55000)*15%+1500,
IF(T89&lt;=200000,(T89-70000)*20%+1500+2250,
IF(T89&lt;=400000,(T89-200000)*22.5%+1500+2250+26000,
IF(T89&lt;=600000,(T89-400000)*25%+1500+2250+26000+45000,
IF(AND(T89&gt;600000,T89&lt;=1200000),(T89-400000)*25%+1500+2250+26000+45000
+IFERROR(LOOKUP(T89,{600001;700001;800001;900001},{4000;6750;10250;15250}),0),IF(T89&gt;1200000,((T89-1200000)*27.5%)+300000,0)
)))))))</f>
        <v>0</v>
      </c>
      <c r="V89" s="63">
        <f t="shared" si="19"/>
        <v>0</v>
      </c>
      <c r="W89" s="66">
        <f>+'11-2025'!$S89-'11-2025'!$V89+'11-2025'!$R89</f>
        <v>3000</v>
      </c>
      <c r="X89" s="66">
        <f t="shared" si="20"/>
        <v>100</v>
      </c>
      <c r="Y89" s="67"/>
      <c r="Z89" s="67">
        <f>IFERROR(+'11-2025'!$X89*'11-2025'!$Y89,"")</f>
        <v>0</v>
      </c>
      <c r="AA89" s="67"/>
      <c r="AB89" s="67">
        <f>IFERROR(+'11-2025'!$X89*'11-2025'!$AA89,"")</f>
        <v>0</v>
      </c>
      <c r="AC89" s="67">
        <v>30</v>
      </c>
      <c r="AD89" s="67">
        <f>IFERROR(+'11-2025'!$X89*'11-2025'!$AC89,"")</f>
        <v>3000</v>
      </c>
      <c r="AE89" s="67"/>
      <c r="AF89" s="67">
        <f>IFERROR(+'11-2025'!$X89*'11-2025'!$AE89,"")</f>
        <v>0</v>
      </c>
      <c r="AG89" s="67"/>
      <c r="AH89" s="67">
        <f>IFERROR(+'11-2025'!$X89*'11-2025'!$AG89,"")</f>
        <v>0</v>
      </c>
      <c r="AI89" s="29">
        <v>0</v>
      </c>
      <c r="AJ89" s="67">
        <f>IFERROR('11-2025'!$Z89+'11-2025'!$AB89+'11-2025'!$AD89+'11-2025'!$AF89+'11-2025'!$AH89+'11-2025'!$AI89,"")</f>
        <v>3000</v>
      </c>
      <c r="AK89" s="68">
        <f>IFERROR('11-2025'!$W89-'11-2025'!$AJ89,"")</f>
        <v>0</v>
      </c>
      <c r="AL89" s="69"/>
      <c r="AM89" s="69"/>
      <c r="AN89" s="69"/>
      <c r="AO89" s="69"/>
      <c r="AP89" s="69"/>
      <c r="AQ89" s="69"/>
      <c r="AR89" s="31">
        <v>0</v>
      </c>
      <c r="AS89" s="31">
        <v>0</v>
      </c>
      <c r="AT89" s="31">
        <v>0</v>
      </c>
      <c r="AU89" s="31">
        <v>0</v>
      </c>
      <c r="AV89" s="31">
        <v>0</v>
      </c>
      <c r="AW89" s="31">
        <v>0</v>
      </c>
      <c r="AX89" s="31">
        <v>0</v>
      </c>
      <c r="AY89" s="31">
        <v>0</v>
      </c>
      <c r="AZ89" s="31">
        <v>0</v>
      </c>
      <c r="BA89" s="31">
        <v>0</v>
      </c>
      <c r="BB89" s="31">
        <v>0</v>
      </c>
      <c r="BC89" s="31">
        <v>0</v>
      </c>
      <c r="BD89" s="31">
        <v>0</v>
      </c>
      <c r="BE89" s="31">
        <v>0</v>
      </c>
      <c r="BF89" s="31">
        <v>0</v>
      </c>
      <c r="BG89" s="31">
        <v>0</v>
      </c>
      <c r="BH89" s="31">
        <v>0</v>
      </c>
      <c r="BI89" s="31">
        <v>0</v>
      </c>
      <c r="BJ89" s="39">
        <f t="shared" si="23"/>
        <v>0</v>
      </c>
      <c r="BK89" s="77">
        <f>BJ89+AM89+AL89+'11-2025'!$N89+AN89+AO89</f>
        <v>3000</v>
      </c>
      <c r="BL89" s="71">
        <f>'11-2025'!$O89</f>
        <v>0</v>
      </c>
      <c r="BM89" s="71">
        <f t="shared" si="12"/>
        <v>0</v>
      </c>
      <c r="BN89" s="71">
        <f t="shared" si="13"/>
        <v>0</v>
      </c>
      <c r="BO89" s="71">
        <f t="shared" si="21"/>
        <v>1666.6666666666667</v>
      </c>
      <c r="BP89" s="72">
        <f t="shared" si="14"/>
        <v>1333.3333333333333</v>
      </c>
      <c r="BQ89" s="71">
        <f>IFERROR(BP89/'11-2025'!$J89,0)*12</f>
        <v>16000</v>
      </c>
      <c r="BR89" s="71">
        <f>IF(BQ89&lt;=40000,0,
IF(BQ89&lt;=55000,(BQ89-40000)*10%,
IF(BQ89&lt;=70000,(BQ89-55000)*15%+1500,
IF(BQ89&lt;=200000,(BQ89-70000)*20%+1500+2250,
IF(BQ89&lt;=400000,(BQ89-200000)*22.5%+1500+2250+26000,
IF(BQ89&lt;=600000,(BQ89-400000)*25%+1500+2250+26000+45000,
IF(AND(BQ89&gt;600000,BQ89&lt;=1200000),(BQ89-400000)*25%+1500+2250+26000+45000
+IFERROR(LOOKUP(BQ89,{600001;700001;800001;900001},{4000;6750;10250;15250}),0),IF(BQ89&gt;1200000,((BQ89-1200000)*27.5%)+300000,0)
)))))))</f>
        <v>0</v>
      </c>
      <c r="BS89" s="39">
        <f>(BR89/12*'11-2025'!$J89)</f>
        <v>0</v>
      </c>
      <c r="BT89" s="70">
        <f>BS89-'11-2025'!$V89</f>
        <v>0</v>
      </c>
      <c r="BU89" s="39">
        <f>IFERROR(+'11-2025'!$W89+AL89+AM89+BJ89-'11-2025'!$AJ89-BT89+AN89+AO89,"")-AL89+AP89+AQ89</f>
        <v>0</v>
      </c>
      <c r="BV89" s="73"/>
      <c r="BW89" s="74"/>
      <c r="BX89" s="74">
        <f t="shared" si="22"/>
        <v>0</v>
      </c>
      <c r="BY89" s="74"/>
    </row>
    <row r="90" spans="1:78" x14ac:dyDescent="0.25">
      <c r="A90" s="43">
        <v>621</v>
      </c>
      <c r="B90" s="22" t="s">
        <v>200</v>
      </c>
      <c r="C90" s="22" t="s">
        <v>81</v>
      </c>
      <c r="D90" s="22" t="s">
        <v>72</v>
      </c>
      <c r="E90" s="22" t="s">
        <v>93</v>
      </c>
      <c r="F90" s="22" t="s">
        <v>102</v>
      </c>
      <c r="G90" s="23">
        <v>45761</v>
      </c>
      <c r="H90" s="22"/>
      <c r="I90" s="24">
        <v>30102200101164</v>
      </c>
      <c r="J90" s="25">
        <v>1</v>
      </c>
      <c r="K90" s="25">
        <v>2500</v>
      </c>
      <c r="L90" s="25"/>
      <c r="M90" s="26"/>
      <c r="N90" s="25">
        <f>SUM('11-2025'!$K90:$M90)</f>
        <v>2500</v>
      </c>
      <c r="O90" s="25">
        <v>2500</v>
      </c>
      <c r="P90" s="25">
        <f t="shared" si="15"/>
        <v>468.75</v>
      </c>
      <c r="Q90" s="25">
        <f t="shared" si="16"/>
        <v>275</v>
      </c>
      <c r="R90" s="25">
        <v>1666.6666666666667</v>
      </c>
      <c r="S90" s="27">
        <f t="shared" si="17"/>
        <v>558.33333333333326</v>
      </c>
      <c r="T90" s="25">
        <f t="shared" si="18"/>
        <v>6699.9999999999991</v>
      </c>
      <c r="U90" s="25">
        <f>IF(T90&lt;=40000,0,
IF(T90&lt;=55000,(T90-40000)*10%,
IF(T90&lt;=70000,(T90-55000)*15%+1500,
IF(T90&lt;=200000,(T90-70000)*20%+1500+2250,
IF(T90&lt;=400000,(T90-200000)*22.5%+1500+2250+26000,
IF(T90&lt;=600000,(T90-400000)*25%+1500+2250+26000+45000,
IF(AND(T90&gt;600000,T90&lt;=1200000),(T90-400000)*25%+1500+2250+26000+45000
+IFERROR(LOOKUP(T90,{600001;700001;800001;900001},{4000;6750;10250;15250}),0),IF(T90&gt;1200000,((T90-1200000)*27.5%)+300000,0)
)))))))</f>
        <v>0</v>
      </c>
      <c r="V90" s="25">
        <f t="shared" si="19"/>
        <v>0</v>
      </c>
      <c r="W90" s="28">
        <f>+'11-2025'!$S90-'11-2025'!$V90+'11-2025'!$R90</f>
        <v>2225</v>
      </c>
      <c r="X90" s="28">
        <f t="shared" si="20"/>
        <v>74.166666666666671</v>
      </c>
      <c r="Y90" s="29">
        <v>0</v>
      </c>
      <c r="Z90" s="29">
        <f>IFERROR(+'11-2025'!$X90*'11-2025'!$Y90,"")</f>
        <v>0</v>
      </c>
      <c r="AA90" s="29">
        <v>2</v>
      </c>
      <c r="AB90" s="29">
        <f>IFERROR(+'11-2025'!$X90*'11-2025'!$AA90,"")</f>
        <v>148.33333333333334</v>
      </c>
      <c r="AC90" s="29">
        <v>0</v>
      </c>
      <c r="AD90" s="29">
        <f>IFERROR(+'11-2025'!$X90*'11-2025'!$AC90,"")</f>
        <v>0</v>
      </c>
      <c r="AE90" s="29">
        <v>0</v>
      </c>
      <c r="AF90" s="29">
        <f>IFERROR(+'11-2025'!$X90*'11-2025'!$AE90,"")</f>
        <v>0</v>
      </c>
      <c r="AG90" s="29">
        <v>0</v>
      </c>
      <c r="AH90" s="29">
        <f>IFERROR(+'11-2025'!$X90*'11-2025'!$AG90,"")</f>
        <v>0</v>
      </c>
      <c r="AI90" s="29">
        <v>500</v>
      </c>
      <c r="AJ90" s="29">
        <f>IFERROR('11-2025'!$Z90+'11-2025'!$AB90+'11-2025'!$AD90+'11-2025'!$AF90+'11-2025'!$AH90+'11-2025'!$AI90,"")</f>
        <v>648.33333333333337</v>
      </c>
      <c r="AK90" s="30">
        <f>IFERROR('11-2025'!$W90-'11-2025'!$AJ90,"")</f>
        <v>1576.6666666666665</v>
      </c>
      <c r="AL90" s="31"/>
      <c r="AM90" s="31"/>
      <c r="AN90" s="31"/>
      <c r="AO90" s="31">
        <v>260</v>
      </c>
      <c r="AP90" s="31"/>
      <c r="AQ90" s="31"/>
      <c r="AR90" s="31">
        <v>995.64890000000003</v>
      </c>
      <c r="AS90" s="31">
        <v>0</v>
      </c>
      <c r="AT90" s="31">
        <v>0</v>
      </c>
      <c r="AU90" s="31">
        <v>0</v>
      </c>
      <c r="AV90" s="31">
        <v>0</v>
      </c>
      <c r="AW90" s="31">
        <v>0</v>
      </c>
      <c r="AX90" s="31">
        <v>0</v>
      </c>
      <c r="AY90" s="31">
        <v>0</v>
      </c>
      <c r="AZ90" s="31">
        <v>0</v>
      </c>
      <c r="BA90" s="31">
        <v>0</v>
      </c>
      <c r="BB90" s="31">
        <v>0</v>
      </c>
      <c r="BC90" s="31">
        <v>0</v>
      </c>
      <c r="BD90" s="31">
        <v>0</v>
      </c>
      <c r="BE90" s="31">
        <v>0</v>
      </c>
      <c r="BF90" s="31">
        <v>0</v>
      </c>
      <c r="BG90" s="31">
        <v>0</v>
      </c>
      <c r="BH90" s="31">
        <v>0</v>
      </c>
      <c r="BI90" s="31">
        <v>0</v>
      </c>
      <c r="BJ90" s="32">
        <f t="shared" si="23"/>
        <v>995.64890000000003</v>
      </c>
      <c r="BK90" s="41">
        <f>BJ90+AM90+AL90+'11-2025'!$N90+AN90+AO90</f>
        <v>3755.6489000000001</v>
      </c>
      <c r="BL90" s="34">
        <f>'11-2025'!$O90</f>
        <v>2500</v>
      </c>
      <c r="BM90" s="34">
        <f t="shared" si="12"/>
        <v>468.75</v>
      </c>
      <c r="BN90" s="34">
        <f t="shared" si="13"/>
        <v>275</v>
      </c>
      <c r="BO90" s="34">
        <f t="shared" si="21"/>
        <v>1666.6666666666667</v>
      </c>
      <c r="BP90" s="35">
        <f t="shared" si="14"/>
        <v>1813.9822333333334</v>
      </c>
      <c r="BQ90" s="34">
        <f>IFERROR(BP90/'11-2025'!$J90,0)*12</f>
        <v>21767.786800000002</v>
      </c>
      <c r="BR90" s="34">
        <f>IF(BQ90&lt;=40000,0,
IF(BQ90&lt;=55000,(BQ90-40000)*10%,
IF(BQ90&lt;=70000,(BQ90-55000)*15%+1500,
IF(BQ90&lt;=200000,(BQ90-70000)*20%+1500+2250,
IF(BQ90&lt;=400000,(BQ90-200000)*22.5%+1500+2250+26000,
IF(BQ90&lt;=600000,(BQ90-400000)*25%+1500+2250+26000+45000,
IF(AND(BQ90&gt;600000,BQ90&lt;=1200000),(BQ90-400000)*25%+1500+2250+26000+45000
+IFERROR(LOOKUP(BQ90,{600001;700001;800001;900001},{4000;6750;10250;15250}),0),IF(BQ90&gt;1200000,((BQ90-1200000)*27.5%)+300000,0)
)))))))</f>
        <v>0</v>
      </c>
      <c r="BS90" s="32">
        <f>(BR90/12*'11-2025'!$J90)</f>
        <v>0</v>
      </c>
      <c r="BT90" s="33">
        <f>BS90-'11-2025'!$V90</f>
        <v>0</v>
      </c>
      <c r="BU90" s="32">
        <f>IFERROR(+'11-2025'!$W90+AL90+AM90+BJ90-'11-2025'!$AJ90-BT90+AN90+AO90,"")-AL90+AP90+AQ90</f>
        <v>2832.3155666666667</v>
      </c>
      <c r="BV90" s="36"/>
      <c r="BW90" s="37"/>
      <c r="BX90" s="37">
        <f t="shared" si="22"/>
        <v>2832.3155666666667</v>
      </c>
      <c r="BY90" s="37"/>
    </row>
    <row r="91" spans="1:78" x14ac:dyDescent="0.25">
      <c r="A91" s="43">
        <v>629</v>
      </c>
      <c r="B91" s="22" t="s">
        <v>201</v>
      </c>
      <c r="C91" s="22" t="s">
        <v>106</v>
      </c>
      <c r="D91" s="22" t="s">
        <v>72</v>
      </c>
      <c r="E91" s="22" t="s">
        <v>88</v>
      </c>
      <c r="F91" s="22" t="s">
        <v>102</v>
      </c>
      <c r="G91" s="23">
        <v>45768</v>
      </c>
      <c r="H91" s="22"/>
      <c r="I91" s="24">
        <v>27912171200149</v>
      </c>
      <c r="J91" s="25">
        <v>1</v>
      </c>
      <c r="K91" s="25">
        <v>3000</v>
      </c>
      <c r="L91" s="25"/>
      <c r="M91" s="26"/>
      <c r="N91" s="25">
        <f>SUM('11-2025'!$K91:$M91)</f>
        <v>3000</v>
      </c>
      <c r="O91" s="25">
        <v>2500</v>
      </c>
      <c r="P91" s="25">
        <f t="shared" si="15"/>
        <v>468.75</v>
      </c>
      <c r="Q91" s="25">
        <f t="shared" si="16"/>
        <v>275</v>
      </c>
      <c r="R91" s="25">
        <v>1666.6666666666667</v>
      </c>
      <c r="S91" s="27">
        <f t="shared" si="17"/>
        <v>1058.3333333333333</v>
      </c>
      <c r="T91" s="25">
        <f t="shared" si="18"/>
        <v>12700</v>
      </c>
      <c r="U91" s="25">
        <f>IF(T91&lt;=40000,0,
IF(T91&lt;=55000,(T91-40000)*10%,
IF(T91&lt;=70000,(T91-55000)*15%+1500,
IF(T91&lt;=200000,(T91-70000)*20%+1500+2250,
IF(T91&lt;=400000,(T91-200000)*22.5%+1500+2250+26000,
IF(T91&lt;=600000,(T91-400000)*25%+1500+2250+26000+45000,
IF(AND(T91&gt;600000,T91&lt;=1200000),(T91-400000)*25%+1500+2250+26000+45000
+IFERROR(LOOKUP(T91,{600001;700001;800001;900001},{4000;6750;10250;15250}),0),IF(T91&gt;1200000,((T91-1200000)*27.5%)+300000,0)
)))))))</f>
        <v>0</v>
      </c>
      <c r="V91" s="25">
        <f t="shared" si="19"/>
        <v>0</v>
      </c>
      <c r="W91" s="28">
        <f>+'11-2025'!$S91-'11-2025'!$V91+'11-2025'!$R91</f>
        <v>2725</v>
      </c>
      <c r="X91" s="28">
        <f t="shared" si="20"/>
        <v>90.833333333333329</v>
      </c>
      <c r="Y91" s="29">
        <v>0</v>
      </c>
      <c r="Z91" s="29">
        <f>IFERROR(+'11-2025'!$X91*'11-2025'!$Y91,"")</f>
        <v>0</v>
      </c>
      <c r="AA91" s="29">
        <v>0</v>
      </c>
      <c r="AB91" s="29">
        <f>IFERROR(+'11-2025'!$X91*'11-2025'!$AA91,"")</f>
        <v>0</v>
      </c>
      <c r="AC91" s="29">
        <v>0</v>
      </c>
      <c r="AD91" s="29">
        <f>IFERROR(+'11-2025'!$X91*'11-2025'!$AC91,"")</f>
        <v>0</v>
      </c>
      <c r="AE91" s="29">
        <v>0</v>
      </c>
      <c r="AF91" s="29">
        <f>IFERROR(+'11-2025'!$X91*'11-2025'!$AE91,"")</f>
        <v>0</v>
      </c>
      <c r="AG91" s="29">
        <v>0</v>
      </c>
      <c r="AH91" s="29">
        <f>IFERROR(+'11-2025'!$X91*'11-2025'!$AG91,"")</f>
        <v>0</v>
      </c>
      <c r="AI91" s="29">
        <v>0</v>
      </c>
      <c r="AJ91" s="29">
        <f>IFERROR('11-2025'!$Z91+'11-2025'!$AB91+'11-2025'!$AD91+'11-2025'!$AF91+'11-2025'!$AH91+'11-2025'!$AI91,"")</f>
        <v>0</v>
      </c>
      <c r="AK91" s="30">
        <f>IFERROR('11-2025'!$W91-'11-2025'!$AJ91,"")</f>
        <v>2725</v>
      </c>
      <c r="AL91" s="31"/>
      <c r="AM91" s="31"/>
      <c r="AN91" s="31"/>
      <c r="AO91" s="31">
        <v>0</v>
      </c>
      <c r="AP91" s="31">
        <v>1443</v>
      </c>
      <c r="AQ91" s="31"/>
      <c r="AR91" s="31">
        <v>0</v>
      </c>
      <c r="AS91" s="31">
        <v>0</v>
      </c>
      <c r="AT91" s="31">
        <v>0</v>
      </c>
      <c r="AU91" s="31">
        <v>4700.2650000000003</v>
      </c>
      <c r="AV91" s="31">
        <v>0</v>
      </c>
      <c r="AW91" s="31">
        <v>0</v>
      </c>
      <c r="AX91" s="31">
        <v>0</v>
      </c>
      <c r="AY91" s="31">
        <v>0</v>
      </c>
      <c r="AZ91" s="31">
        <v>0</v>
      </c>
      <c r="BA91" s="31">
        <v>0</v>
      </c>
      <c r="BB91" s="31">
        <v>0</v>
      </c>
      <c r="BC91" s="31">
        <v>0</v>
      </c>
      <c r="BD91" s="31">
        <v>0</v>
      </c>
      <c r="BE91" s="31">
        <v>0</v>
      </c>
      <c r="BF91" s="31">
        <v>0</v>
      </c>
      <c r="BG91" s="31">
        <v>0</v>
      </c>
      <c r="BH91" s="31">
        <v>0</v>
      </c>
      <c r="BI91" s="31">
        <v>0</v>
      </c>
      <c r="BJ91" s="32">
        <f t="shared" si="23"/>
        <v>4700.2650000000003</v>
      </c>
      <c r="BK91" s="41">
        <f>BJ91+AM91+AL91+'11-2025'!$N91+AN91+AO91</f>
        <v>7700.2650000000003</v>
      </c>
      <c r="BL91" s="34">
        <f>'11-2025'!$O91</f>
        <v>2500</v>
      </c>
      <c r="BM91" s="34">
        <f t="shared" si="12"/>
        <v>468.75</v>
      </c>
      <c r="BN91" s="34">
        <f t="shared" si="13"/>
        <v>275</v>
      </c>
      <c r="BO91" s="34">
        <f t="shared" si="21"/>
        <v>1666.6666666666667</v>
      </c>
      <c r="BP91" s="35">
        <f t="shared" si="14"/>
        <v>5758.5983333333334</v>
      </c>
      <c r="BQ91" s="34">
        <f>IFERROR(BP91/'11-2025'!$J91,0)*12</f>
        <v>69103.179999999993</v>
      </c>
      <c r="BR91" s="34">
        <f>IF(BQ91&lt;=40000,0,
IF(BQ91&lt;=55000,(BQ91-40000)*10%,
IF(BQ91&lt;=70000,(BQ91-55000)*15%+1500,
IF(BQ91&lt;=200000,(BQ91-70000)*20%+1500+2250,
IF(BQ91&lt;=400000,(BQ91-200000)*22.5%+1500+2250+26000,
IF(BQ91&lt;=600000,(BQ91-400000)*25%+1500+2250+26000+45000,
IF(AND(BQ91&gt;600000,BQ91&lt;=1200000),(BQ91-400000)*25%+1500+2250+26000+45000
+IFERROR(LOOKUP(BQ91,{600001;700001;800001;900001},{4000;6750;10250;15250}),0),IF(BQ91&gt;1200000,((BQ91-1200000)*27.5%)+300000,0)
)))))))</f>
        <v>3615.476999999999</v>
      </c>
      <c r="BS91" s="32">
        <f>(BR91/12*'11-2025'!$J91)</f>
        <v>301.28974999999991</v>
      </c>
      <c r="BT91" s="33">
        <f>BS91-'11-2025'!$V91</f>
        <v>301.28974999999991</v>
      </c>
      <c r="BU91" s="32">
        <f>IFERROR(+'11-2025'!$W91+AL91+AM91+BJ91-'11-2025'!$AJ91-BT91+AN91+AO91,"")-AL91+AP91+AQ91</f>
        <v>8566.9752499999995</v>
      </c>
      <c r="BV91" s="36" t="s">
        <v>439</v>
      </c>
      <c r="BW91" s="37"/>
      <c r="BX91" s="37">
        <f t="shared" si="22"/>
        <v>8566.9752499999995</v>
      </c>
      <c r="BY91" s="37"/>
    </row>
    <row r="92" spans="1:78" s="75" customFormat="1" x14ac:dyDescent="0.25">
      <c r="A92" s="44">
        <v>630</v>
      </c>
      <c r="B92" s="40" t="s">
        <v>202</v>
      </c>
      <c r="C92" s="40" t="s">
        <v>106</v>
      </c>
      <c r="D92" s="40" t="s">
        <v>72</v>
      </c>
      <c r="E92" s="40" t="s">
        <v>124</v>
      </c>
      <c r="F92" s="40" t="s">
        <v>139</v>
      </c>
      <c r="G92" s="61">
        <v>45769</v>
      </c>
      <c r="H92" s="40"/>
      <c r="I92" s="62">
        <v>28505011207839</v>
      </c>
      <c r="J92" s="63">
        <v>1</v>
      </c>
      <c r="K92" s="63">
        <v>3000</v>
      </c>
      <c r="L92" s="63"/>
      <c r="M92" s="64"/>
      <c r="N92" s="63">
        <f>SUM('11-2025'!$K92:$M92)</f>
        <v>3000</v>
      </c>
      <c r="O92" s="63"/>
      <c r="P92" s="63">
        <f t="shared" si="15"/>
        <v>0</v>
      </c>
      <c r="Q92" s="63">
        <f t="shared" si="16"/>
        <v>0</v>
      </c>
      <c r="R92" s="63">
        <v>1666.6666666666667</v>
      </c>
      <c r="S92" s="65">
        <f t="shared" si="17"/>
        <v>1333.3333333333333</v>
      </c>
      <c r="T92" s="63">
        <f t="shared" si="18"/>
        <v>16000</v>
      </c>
      <c r="U92" s="63">
        <f>IF(T92&lt;=40000,0,
IF(T92&lt;=55000,(T92-40000)*10%,
IF(T92&lt;=70000,(T92-55000)*15%+1500,
IF(T92&lt;=200000,(T92-70000)*20%+1500+2250,
IF(T92&lt;=400000,(T92-200000)*22.5%+1500+2250+26000,
IF(T92&lt;=600000,(T92-400000)*25%+1500+2250+26000+45000,
IF(AND(T92&gt;600000,T92&lt;=1200000),(T92-400000)*25%+1500+2250+26000+45000
+IFERROR(LOOKUP(T92,{600001;700001;800001;900001},{4000;6750;10250;15250}),0),IF(T92&gt;1200000,((T92-1200000)*27.5%)+300000,0)
)))))))</f>
        <v>0</v>
      </c>
      <c r="V92" s="63">
        <f t="shared" si="19"/>
        <v>0</v>
      </c>
      <c r="W92" s="66">
        <f>+'11-2025'!$S92-'11-2025'!$V92+'11-2025'!$R92</f>
        <v>3000</v>
      </c>
      <c r="X92" s="66">
        <f t="shared" si="20"/>
        <v>100</v>
      </c>
      <c r="Y92" s="67"/>
      <c r="Z92" s="67">
        <f>IFERROR(+'11-2025'!$X92*'11-2025'!$Y92,"")</f>
        <v>0</v>
      </c>
      <c r="AA92" s="67"/>
      <c r="AB92" s="67">
        <f>IFERROR(+'11-2025'!$X92*'11-2025'!$AA92,"")</f>
        <v>0</v>
      </c>
      <c r="AC92" s="67">
        <v>30</v>
      </c>
      <c r="AD92" s="67">
        <f>IFERROR(+'11-2025'!$X92*'11-2025'!$AC92,"")</f>
        <v>3000</v>
      </c>
      <c r="AE92" s="67"/>
      <c r="AF92" s="67">
        <f>IFERROR(+'11-2025'!$X92*'11-2025'!$AE92,"")</f>
        <v>0</v>
      </c>
      <c r="AG92" s="67"/>
      <c r="AH92" s="67">
        <f>IFERROR(+'11-2025'!$X92*'11-2025'!$AG92,"")</f>
        <v>0</v>
      </c>
      <c r="AI92" s="29">
        <v>0</v>
      </c>
      <c r="AJ92" s="67">
        <f>IFERROR('11-2025'!$Z92+'11-2025'!$AB92+'11-2025'!$AD92+'11-2025'!$AF92+'11-2025'!$AH92+'11-2025'!$AI92,"")</f>
        <v>3000</v>
      </c>
      <c r="AK92" s="68">
        <f>IFERROR('11-2025'!$W92-'11-2025'!$AJ92,"")</f>
        <v>0</v>
      </c>
      <c r="AL92" s="69"/>
      <c r="AM92" s="69"/>
      <c r="AN92" s="69"/>
      <c r="AO92" s="69"/>
      <c r="AP92" s="69"/>
      <c r="AQ92" s="69"/>
      <c r="AR92" s="31">
        <v>0</v>
      </c>
      <c r="AS92" s="31">
        <v>0</v>
      </c>
      <c r="AT92" s="31">
        <v>0</v>
      </c>
      <c r="AU92" s="31">
        <v>0</v>
      </c>
      <c r="AV92" s="31">
        <v>0</v>
      </c>
      <c r="AW92" s="31">
        <v>0</v>
      </c>
      <c r="AX92" s="31">
        <v>0</v>
      </c>
      <c r="AY92" s="31">
        <v>0</v>
      </c>
      <c r="AZ92" s="31">
        <v>0</v>
      </c>
      <c r="BA92" s="31">
        <v>0</v>
      </c>
      <c r="BB92" s="31">
        <v>0</v>
      </c>
      <c r="BC92" s="31">
        <v>0</v>
      </c>
      <c r="BD92" s="31">
        <v>0</v>
      </c>
      <c r="BE92" s="31">
        <v>0</v>
      </c>
      <c r="BF92" s="31">
        <v>0</v>
      </c>
      <c r="BG92" s="31">
        <v>0</v>
      </c>
      <c r="BH92" s="31">
        <v>0</v>
      </c>
      <c r="BI92" s="31">
        <v>0</v>
      </c>
      <c r="BJ92" s="39">
        <f t="shared" si="23"/>
        <v>0</v>
      </c>
      <c r="BK92" s="77">
        <f>BJ92+AM92+AL92+'11-2025'!$N92+AN92+AO92</f>
        <v>3000</v>
      </c>
      <c r="BL92" s="71">
        <f>'11-2025'!$O92</f>
        <v>0</v>
      </c>
      <c r="BM92" s="71">
        <f t="shared" si="12"/>
        <v>0</v>
      </c>
      <c r="BN92" s="71">
        <f t="shared" si="13"/>
        <v>0</v>
      </c>
      <c r="BO92" s="71">
        <f t="shared" si="21"/>
        <v>1666.6666666666667</v>
      </c>
      <c r="BP92" s="72">
        <f t="shared" si="14"/>
        <v>1333.3333333333333</v>
      </c>
      <c r="BQ92" s="71">
        <f>IFERROR(BP92/'11-2025'!$J92,0)*12</f>
        <v>16000</v>
      </c>
      <c r="BR92" s="71">
        <f>IF(BQ92&lt;=40000,0,
IF(BQ92&lt;=55000,(BQ92-40000)*10%,
IF(BQ92&lt;=70000,(BQ92-55000)*15%+1500,
IF(BQ92&lt;=200000,(BQ92-70000)*20%+1500+2250,
IF(BQ92&lt;=400000,(BQ92-200000)*22.5%+1500+2250+26000,
IF(BQ92&lt;=600000,(BQ92-400000)*25%+1500+2250+26000+45000,
IF(AND(BQ92&gt;600000,BQ92&lt;=1200000),(BQ92-400000)*25%+1500+2250+26000+45000
+IFERROR(LOOKUP(BQ92,{600001;700001;800001;900001},{4000;6750;10250;15250}),0),IF(BQ92&gt;1200000,((BQ92-1200000)*27.5%)+300000,0)
)))))))</f>
        <v>0</v>
      </c>
      <c r="BS92" s="39">
        <f>(BR92/12*'11-2025'!$J92)</f>
        <v>0</v>
      </c>
      <c r="BT92" s="70">
        <f>BS92-'11-2025'!$V92</f>
        <v>0</v>
      </c>
      <c r="BU92" s="39">
        <f>IFERROR(+'11-2025'!$W92+AL92+AM92+BJ92-'11-2025'!$AJ92-BT92+AN92+AO92,"")-AL92+AP92+AQ92</f>
        <v>0</v>
      </c>
      <c r="BV92" s="73"/>
      <c r="BW92" s="74"/>
      <c r="BX92" s="74">
        <f t="shared" si="22"/>
        <v>0</v>
      </c>
      <c r="BY92" s="74"/>
      <c r="BZ92" s="76"/>
    </row>
    <row r="93" spans="1:78" s="75" customFormat="1" x14ac:dyDescent="0.25">
      <c r="A93" s="44">
        <v>334</v>
      </c>
      <c r="B93" s="40" t="s">
        <v>203</v>
      </c>
      <c r="C93" s="40" t="s">
        <v>71</v>
      </c>
      <c r="D93" s="40" t="s">
        <v>72</v>
      </c>
      <c r="E93" s="40" t="s">
        <v>60</v>
      </c>
      <c r="F93" s="40" t="s">
        <v>139</v>
      </c>
      <c r="G93" s="61">
        <v>45787</v>
      </c>
      <c r="H93" s="61">
        <v>45907</v>
      </c>
      <c r="I93" s="62">
        <v>30304160102938</v>
      </c>
      <c r="J93" s="63">
        <v>1</v>
      </c>
      <c r="K93" s="63">
        <v>3200</v>
      </c>
      <c r="L93" s="63"/>
      <c r="M93" s="64"/>
      <c r="N93" s="63">
        <f>SUM('11-2025'!$K93:$M93)</f>
        <v>3200</v>
      </c>
      <c r="O93" s="63">
        <f>+VLOOKUP(A93,'[9]يونيو 2025'!A$2:I$77,9,)</f>
        <v>3200</v>
      </c>
      <c r="P93" s="63">
        <f t="shared" si="15"/>
        <v>600</v>
      </c>
      <c r="Q93" s="63">
        <f t="shared" si="16"/>
        <v>352</v>
      </c>
      <c r="R93" s="63">
        <v>1666.6666666666667</v>
      </c>
      <c r="S93" s="65">
        <f t="shared" si="17"/>
        <v>1181.3333333333333</v>
      </c>
      <c r="T93" s="63">
        <f t="shared" si="18"/>
        <v>14176</v>
      </c>
      <c r="U93" s="63">
        <f>IF(T93&lt;=40000,0,
IF(T93&lt;=55000,(T93-40000)*10%,
IF(T93&lt;=70000,(T93-55000)*15%+1500,
IF(T93&lt;=200000,(T93-70000)*20%+1500+2250,
IF(T93&lt;=400000,(T93-200000)*22.5%+1500+2250+26000,
IF(T93&lt;=600000,(T93-400000)*25%+1500+2250+26000+45000,
IF(AND(T93&gt;600000,T93&lt;=1200000),(T93-400000)*25%+1500+2250+26000+45000
+IFERROR(LOOKUP(T93,{600001;700001;800001;900001},{4000;6750;10250;15250}),0),IF(T93&gt;1200000,((T93-1200000)*27.5%)+300000,0)
)))))))</f>
        <v>0</v>
      </c>
      <c r="V93" s="63">
        <f t="shared" si="19"/>
        <v>0</v>
      </c>
      <c r="W93" s="66">
        <f>+'11-2025'!$S93-'11-2025'!$V93+'11-2025'!$R93</f>
        <v>2848</v>
      </c>
      <c r="X93" s="66">
        <f t="shared" si="20"/>
        <v>94.933333333333337</v>
      </c>
      <c r="Y93" s="67"/>
      <c r="Z93" s="67">
        <f>IFERROR(+'11-2025'!$X93*'11-2025'!$Y93,"")</f>
        <v>0</v>
      </c>
      <c r="AA93" s="67"/>
      <c r="AB93" s="67">
        <f>IFERROR(+'11-2025'!$X93*'11-2025'!$AA93,"")</f>
        <v>0</v>
      </c>
      <c r="AC93" s="67">
        <v>30</v>
      </c>
      <c r="AD93" s="67">
        <f>IFERROR(+'11-2025'!$X93*'11-2025'!$AC93,"")</f>
        <v>2848</v>
      </c>
      <c r="AE93" s="67"/>
      <c r="AF93" s="67">
        <f>IFERROR(+'11-2025'!$X93*'11-2025'!$AE93,"")</f>
        <v>0</v>
      </c>
      <c r="AG93" s="67"/>
      <c r="AH93" s="67">
        <f>IFERROR(+'11-2025'!$X93*'11-2025'!$AG93,"")</f>
        <v>0</v>
      </c>
      <c r="AI93" s="29">
        <v>0</v>
      </c>
      <c r="AJ93" s="67">
        <f>IFERROR('11-2025'!$Z93+'11-2025'!$AB93+'11-2025'!$AD93+'11-2025'!$AF93+'11-2025'!$AH93+'11-2025'!$AI93,"")</f>
        <v>2848</v>
      </c>
      <c r="AK93" s="68">
        <f>IFERROR('11-2025'!$W93-'11-2025'!$AJ93,"")</f>
        <v>0</v>
      </c>
      <c r="AL93" s="69"/>
      <c r="AM93" s="69"/>
      <c r="AN93" s="69"/>
      <c r="AO93" s="69"/>
      <c r="AP93" s="69"/>
      <c r="AQ93" s="69"/>
      <c r="AR93" s="31">
        <v>0</v>
      </c>
      <c r="AS93" s="31">
        <v>0</v>
      </c>
      <c r="AT93" s="31">
        <v>0</v>
      </c>
      <c r="AU93" s="31">
        <v>0</v>
      </c>
      <c r="AV93" s="31">
        <v>0</v>
      </c>
      <c r="AW93" s="31">
        <v>0</v>
      </c>
      <c r="AX93" s="31">
        <v>0</v>
      </c>
      <c r="AY93" s="31">
        <v>0</v>
      </c>
      <c r="AZ93" s="31">
        <v>0</v>
      </c>
      <c r="BA93" s="31">
        <v>0</v>
      </c>
      <c r="BB93" s="31">
        <v>0</v>
      </c>
      <c r="BC93" s="31">
        <v>0</v>
      </c>
      <c r="BD93" s="31">
        <v>0</v>
      </c>
      <c r="BE93" s="31">
        <v>0</v>
      </c>
      <c r="BF93" s="31">
        <v>0</v>
      </c>
      <c r="BG93" s="31">
        <v>0</v>
      </c>
      <c r="BH93" s="31">
        <v>0</v>
      </c>
      <c r="BI93" s="31">
        <v>0</v>
      </c>
      <c r="BJ93" s="39">
        <f t="shared" si="23"/>
        <v>0</v>
      </c>
      <c r="BK93" s="77">
        <f>BJ93+AM93+AL93+'11-2025'!$N93+AN93+AO93</f>
        <v>3200</v>
      </c>
      <c r="BL93" s="71">
        <f>'11-2025'!$O93</f>
        <v>3200</v>
      </c>
      <c r="BM93" s="71">
        <f t="shared" si="12"/>
        <v>600</v>
      </c>
      <c r="BN93" s="71">
        <f t="shared" si="13"/>
        <v>352</v>
      </c>
      <c r="BO93" s="71">
        <f t="shared" si="21"/>
        <v>1666.6666666666667</v>
      </c>
      <c r="BP93" s="72">
        <f t="shared" si="14"/>
        <v>1181.3333333333333</v>
      </c>
      <c r="BQ93" s="71">
        <f>IFERROR(BP93/'11-2025'!$J93,0)*12</f>
        <v>14176</v>
      </c>
      <c r="BR93" s="71">
        <f>IF(BQ93&lt;=40000,0,
IF(BQ93&lt;=55000,(BQ93-40000)*10%,
IF(BQ93&lt;=70000,(BQ93-55000)*15%+1500,
IF(BQ93&lt;=200000,(BQ93-70000)*20%+1500+2250,
IF(BQ93&lt;=400000,(BQ93-200000)*22.5%+1500+2250+26000,
IF(BQ93&lt;=600000,(BQ93-400000)*25%+1500+2250+26000+45000,
IF(AND(BQ93&gt;600000,BQ93&lt;=1200000),(BQ93-400000)*25%+1500+2250+26000+45000
+IFERROR(LOOKUP(BQ93,{600001;700001;800001;900001},{4000;6750;10250;15250}),0),IF(BQ93&gt;1200000,((BQ93-1200000)*27.5%)+300000,0)
)))))))</f>
        <v>0</v>
      </c>
      <c r="BS93" s="39">
        <f>(BR93/12*'11-2025'!$J93)</f>
        <v>0</v>
      </c>
      <c r="BT93" s="70">
        <f>BS93-'11-2025'!$V93</f>
        <v>0</v>
      </c>
      <c r="BU93" s="39">
        <f>IFERROR(+'11-2025'!$W93+AL93+AM93+BJ93-'11-2025'!$AJ93-BT93+AN93+AO93,"")-AL93+AP93+AQ93</f>
        <v>0</v>
      </c>
      <c r="BV93" s="73"/>
      <c r="BW93" s="74"/>
      <c r="BX93" s="74">
        <f t="shared" si="22"/>
        <v>0</v>
      </c>
      <c r="BY93" s="74"/>
      <c r="BZ93" s="76"/>
    </row>
    <row r="94" spans="1:78" x14ac:dyDescent="0.25">
      <c r="A94" s="43">
        <v>640</v>
      </c>
      <c r="B94" s="22" t="s">
        <v>204</v>
      </c>
      <c r="C94" s="22" t="s">
        <v>106</v>
      </c>
      <c r="D94" s="22" t="s">
        <v>72</v>
      </c>
      <c r="E94" s="22" t="s">
        <v>124</v>
      </c>
      <c r="F94" s="22" t="s">
        <v>86</v>
      </c>
      <c r="G94" s="23">
        <v>45782</v>
      </c>
      <c r="H94" s="22"/>
      <c r="I94" s="24">
        <v>29701011201072</v>
      </c>
      <c r="J94" s="25">
        <v>1</v>
      </c>
      <c r="K94" s="25">
        <v>3500</v>
      </c>
      <c r="L94" s="25"/>
      <c r="M94" s="26"/>
      <c r="N94" s="25">
        <f>SUM('11-2025'!$K94:$M94)</f>
        <v>3500</v>
      </c>
      <c r="O94" s="25"/>
      <c r="P94" s="25">
        <f t="shared" si="15"/>
        <v>0</v>
      </c>
      <c r="Q94" s="25">
        <f t="shared" si="16"/>
        <v>0</v>
      </c>
      <c r="R94" s="25">
        <v>1666.6666666666667</v>
      </c>
      <c r="S94" s="27">
        <f t="shared" si="17"/>
        <v>1833.3333333333333</v>
      </c>
      <c r="T94" s="25">
        <f t="shared" si="18"/>
        <v>22000</v>
      </c>
      <c r="U94" s="25">
        <f>IF(T94&lt;=40000,0,
IF(T94&lt;=55000,(T94-40000)*10%,
IF(T94&lt;=70000,(T94-55000)*15%+1500,
IF(T94&lt;=200000,(T94-70000)*20%+1500+2250,
IF(T94&lt;=400000,(T94-200000)*22.5%+1500+2250+26000,
IF(T94&lt;=600000,(T94-400000)*25%+1500+2250+26000+45000,
IF(AND(T94&gt;600000,T94&lt;=1200000),(T94-400000)*25%+1500+2250+26000+45000
+IFERROR(LOOKUP(T94,{600001;700001;800001;900001},{4000;6750;10250;15250}),0),IF(T94&gt;1200000,((T94-1200000)*27.5%)+300000,0)
)))))))</f>
        <v>0</v>
      </c>
      <c r="V94" s="25">
        <f t="shared" si="19"/>
        <v>0</v>
      </c>
      <c r="W94" s="28">
        <f>+'11-2025'!$S94-'11-2025'!$V94+'11-2025'!$R94</f>
        <v>3500</v>
      </c>
      <c r="X94" s="28">
        <f t="shared" si="20"/>
        <v>116.66666666666667</v>
      </c>
      <c r="Y94" s="29">
        <v>0</v>
      </c>
      <c r="Z94" s="29">
        <f>IFERROR(+'11-2025'!$X94*'11-2025'!$Y94,"")</f>
        <v>0</v>
      </c>
      <c r="AA94" s="29">
        <v>0</v>
      </c>
      <c r="AB94" s="29">
        <f>IFERROR(+'11-2025'!$X94*'11-2025'!$AA94,"")</f>
        <v>0</v>
      </c>
      <c r="AC94" s="29">
        <v>0</v>
      </c>
      <c r="AD94" s="29">
        <f>IFERROR(+'11-2025'!$X94*'11-2025'!$AC94,"")</f>
        <v>0</v>
      </c>
      <c r="AE94" s="29">
        <v>0</v>
      </c>
      <c r="AF94" s="29">
        <f>IFERROR(+'11-2025'!$X94*'11-2025'!$AE94,"")</f>
        <v>0</v>
      </c>
      <c r="AG94" s="29">
        <v>0</v>
      </c>
      <c r="AH94" s="29">
        <f>IFERROR(+'11-2025'!$X94*'11-2025'!$AG94,"")</f>
        <v>0</v>
      </c>
      <c r="AI94" s="29">
        <v>0</v>
      </c>
      <c r="AJ94" s="29">
        <f>IFERROR('11-2025'!$Z94+'11-2025'!$AB94+'11-2025'!$AD94+'11-2025'!$AF94+'11-2025'!$AH94+'11-2025'!$AI94,"")</f>
        <v>0</v>
      </c>
      <c r="AK94" s="30">
        <f>IFERROR('11-2025'!$W94-'11-2025'!$AJ94,"")</f>
        <v>3500</v>
      </c>
      <c r="AL94" s="31"/>
      <c r="AM94" s="31">
        <v>2500</v>
      </c>
      <c r="AN94" s="31"/>
      <c r="AO94" s="31">
        <v>0</v>
      </c>
      <c r="AP94" s="31"/>
      <c r="AQ94" s="31"/>
      <c r="AR94" s="31">
        <v>0</v>
      </c>
      <c r="AS94" s="31">
        <v>0</v>
      </c>
      <c r="AT94" s="31">
        <v>0</v>
      </c>
      <c r="AU94" s="31">
        <v>0</v>
      </c>
      <c r="AV94" s="31">
        <v>5578.4482250000001</v>
      </c>
      <c r="AW94" s="31">
        <v>0</v>
      </c>
      <c r="AX94" s="31">
        <v>0</v>
      </c>
      <c r="AY94" s="31">
        <v>0</v>
      </c>
      <c r="AZ94" s="31">
        <v>0</v>
      </c>
      <c r="BA94" s="31">
        <v>0</v>
      </c>
      <c r="BB94" s="31">
        <v>0</v>
      </c>
      <c r="BC94" s="31">
        <v>0</v>
      </c>
      <c r="BD94" s="31">
        <v>0</v>
      </c>
      <c r="BE94" s="31">
        <v>0</v>
      </c>
      <c r="BF94" s="31">
        <v>0</v>
      </c>
      <c r="BG94" s="31">
        <v>0</v>
      </c>
      <c r="BH94" s="31">
        <v>0</v>
      </c>
      <c r="BI94" s="31">
        <v>0</v>
      </c>
      <c r="BJ94" s="32">
        <f t="shared" si="23"/>
        <v>5578.4482250000001</v>
      </c>
      <c r="BK94" s="41">
        <f>BJ94+AM94+AL94+'11-2025'!$N94+AN94+AO94</f>
        <v>11578.448225</v>
      </c>
      <c r="BL94" s="34">
        <f>'11-2025'!$O94</f>
        <v>0</v>
      </c>
      <c r="BM94" s="34">
        <f t="shared" si="12"/>
        <v>0</v>
      </c>
      <c r="BN94" s="34">
        <f t="shared" si="13"/>
        <v>0</v>
      </c>
      <c r="BO94" s="34">
        <f t="shared" si="21"/>
        <v>1666.6666666666667</v>
      </c>
      <c r="BP94" s="35">
        <f t="shared" si="14"/>
        <v>9911.781558333334</v>
      </c>
      <c r="BQ94" s="34">
        <f>IFERROR(BP94/'11-2025'!$J94,0)*12</f>
        <v>118941.3787</v>
      </c>
      <c r="BR94" s="34">
        <f>IF(BQ94&lt;=40000,0,
IF(BQ94&lt;=55000,(BQ94-40000)*10%,
IF(BQ94&lt;=70000,(BQ94-55000)*15%+1500,
IF(BQ94&lt;=200000,(BQ94-70000)*20%+1500+2250,
IF(BQ94&lt;=400000,(BQ94-200000)*22.5%+1500+2250+26000,
IF(BQ94&lt;=600000,(BQ94-400000)*25%+1500+2250+26000+45000,
IF(AND(BQ94&gt;600000,BQ94&lt;=1200000),(BQ94-400000)*25%+1500+2250+26000+45000
+IFERROR(LOOKUP(BQ94,{600001;700001;800001;900001},{4000;6750;10250;15250}),0),IF(BQ94&gt;1200000,((BQ94-1200000)*27.5%)+300000,0)
)))))))</f>
        <v>13538.275740000001</v>
      </c>
      <c r="BS94" s="32">
        <f>(BR94/12*'11-2025'!$J94)</f>
        <v>1128.1896450000002</v>
      </c>
      <c r="BT94" s="33">
        <f>BS94-'11-2025'!$V94</f>
        <v>1128.1896450000002</v>
      </c>
      <c r="BU94" s="32">
        <f>IFERROR(+'11-2025'!$W94+AL94+AM94+BJ94-'11-2025'!$AJ94-BT94+AN94+AO94,"")-AL94+AP94+AQ94</f>
        <v>10450.25858</v>
      </c>
      <c r="BV94" s="36" t="s">
        <v>426</v>
      </c>
      <c r="BW94" s="37"/>
      <c r="BX94" s="37">
        <f t="shared" si="22"/>
        <v>10450.25858</v>
      </c>
      <c r="BY94" s="37"/>
      <c r="BZ94" s="59"/>
    </row>
    <row r="95" spans="1:78" x14ac:dyDescent="0.25">
      <c r="A95" s="43">
        <v>641</v>
      </c>
      <c r="B95" s="22" t="s">
        <v>205</v>
      </c>
      <c r="C95" s="22" t="s">
        <v>106</v>
      </c>
      <c r="D95" s="22" t="s">
        <v>72</v>
      </c>
      <c r="E95" s="22" t="s">
        <v>82</v>
      </c>
      <c r="F95" s="22" t="s">
        <v>102</v>
      </c>
      <c r="G95" s="23">
        <v>45874</v>
      </c>
      <c r="H95" s="22"/>
      <c r="I95" s="24">
        <v>30101011201389</v>
      </c>
      <c r="J95" s="25">
        <v>1</v>
      </c>
      <c r="K95" s="25">
        <v>2500</v>
      </c>
      <c r="L95" s="25"/>
      <c r="M95" s="26"/>
      <c r="N95" s="25">
        <f>SUM('11-2025'!$K95:$M95)</f>
        <v>2500</v>
      </c>
      <c r="O95" s="25"/>
      <c r="P95" s="25">
        <f t="shared" si="15"/>
        <v>0</v>
      </c>
      <c r="Q95" s="25">
        <f t="shared" si="16"/>
        <v>0</v>
      </c>
      <c r="R95" s="25">
        <v>1666.6666666666667</v>
      </c>
      <c r="S95" s="27">
        <f t="shared" si="17"/>
        <v>833.33333333333326</v>
      </c>
      <c r="T95" s="25">
        <f t="shared" si="18"/>
        <v>10000</v>
      </c>
      <c r="U95" s="25">
        <f>IF(T95&lt;=40000,0,
IF(T95&lt;=55000,(T95-40000)*10%,
IF(T95&lt;=70000,(T95-55000)*15%+1500,
IF(T95&lt;=200000,(T95-70000)*20%+1500+2250,
IF(T95&lt;=400000,(T95-200000)*22.5%+1500+2250+26000,
IF(T95&lt;=600000,(T95-400000)*25%+1500+2250+26000+45000,
IF(AND(T95&gt;600000,T95&lt;=1200000),(T95-400000)*25%+1500+2250+26000+45000
+IFERROR(LOOKUP(T95,{600001;700001;800001;900001},{4000;6750;10250;15250}),0),IF(T95&gt;1200000,((T95-1200000)*27.5%)+300000,0)
)))))))</f>
        <v>0</v>
      </c>
      <c r="V95" s="25">
        <f t="shared" si="19"/>
        <v>0</v>
      </c>
      <c r="W95" s="28">
        <f>+'11-2025'!$S95-'11-2025'!$V95+'11-2025'!$R95</f>
        <v>2500</v>
      </c>
      <c r="X95" s="28">
        <f t="shared" si="20"/>
        <v>83.333333333333329</v>
      </c>
      <c r="Y95" s="29">
        <v>0</v>
      </c>
      <c r="Z95" s="29">
        <f>IFERROR(+'11-2025'!$X95*'11-2025'!$Y95,"")</f>
        <v>0</v>
      </c>
      <c r="AA95" s="29">
        <v>0</v>
      </c>
      <c r="AB95" s="29">
        <f>IFERROR(+'11-2025'!$X95*'11-2025'!$AA95,"")</f>
        <v>0</v>
      </c>
      <c r="AC95" s="29">
        <v>0</v>
      </c>
      <c r="AD95" s="29">
        <f>IFERROR(+'11-2025'!$X95*'11-2025'!$AC95,"")</f>
        <v>0</v>
      </c>
      <c r="AE95" s="29">
        <v>0</v>
      </c>
      <c r="AF95" s="29">
        <f>IFERROR(+'11-2025'!$X95*'11-2025'!$AE95,"")</f>
        <v>0</v>
      </c>
      <c r="AG95" s="29">
        <v>0</v>
      </c>
      <c r="AH95" s="29">
        <f>IFERROR(+'11-2025'!$X95*'11-2025'!$AG95,"")</f>
        <v>0</v>
      </c>
      <c r="AI95" s="29">
        <v>0</v>
      </c>
      <c r="AJ95" s="29">
        <f>IFERROR('11-2025'!$Z95+'11-2025'!$AB95+'11-2025'!$AD95+'11-2025'!$AF95+'11-2025'!$AH95+'11-2025'!$AI95,"")</f>
        <v>0</v>
      </c>
      <c r="AK95" s="30">
        <f>IFERROR('11-2025'!$W95-'11-2025'!$AJ95,"")</f>
        <v>2500</v>
      </c>
      <c r="AL95" s="31"/>
      <c r="AM95" s="31"/>
      <c r="AN95" s="31"/>
      <c r="AO95" s="31">
        <v>80</v>
      </c>
      <c r="AP95" s="31"/>
      <c r="AQ95" s="31"/>
      <c r="AR95" s="31">
        <v>0</v>
      </c>
      <c r="AS95" s="31">
        <v>0</v>
      </c>
      <c r="AT95" s="31">
        <v>0</v>
      </c>
      <c r="AU95" s="31">
        <v>248.36340000000001</v>
      </c>
      <c r="AV95" s="31">
        <v>0</v>
      </c>
      <c r="AW95" s="31">
        <v>0</v>
      </c>
      <c r="AX95" s="31">
        <v>0</v>
      </c>
      <c r="AY95" s="31">
        <v>0</v>
      </c>
      <c r="AZ95" s="31">
        <v>0</v>
      </c>
      <c r="BA95" s="31">
        <v>0</v>
      </c>
      <c r="BB95" s="31">
        <v>0</v>
      </c>
      <c r="BC95" s="31">
        <v>0</v>
      </c>
      <c r="BD95" s="31">
        <v>0</v>
      </c>
      <c r="BE95" s="31">
        <v>0</v>
      </c>
      <c r="BF95" s="31">
        <v>0</v>
      </c>
      <c r="BG95" s="31">
        <v>0</v>
      </c>
      <c r="BH95" s="31">
        <v>225.25980000000001</v>
      </c>
      <c r="BI95" s="31">
        <v>0</v>
      </c>
      <c r="BJ95" s="32">
        <f t="shared" si="23"/>
        <v>473.6232</v>
      </c>
      <c r="BK95" s="41">
        <f>BJ95+AM95+AL95+'11-2025'!$N95+AN95+AO95</f>
        <v>3053.6232</v>
      </c>
      <c r="BL95" s="34">
        <f>'11-2025'!$O95</f>
        <v>0</v>
      </c>
      <c r="BM95" s="34">
        <f t="shared" si="12"/>
        <v>0</v>
      </c>
      <c r="BN95" s="34">
        <f t="shared" si="13"/>
        <v>0</v>
      </c>
      <c r="BO95" s="34">
        <f t="shared" si="21"/>
        <v>1666.6666666666667</v>
      </c>
      <c r="BP95" s="35">
        <f t="shared" si="14"/>
        <v>1386.9565333333333</v>
      </c>
      <c r="BQ95" s="34">
        <f>IFERROR(BP95/'11-2025'!$J95,0)*12</f>
        <v>16643.4784</v>
      </c>
      <c r="BR95" s="34">
        <f>IF(BQ95&lt;=40000,0,
IF(BQ95&lt;=55000,(BQ95-40000)*10%,
IF(BQ95&lt;=70000,(BQ95-55000)*15%+1500,
IF(BQ95&lt;=200000,(BQ95-70000)*20%+1500+2250,
IF(BQ95&lt;=400000,(BQ95-200000)*22.5%+1500+2250+26000,
IF(BQ95&lt;=600000,(BQ95-400000)*25%+1500+2250+26000+45000,
IF(AND(BQ95&gt;600000,BQ95&lt;=1200000),(BQ95-400000)*25%+1500+2250+26000+45000
+IFERROR(LOOKUP(BQ95,{600001;700001;800001;900001},{4000;6750;10250;15250}),0),IF(BQ95&gt;1200000,((BQ95-1200000)*27.5%)+300000,0)
)))))))</f>
        <v>0</v>
      </c>
      <c r="BS95" s="32">
        <f>(BR95/12*'11-2025'!$J95)</f>
        <v>0</v>
      </c>
      <c r="BT95" s="33">
        <f>BS95-'11-2025'!$V95</f>
        <v>0</v>
      </c>
      <c r="BU95" s="32">
        <f>IFERROR(+'11-2025'!$W95+AL95+AM95+BJ95-'11-2025'!$AJ95-BT95+AN95+AO95,"")-AL95+AP95+AQ95</f>
        <v>3053.6232</v>
      </c>
      <c r="BV95" s="36"/>
      <c r="BW95" s="37"/>
      <c r="BX95" s="37">
        <f t="shared" si="22"/>
        <v>3053.6232</v>
      </c>
      <c r="BY95" s="37"/>
    </row>
    <row r="96" spans="1:78" x14ac:dyDescent="0.25">
      <c r="A96" s="43">
        <v>642</v>
      </c>
      <c r="B96" s="22" t="s">
        <v>206</v>
      </c>
      <c r="C96" s="22" t="s">
        <v>81</v>
      </c>
      <c r="D96" s="22" t="s">
        <v>72</v>
      </c>
      <c r="E96" s="22" t="s">
        <v>124</v>
      </c>
      <c r="F96" s="22" t="s">
        <v>102</v>
      </c>
      <c r="G96" s="23">
        <v>45783</v>
      </c>
      <c r="H96" s="22"/>
      <c r="I96" s="24">
        <v>30308240103345</v>
      </c>
      <c r="J96" s="25">
        <v>1</v>
      </c>
      <c r="K96" s="25">
        <v>3000</v>
      </c>
      <c r="L96" s="25"/>
      <c r="M96" s="26"/>
      <c r="N96" s="25">
        <f>SUM('11-2025'!$K96:$M96)</f>
        <v>3000</v>
      </c>
      <c r="O96" s="25"/>
      <c r="P96" s="25">
        <f t="shared" si="15"/>
        <v>0</v>
      </c>
      <c r="Q96" s="25">
        <f t="shared" si="16"/>
        <v>0</v>
      </c>
      <c r="R96" s="25">
        <v>1666.6666666666667</v>
      </c>
      <c r="S96" s="27">
        <f t="shared" si="17"/>
        <v>1333.3333333333333</v>
      </c>
      <c r="T96" s="25">
        <f t="shared" si="18"/>
        <v>16000</v>
      </c>
      <c r="U96" s="25">
        <f>IF(T96&lt;=40000,0,
IF(T96&lt;=55000,(T96-40000)*10%,
IF(T96&lt;=70000,(T96-55000)*15%+1500,
IF(T96&lt;=200000,(T96-70000)*20%+1500+2250,
IF(T96&lt;=400000,(T96-200000)*22.5%+1500+2250+26000,
IF(T96&lt;=600000,(T96-400000)*25%+1500+2250+26000+45000,
IF(AND(T96&gt;600000,T96&lt;=1200000),(T96-400000)*25%+1500+2250+26000+45000
+IFERROR(LOOKUP(T96,{600001;700001;800001;900001},{4000;6750;10250;15250}),0),IF(T96&gt;1200000,((T96-1200000)*27.5%)+300000,0)
)))))))</f>
        <v>0</v>
      </c>
      <c r="V96" s="25">
        <f t="shared" si="19"/>
        <v>0</v>
      </c>
      <c r="W96" s="28">
        <f>+'11-2025'!$S96-'11-2025'!$V96+'11-2025'!$R96</f>
        <v>3000</v>
      </c>
      <c r="X96" s="28">
        <f t="shared" si="20"/>
        <v>100</v>
      </c>
      <c r="Y96" s="29">
        <v>0</v>
      </c>
      <c r="Z96" s="29">
        <f>IFERROR(+'11-2025'!$X96*'11-2025'!$Y96,"")</f>
        <v>0</v>
      </c>
      <c r="AA96" s="29">
        <v>2</v>
      </c>
      <c r="AB96" s="29">
        <f>IFERROR(+'11-2025'!$X96*'11-2025'!$AA96,"")</f>
        <v>200</v>
      </c>
      <c r="AC96" s="29">
        <v>0</v>
      </c>
      <c r="AD96" s="29">
        <f>IFERROR(+'11-2025'!$X96*'11-2025'!$AC96,"")</f>
        <v>0</v>
      </c>
      <c r="AE96" s="29">
        <v>0</v>
      </c>
      <c r="AF96" s="29">
        <f>IFERROR(+'11-2025'!$X96*'11-2025'!$AE96,"")</f>
        <v>0</v>
      </c>
      <c r="AG96" s="29">
        <v>0.5</v>
      </c>
      <c r="AH96" s="29">
        <f>IFERROR(+'11-2025'!$X96*'11-2025'!$AG96,"")</f>
        <v>50</v>
      </c>
      <c r="AI96" s="29">
        <v>500</v>
      </c>
      <c r="AJ96" s="29">
        <f>IFERROR('11-2025'!$Z96+'11-2025'!$AB96+'11-2025'!$AD96+'11-2025'!$AF96+'11-2025'!$AH96+'11-2025'!$AI96,"")</f>
        <v>750</v>
      </c>
      <c r="AK96" s="30">
        <f>IFERROR('11-2025'!$W96-'11-2025'!$AJ96,"")</f>
        <v>2250</v>
      </c>
      <c r="AL96" s="31"/>
      <c r="AM96" s="31">
        <v>700</v>
      </c>
      <c r="AN96" s="31"/>
      <c r="AO96" s="31">
        <v>60</v>
      </c>
      <c r="AP96" s="31"/>
      <c r="AQ96" s="31"/>
      <c r="AR96" s="31">
        <v>0</v>
      </c>
      <c r="AS96" s="31">
        <v>0</v>
      </c>
      <c r="AT96" s="31">
        <v>0</v>
      </c>
      <c r="AU96" s="31">
        <v>0</v>
      </c>
      <c r="AV96" s="31">
        <v>1391.6618000000001</v>
      </c>
      <c r="AW96" s="31">
        <v>0</v>
      </c>
      <c r="AX96" s="31">
        <v>0</v>
      </c>
      <c r="AY96" s="31">
        <v>0</v>
      </c>
      <c r="AZ96" s="31">
        <v>0</v>
      </c>
      <c r="BA96" s="31">
        <v>0</v>
      </c>
      <c r="BB96" s="31">
        <v>0</v>
      </c>
      <c r="BC96" s="31">
        <v>0</v>
      </c>
      <c r="BD96" s="31">
        <v>0</v>
      </c>
      <c r="BE96" s="31">
        <v>0</v>
      </c>
      <c r="BF96" s="31">
        <v>0</v>
      </c>
      <c r="BG96" s="31">
        <v>0</v>
      </c>
      <c r="BH96" s="31">
        <v>0</v>
      </c>
      <c r="BI96" s="31">
        <v>0</v>
      </c>
      <c r="BJ96" s="32">
        <f t="shared" si="23"/>
        <v>1391.6618000000001</v>
      </c>
      <c r="BK96" s="41">
        <f>BJ96+AM96+AL96+'11-2025'!$N96+AN96+AO96</f>
        <v>5151.6617999999999</v>
      </c>
      <c r="BL96" s="34">
        <f>'11-2025'!$O96</f>
        <v>0</v>
      </c>
      <c r="BM96" s="34">
        <f t="shared" si="12"/>
        <v>0</v>
      </c>
      <c r="BN96" s="34">
        <f t="shared" si="13"/>
        <v>0</v>
      </c>
      <c r="BO96" s="34">
        <f t="shared" si="21"/>
        <v>1666.6666666666667</v>
      </c>
      <c r="BP96" s="35">
        <f t="shared" si="14"/>
        <v>3484.9951333333329</v>
      </c>
      <c r="BQ96" s="34">
        <f>IFERROR(BP96/'11-2025'!$J96,0)*12</f>
        <v>41819.941599999991</v>
      </c>
      <c r="BR96" s="34">
        <f>IF(BQ96&lt;=40000,0,
IF(BQ96&lt;=55000,(BQ96-40000)*10%,
IF(BQ96&lt;=70000,(BQ96-55000)*15%+1500,
IF(BQ96&lt;=200000,(BQ96-70000)*20%+1500+2250,
IF(BQ96&lt;=400000,(BQ96-200000)*22.5%+1500+2250+26000,
IF(BQ96&lt;=600000,(BQ96-400000)*25%+1500+2250+26000+45000,
IF(AND(BQ96&gt;600000,BQ96&lt;=1200000),(BQ96-400000)*25%+1500+2250+26000+45000
+IFERROR(LOOKUP(BQ96,{600001;700001;800001;900001},{4000;6750;10250;15250}),0),IF(BQ96&gt;1200000,((BQ96-1200000)*27.5%)+300000,0)
)))))))</f>
        <v>181.99415999999911</v>
      </c>
      <c r="BS96" s="32">
        <f>(BR96/12*'11-2025'!$J96)</f>
        <v>15.166179999999926</v>
      </c>
      <c r="BT96" s="33">
        <f>BS96-'11-2025'!$V96</f>
        <v>15.166179999999926</v>
      </c>
      <c r="BU96" s="32">
        <f>IFERROR(+'11-2025'!$W96+AL96+AM96+BJ96-'11-2025'!$AJ96-BT96+AN96+AO96,"")-AL96+AP96+AQ96</f>
        <v>4386.4956199999997</v>
      </c>
      <c r="BV96" s="36" t="s">
        <v>428</v>
      </c>
      <c r="BW96" s="37"/>
      <c r="BX96" s="37">
        <f t="shared" si="22"/>
        <v>4386.4956199999997</v>
      </c>
      <c r="BY96" s="37"/>
    </row>
    <row r="97" spans="1:77" x14ac:dyDescent="0.25">
      <c r="A97" s="43">
        <v>644</v>
      </c>
      <c r="B97" s="22" t="s">
        <v>207</v>
      </c>
      <c r="C97" s="22" t="s">
        <v>71</v>
      </c>
      <c r="D97" s="22" t="s">
        <v>77</v>
      </c>
      <c r="E97" s="22" t="s">
        <v>85</v>
      </c>
      <c r="F97" s="22" t="s">
        <v>180</v>
      </c>
      <c r="G97" s="23">
        <v>45788</v>
      </c>
      <c r="H97" s="22"/>
      <c r="I97" s="24">
        <v>29909270100721</v>
      </c>
      <c r="J97" s="25">
        <v>1</v>
      </c>
      <c r="K97" s="25">
        <v>4000</v>
      </c>
      <c r="L97" s="25"/>
      <c r="M97" s="26"/>
      <c r="N97" s="25">
        <f>SUM('11-2025'!$K97:$M97)</f>
        <v>4000</v>
      </c>
      <c r="O97" s="25">
        <f>+VLOOKUP(A97,'[9]يونيو 2025'!A$2:I$77,9,)</f>
        <v>3077</v>
      </c>
      <c r="P97" s="25">
        <f t="shared" si="15"/>
        <v>576.9375</v>
      </c>
      <c r="Q97" s="25">
        <f t="shared" si="16"/>
        <v>338.47</v>
      </c>
      <c r="R97" s="25">
        <v>1666.6666666666667</v>
      </c>
      <c r="S97" s="27">
        <f t="shared" si="17"/>
        <v>1994.863333333333</v>
      </c>
      <c r="T97" s="25">
        <f t="shared" si="18"/>
        <v>23938.359999999997</v>
      </c>
      <c r="U97" s="25">
        <f>IF(T97&lt;=40000,0,
IF(T97&lt;=55000,(T97-40000)*10%,
IF(T97&lt;=70000,(T97-55000)*15%+1500,
IF(T97&lt;=200000,(T97-70000)*20%+1500+2250,
IF(T97&lt;=400000,(T97-200000)*22.5%+1500+2250+26000,
IF(T97&lt;=600000,(T97-400000)*25%+1500+2250+26000+45000,
IF(AND(T97&gt;600000,T97&lt;=1200000),(T97-400000)*25%+1500+2250+26000+45000
+IFERROR(LOOKUP(T97,{600001;700001;800001;900001},{4000;6750;10250;15250}),0),IF(T97&gt;1200000,((T97-1200000)*27.5%)+300000,0)
)))))))</f>
        <v>0</v>
      </c>
      <c r="V97" s="25">
        <f t="shared" si="19"/>
        <v>0</v>
      </c>
      <c r="W97" s="28">
        <f>+'11-2025'!$S97-'11-2025'!$V97+'11-2025'!$R97</f>
        <v>3661.5299999999997</v>
      </c>
      <c r="X97" s="28">
        <f t="shared" si="20"/>
        <v>122.05099999999999</v>
      </c>
      <c r="Y97" s="29">
        <v>0</v>
      </c>
      <c r="Z97" s="29">
        <f>IFERROR(+'11-2025'!$X97*'11-2025'!$Y97,"")</f>
        <v>0</v>
      </c>
      <c r="AA97" s="29">
        <v>0</v>
      </c>
      <c r="AB97" s="29">
        <f>IFERROR(+'11-2025'!$X97*'11-2025'!$AA97,"")</f>
        <v>0</v>
      </c>
      <c r="AC97" s="29">
        <v>0</v>
      </c>
      <c r="AD97" s="29">
        <f>IFERROR(+'11-2025'!$X97*'11-2025'!$AC97,"")</f>
        <v>0</v>
      </c>
      <c r="AE97" s="29">
        <v>0</v>
      </c>
      <c r="AF97" s="29">
        <f>IFERROR(+'11-2025'!$X97*'11-2025'!$AE97,"")</f>
        <v>0</v>
      </c>
      <c r="AG97" s="29">
        <v>0</v>
      </c>
      <c r="AH97" s="29">
        <f>IFERROR(+'11-2025'!$X97*'11-2025'!$AG97,"")</f>
        <v>0</v>
      </c>
      <c r="AI97" s="29">
        <v>0</v>
      </c>
      <c r="AJ97" s="29">
        <f>IFERROR('11-2025'!$Z97+'11-2025'!$AB97+'11-2025'!$AD97+'11-2025'!$AF97+'11-2025'!$AH97+'11-2025'!$AI97,"")</f>
        <v>0</v>
      </c>
      <c r="AK97" s="30">
        <f>IFERROR('11-2025'!$W97-'11-2025'!$AJ97,"")</f>
        <v>3661.5299999999997</v>
      </c>
      <c r="AL97" s="31"/>
      <c r="AM97" s="31"/>
      <c r="AN97" s="31"/>
      <c r="AO97" s="31">
        <v>20</v>
      </c>
      <c r="AP97" s="31"/>
      <c r="AQ97" s="31"/>
      <c r="AR97" s="31">
        <v>0</v>
      </c>
      <c r="AS97" s="31">
        <v>0</v>
      </c>
      <c r="AT97" s="31">
        <v>0</v>
      </c>
      <c r="AU97" s="31">
        <v>0</v>
      </c>
      <c r="AV97" s="31">
        <v>0</v>
      </c>
      <c r="AW97" s="31">
        <v>0</v>
      </c>
      <c r="AX97" s="31">
        <v>0</v>
      </c>
      <c r="AY97" s="31">
        <v>0</v>
      </c>
      <c r="AZ97" s="31">
        <v>0</v>
      </c>
      <c r="BA97" s="31">
        <v>0</v>
      </c>
      <c r="BB97" s="31">
        <v>0</v>
      </c>
      <c r="BC97" s="31">
        <v>0</v>
      </c>
      <c r="BD97" s="31">
        <v>0</v>
      </c>
      <c r="BE97" s="31">
        <v>0</v>
      </c>
      <c r="BF97" s="31">
        <v>0</v>
      </c>
      <c r="BG97" s="31">
        <v>0</v>
      </c>
      <c r="BH97" s="31">
        <v>0</v>
      </c>
      <c r="BI97" s="31">
        <v>0</v>
      </c>
      <c r="BJ97" s="32">
        <f t="shared" si="23"/>
        <v>0</v>
      </c>
      <c r="BK97" s="41">
        <f>BJ97+AM97+AL97+'11-2025'!$N97+AN97+AO97</f>
        <v>4020</v>
      </c>
      <c r="BL97" s="34">
        <f>'11-2025'!$O97</f>
        <v>3077</v>
      </c>
      <c r="BM97" s="34">
        <f t="shared" si="12"/>
        <v>576.9375</v>
      </c>
      <c r="BN97" s="34">
        <f t="shared" si="13"/>
        <v>338.47</v>
      </c>
      <c r="BO97" s="34">
        <f t="shared" si="21"/>
        <v>1666.6666666666667</v>
      </c>
      <c r="BP97" s="35">
        <f t="shared" si="14"/>
        <v>2014.863333333333</v>
      </c>
      <c r="BQ97" s="34">
        <f>IFERROR(BP97/'11-2025'!$J97,0)*12</f>
        <v>24178.359999999997</v>
      </c>
      <c r="BR97" s="34">
        <f>IF(BQ97&lt;=40000,0,
IF(BQ97&lt;=55000,(BQ97-40000)*10%,
IF(BQ97&lt;=70000,(BQ97-55000)*15%+1500,
IF(BQ97&lt;=200000,(BQ97-70000)*20%+1500+2250,
IF(BQ97&lt;=400000,(BQ97-200000)*22.5%+1500+2250+26000,
IF(BQ97&lt;=600000,(BQ97-400000)*25%+1500+2250+26000+45000,
IF(AND(BQ97&gt;600000,BQ97&lt;=1200000),(BQ97-400000)*25%+1500+2250+26000+45000
+IFERROR(LOOKUP(BQ97,{600001;700001;800001;900001},{4000;6750;10250;15250}),0),IF(BQ97&gt;1200000,((BQ97-1200000)*27.5%)+300000,0)
)))))))</f>
        <v>0</v>
      </c>
      <c r="BS97" s="32">
        <f>(BR97/12*'11-2025'!$J97)</f>
        <v>0</v>
      </c>
      <c r="BT97" s="33">
        <f>BS97-'11-2025'!$V97</f>
        <v>0</v>
      </c>
      <c r="BU97" s="32">
        <f>IFERROR(+'11-2025'!$W97+AL97+AM97+BJ97-'11-2025'!$AJ97-BT97+AN97+AO97,"")-AL97+AP97+AQ97</f>
        <v>3681.5299999999997</v>
      </c>
      <c r="BV97" s="36"/>
      <c r="BW97" s="37"/>
      <c r="BX97" s="37">
        <f t="shared" si="22"/>
        <v>3681.5299999999997</v>
      </c>
      <c r="BY97" s="37"/>
    </row>
    <row r="98" spans="1:77" x14ac:dyDescent="0.25">
      <c r="A98" s="43">
        <v>645</v>
      </c>
      <c r="B98" s="22" t="s">
        <v>208</v>
      </c>
      <c r="C98" s="22" t="s">
        <v>71</v>
      </c>
      <c r="D98" s="22" t="s">
        <v>77</v>
      </c>
      <c r="E98" s="22" t="s">
        <v>85</v>
      </c>
      <c r="F98" s="22" t="s">
        <v>180</v>
      </c>
      <c r="G98" s="23">
        <v>45788</v>
      </c>
      <c r="H98" s="22"/>
      <c r="I98" s="24">
        <v>29909270100705</v>
      </c>
      <c r="J98" s="25">
        <v>1</v>
      </c>
      <c r="K98" s="25">
        <v>4000</v>
      </c>
      <c r="L98" s="25"/>
      <c r="M98" s="26"/>
      <c r="N98" s="25">
        <f>SUM('11-2025'!$K98:$M98)</f>
        <v>4000</v>
      </c>
      <c r="O98" s="25">
        <f>+VLOOKUP(A98,'[9]يونيو 2025'!A$2:I$77,9,)</f>
        <v>3077</v>
      </c>
      <c r="P98" s="25">
        <f t="shared" si="15"/>
        <v>576.9375</v>
      </c>
      <c r="Q98" s="25">
        <f t="shared" si="16"/>
        <v>338.47</v>
      </c>
      <c r="R98" s="25">
        <v>1666.6666666666667</v>
      </c>
      <c r="S98" s="27">
        <f t="shared" si="17"/>
        <v>1994.863333333333</v>
      </c>
      <c r="T98" s="25">
        <f t="shared" si="18"/>
        <v>23938.359999999997</v>
      </c>
      <c r="U98" s="25">
        <f>IF(T98&lt;=40000,0,
IF(T98&lt;=55000,(T98-40000)*10%,
IF(T98&lt;=70000,(T98-55000)*15%+1500,
IF(T98&lt;=200000,(T98-70000)*20%+1500+2250,
IF(T98&lt;=400000,(T98-200000)*22.5%+1500+2250+26000,
IF(T98&lt;=600000,(T98-400000)*25%+1500+2250+26000+45000,
IF(AND(T98&gt;600000,T98&lt;=1200000),(T98-400000)*25%+1500+2250+26000+45000
+IFERROR(LOOKUP(T98,{600001;700001;800001;900001},{4000;6750;10250;15250}),0),IF(T98&gt;1200000,((T98-1200000)*27.5%)+300000,0)
)))))))</f>
        <v>0</v>
      </c>
      <c r="V98" s="25">
        <f t="shared" si="19"/>
        <v>0</v>
      </c>
      <c r="W98" s="28">
        <f>+'11-2025'!$S98-'11-2025'!$V98+'11-2025'!$R98</f>
        <v>3661.5299999999997</v>
      </c>
      <c r="X98" s="28">
        <f t="shared" si="20"/>
        <v>122.05099999999999</v>
      </c>
      <c r="Y98" s="29">
        <v>0</v>
      </c>
      <c r="Z98" s="29">
        <f>IFERROR(+'11-2025'!$X98*'11-2025'!$Y98,"")</f>
        <v>0</v>
      </c>
      <c r="AA98" s="29">
        <v>0</v>
      </c>
      <c r="AB98" s="29">
        <f>IFERROR(+'11-2025'!$X98*'11-2025'!$AA98,"")</f>
        <v>0</v>
      </c>
      <c r="AC98" s="29">
        <v>0</v>
      </c>
      <c r="AD98" s="29">
        <f>IFERROR(+'11-2025'!$X98*'11-2025'!$AC98,"")</f>
        <v>0</v>
      </c>
      <c r="AE98" s="29">
        <v>0</v>
      </c>
      <c r="AF98" s="29">
        <f>IFERROR(+'11-2025'!$X98*'11-2025'!$AE98,"")</f>
        <v>0</v>
      </c>
      <c r="AG98" s="29">
        <v>0</v>
      </c>
      <c r="AH98" s="29">
        <f>IFERROR(+'11-2025'!$X98*'11-2025'!$AG98,"")</f>
        <v>0</v>
      </c>
      <c r="AI98" s="29">
        <v>0</v>
      </c>
      <c r="AJ98" s="29">
        <f>IFERROR('11-2025'!$Z98+'11-2025'!$AB98+'11-2025'!$AD98+'11-2025'!$AF98+'11-2025'!$AH98+'11-2025'!$AI98,"")</f>
        <v>0</v>
      </c>
      <c r="AK98" s="30">
        <f>IFERROR('11-2025'!$W98-'11-2025'!$AJ98,"")</f>
        <v>3661.5299999999997</v>
      </c>
      <c r="AL98" s="31"/>
      <c r="AM98" s="31"/>
      <c r="AN98" s="31"/>
      <c r="AO98" s="31">
        <v>20</v>
      </c>
      <c r="AP98" s="31"/>
      <c r="AQ98" s="31"/>
      <c r="AR98" s="31">
        <v>0</v>
      </c>
      <c r="AS98" s="31">
        <v>0</v>
      </c>
      <c r="AT98" s="31">
        <v>0</v>
      </c>
      <c r="AU98" s="31">
        <v>0</v>
      </c>
      <c r="AV98" s="31">
        <v>0</v>
      </c>
      <c r="AW98" s="31">
        <v>0</v>
      </c>
      <c r="AX98" s="31">
        <v>0</v>
      </c>
      <c r="AY98" s="31">
        <v>0</v>
      </c>
      <c r="AZ98" s="31">
        <v>0</v>
      </c>
      <c r="BA98" s="31">
        <v>0</v>
      </c>
      <c r="BB98" s="31">
        <v>0</v>
      </c>
      <c r="BC98" s="31">
        <v>0</v>
      </c>
      <c r="BD98" s="31">
        <v>0</v>
      </c>
      <c r="BE98" s="31">
        <v>0</v>
      </c>
      <c r="BF98" s="31">
        <v>0</v>
      </c>
      <c r="BG98" s="31">
        <v>0</v>
      </c>
      <c r="BH98" s="31">
        <v>0</v>
      </c>
      <c r="BI98" s="31">
        <v>0</v>
      </c>
      <c r="BJ98" s="32">
        <f t="shared" si="23"/>
        <v>0</v>
      </c>
      <c r="BK98" s="41">
        <f>BJ98+AM98+AL98+'11-2025'!$N98+AN98+AO98</f>
        <v>4020</v>
      </c>
      <c r="BL98" s="34">
        <f>'11-2025'!$O98</f>
        <v>3077</v>
      </c>
      <c r="BM98" s="34">
        <f t="shared" si="12"/>
        <v>576.9375</v>
      </c>
      <c r="BN98" s="34">
        <f t="shared" si="13"/>
        <v>338.47</v>
      </c>
      <c r="BO98" s="34">
        <f t="shared" si="21"/>
        <v>1666.6666666666667</v>
      </c>
      <c r="BP98" s="35">
        <f t="shared" si="14"/>
        <v>2014.863333333333</v>
      </c>
      <c r="BQ98" s="34">
        <f>IFERROR(BP98/'11-2025'!$J98,0)*12</f>
        <v>24178.359999999997</v>
      </c>
      <c r="BR98" s="34">
        <f>IF(BQ98&lt;=40000,0,
IF(BQ98&lt;=55000,(BQ98-40000)*10%,
IF(BQ98&lt;=70000,(BQ98-55000)*15%+1500,
IF(BQ98&lt;=200000,(BQ98-70000)*20%+1500+2250,
IF(BQ98&lt;=400000,(BQ98-200000)*22.5%+1500+2250+26000,
IF(BQ98&lt;=600000,(BQ98-400000)*25%+1500+2250+26000+45000,
IF(AND(BQ98&gt;600000,BQ98&lt;=1200000),(BQ98-400000)*25%+1500+2250+26000+45000
+IFERROR(LOOKUP(BQ98,{600001;700001;800001;900001},{4000;6750;10250;15250}),0),IF(BQ98&gt;1200000,((BQ98-1200000)*27.5%)+300000,0)
)))))))</f>
        <v>0</v>
      </c>
      <c r="BS98" s="32">
        <f>(BR98/12*'11-2025'!$J98)</f>
        <v>0</v>
      </c>
      <c r="BT98" s="33">
        <f>BS98-'11-2025'!$V98</f>
        <v>0</v>
      </c>
      <c r="BU98" s="32">
        <f>IFERROR(+'11-2025'!$W98+AL98+AM98+BJ98-'11-2025'!$AJ98-BT98+AN98+AO98,"")-AL98+AP98+AQ98</f>
        <v>3681.5299999999997</v>
      </c>
      <c r="BV98" s="36"/>
      <c r="BW98" s="37"/>
      <c r="BX98" s="37">
        <f t="shared" si="22"/>
        <v>3681.5299999999997</v>
      </c>
      <c r="BY98" s="37"/>
    </row>
    <row r="99" spans="1:77" s="75" customFormat="1" x14ac:dyDescent="0.25">
      <c r="A99" s="44">
        <v>647</v>
      </c>
      <c r="B99" s="40" t="s">
        <v>209</v>
      </c>
      <c r="C99" s="40" t="s">
        <v>106</v>
      </c>
      <c r="D99" s="40" t="s">
        <v>72</v>
      </c>
      <c r="E99" s="40" t="s">
        <v>82</v>
      </c>
      <c r="F99" s="40" t="s">
        <v>102</v>
      </c>
      <c r="G99" s="61">
        <v>45788</v>
      </c>
      <c r="H99" s="40"/>
      <c r="I99" s="62">
        <v>27710181200749</v>
      </c>
      <c r="J99" s="63">
        <v>1</v>
      </c>
      <c r="K99" s="63">
        <v>2500</v>
      </c>
      <c r="L99" s="63"/>
      <c r="M99" s="64"/>
      <c r="N99" s="63">
        <f>SUM('11-2025'!$K99:$M99)</f>
        <v>2500</v>
      </c>
      <c r="O99" s="63"/>
      <c r="P99" s="63">
        <f t="shared" si="15"/>
        <v>0</v>
      </c>
      <c r="Q99" s="63">
        <f t="shared" si="16"/>
        <v>0</v>
      </c>
      <c r="R99" s="63">
        <v>1666.6666666666667</v>
      </c>
      <c r="S99" s="65">
        <f t="shared" si="17"/>
        <v>833.33333333333326</v>
      </c>
      <c r="T99" s="63">
        <f t="shared" si="18"/>
        <v>10000</v>
      </c>
      <c r="U99" s="63">
        <f>IF(T99&lt;=40000,0,
IF(T99&lt;=55000,(T99-40000)*10%,
IF(T99&lt;=70000,(T99-55000)*15%+1500,
IF(T99&lt;=200000,(T99-70000)*20%+1500+2250,
IF(T99&lt;=400000,(T99-200000)*22.5%+1500+2250+26000,
IF(T99&lt;=600000,(T99-400000)*25%+1500+2250+26000+45000,
IF(AND(T99&gt;600000,T99&lt;=1200000),(T99-400000)*25%+1500+2250+26000+45000
+IFERROR(LOOKUP(T99,{600001;700001;800001;900001},{4000;6750;10250;15250}),0),IF(T99&gt;1200000,((T99-1200000)*27.5%)+300000,0)
)))))))</f>
        <v>0</v>
      </c>
      <c r="V99" s="63">
        <f t="shared" si="19"/>
        <v>0</v>
      </c>
      <c r="W99" s="66">
        <f>+'11-2025'!$S99-'11-2025'!$V99+'11-2025'!$R99</f>
        <v>2500</v>
      </c>
      <c r="X99" s="66">
        <f t="shared" si="20"/>
        <v>83.333333333333329</v>
      </c>
      <c r="Y99" s="67"/>
      <c r="Z99" s="67">
        <f>IFERROR(+'11-2025'!$X99*'11-2025'!$Y99,"")</f>
        <v>0</v>
      </c>
      <c r="AA99" s="67"/>
      <c r="AB99" s="67">
        <f>IFERROR(+'11-2025'!$X99*'11-2025'!$AA99,"")</f>
        <v>0</v>
      </c>
      <c r="AC99" s="67">
        <v>30</v>
      </c>
      <c r="AD99" s="67">
        <f>IFERROR(+'11-2025'!$X99*'11-2025'!$AC99,"")</f>
        <v>2500</v>
      </c>
      <c r="AE99" s="67"/>
      <c r="AF99" s="67">
        <f>IFERROR(+'11-2025'!$X99*'11-2025'!$AE99,"")</f>
        <v>0</v>
      </c>
      <c r="AG99" s="67"/>
      <c r="AH99" s="67">
        <f>IFERROR(+'11-2025'!$X99*'11-2025'!$AG99,"")</f>
        <v>0</v>
      </c>
      <c r="AI99" s="29">
        <v>0</v>
      </c>
      <c r="AJ99" s="67">
        <f>IFERROR('11-2025'!$Z99+'11-2025'!$AB99+'11-2025'!$AD99+'11-2025'!$AF99+'11-2025'!$AH99+'11-2025'!$AI99,"")</f>
        <v>2500</v>
      </c>
      <c r="AK99" s="68">
        <f>IFERROR('11-2025'!$W99-'11-2025'!$AJ99,"")</f>
        <v>0</v>
      </c>
      <c r="AL99" s="69"/>
      <c r="AM99" s="69"/>
      <c r="AN99" s="69"/>
      <c r="AO99" s="69"/>
      <c r="AP99" s="69"/>
      <c r="AQ99" s="69"/>
      <c r="AR99" s="31">
        <v>0</v>
      </c>
      <c r="AS99" s="31">
        <v>0</v>
      </c>
      <c r="AT99" s="31">
        <v>0</v>
      </c>
      <c r="AU99" s="31">
        <v>0</v>
      </c>
      <c r="AV99" s="31">
        <v>0</v>
      </c>
      <c r="AW99" s="31">
        <v>0</v>
      </c>
      <c r="AX99" s="31">
        <v>0</v>
      </c>
      <c r="AY99" s="31">
        <v>0</v>
      </c>
      <c r="AZ99" s="31">
        <v>0</v>
      </c>
      <c r="BA99" s="31">
        <v>0</v>
      </c>
      <c r="BB99" s="31">
        <v>0</v>
      </c>
      <c r="BC99" s="31">
        <v>0</v>
      </c>
      <c r="BD99" s="31">
        <v>0</v>
      </c>
      <c r="BE99" s="31">
        <v>0</v>
      </c>
      <c r="BF99" s="31">
        <v>0</v>
      </c>
      <c r="BG99" s="31">
        <v>0</v>
      </c>
      <c r="BH99" s="31">
        <v>0</v>
      </c>
      <c r="BI99" s="31">
        <v>0</v>
      </c>
      <c r="BJ99" s="39">
        <f t="shared" si="23"/>
        <v>0</v>
      </c>
      <c r="BK99" s="77">
        <f>BJ99+AM99+AL99+'11-2025'!$N99+AN99+AO99</f>
        <v>2500</v>
      </c>
      <c r="BL99" s="71">
        <f>'11-2025'!$O99</f>
        <v>0</v>
      </c>
      <c r="BM99" s="71">
        <f t="shared" si="12"/>
        <v>0</v>
      </c>
      <c r="BN99" s="71">
        <f t="shared" si="13"/>
        <v>0</v>
      </c>
      <c r="BO99" s="71">
        <f t="shared" si="21"/>
        <v>1666.6666666666667</v>
      </c>
      <c r="BP99" s="72">
        <f t="shared" si="14"/>
        <v>833.33333333333326</v>
      </c>
      <c r="BQ99" s="71">
        <f>IFERROR(BP99/'11-2025'!$J99,0)*12</f>
        <v>10000</v>
      </c>
      <c r="BR99" s="71">
        <f>IF(BQ99&lt;=40000,0,
IF(BQ99&lt;=55000,(BQ99-40000)*10%,
IF(BQ99&lt;=70000,(BQ99-55000)*15%+1500,
IF(BQ99&lt;=200000,(BQ99-70000)*20%+1500+2250,
IF(BQ99&lt;=400000,(BQ99-200000)*22.5%+1500+2250+26000,
IF(BQ99&lt;=600000,(BQ99-400000)*25%+1500+2250+26000+45000,
IF(AND(BQ99&gt;600000,BQ99&lt;=1200000),(BQ99-400000)*25%+1500+2250+26000+45000
+IFERROR(LOOKUP(BQ99,{600001;700001;800001;900001},{4000;6750;10250;15250}),0),IF(BQ99&gt;1200000,((BQ99-1200000)*27.5%)+300000,0)
)))))))</f>
        <v>0</v>
      </c>
      <c r="BS99" s="39">
        <f>(BR99/12*'11-2025'!$J99)</f>
        <v>0</v>
      </c>
      <c r="BT99" s="70">
        <f>BS99-'11-2025'!$V99</f>
        <v>0</v>
      </c>
      <c r="BU99" s="39">
        <f>IFERROR(+'11-2025'!$W99+AL99+AM99+BJ99-'11-2025'!$AJ99-BT99+AN99+AO99,"")-AL99+AP99+AQ99</f>
        <v>0</v>
      </c>
      <c r="BV99" s="73"/>
      <c r="BW99" s="74"/>
      <c r="BX99" s="74">
        <f t="shared" si="22"/>
        <v>0</v>
      </c>
      <c r="BY99" s="74"/>
    </row>
    <row r="100" spans="1:77" x14ac:dyDescent="0.25">
      <c r="A100" s="43">
        <v>648</v>
      </c>
      <c r="B100" s="22" t="s">
        <v>210</v>
      </c>
      <c r="C100" s="22" t="s">
        <v>71</v>
      </c>
      <c r="D100" s="22" t="s">
        <v>77</v>
      </c>
      <c r="E100" s="22" t="s">
        <v>115</v>
      </c>
      <c r="F100" s="22" t="s">
        <v>135</v>
      </c>
      <c r="G100" s="23">
        <v>45789</v>
      </c>
      <c r="H100" s="22"/>
      <c r="I100" s="24">
        <v>30111292400153</v>
      </c>
      <c r="J100" s="25">
        <v>1</v>
      </c>
      <c r="K100" s="25">
        <v>4838.47</v>
      </c>
      <c r="L100" s="25"/>
      <c r="M100" s="26"/>
      <c r="N100" s="25">
        <f>SUM('11-2025'!$K100:$M100)</f>
        <v>4838.47</v>
      </c>
      <c r="O100" s="25">
        <f>+VLOOKUP(A100,'[9]يونيو 2025'!A$2:I$77,9,)</f>
        <v>3077</v>
      </c>
      <c r="P100" s="25">
        <f t="shared" si="15"/>
        <v>576.9375</v>
      </c>
      <c r="Q100" s="25">
        <f t="shared" si="16"/>
        <v>338.47</v>
      </c>
      <c r="R100" s="25">
        <v>1666.6666666666667</v>
      </c>
      <c r="S100" s="27">
        <f t="shared" si="17"/>
        <v>2833.333333333333</v>
      </c>
      <c r="T100" s="25">
        <f t="shared" si="18"/>
        <v>34000</v>
      </c>
      <c r="U100" s="25">
        <f>IF(T100&lt;=40000,0,
IF(T100&lt;=55000,(T100-40000)*10%,
IF(T100&lt;=70000,(T100-55000)*15%+1500,
IF(T100&lt;=200000,(T100-70000)*20%+1500+2250,
IF(T100&lt;=400000,(T100-200000)*22.5%+1500+2250+26000,
IF(T100&lt;=600000,(T100-400000)*25%+1500+2250+26000+45000,
IF(AND(T100&gt;600000,T100&lt;=1200000),(T100-400000)*25%+1500+2250+26000+45000
+IFERROR(LOOKUP(T100,{600001;700001;800001;900001},{4000;6750;10250;15250}),0),IF(T100&gt;1200000,((T100-1200000)*27.5%)+300000,0)
)))))))</f>
        <v>0</v>
      </c>
      <c r="V100" s="25">
        <f t="shared" si="19"/>
        <v>0</v>
      </c>
      <c r="W100" s="28">
        <f>+'11-2025'!$S100-'11-2025'!$V100+'11-2025'!$R100</f>
        <v>4500</v>
      </c>
      <c r="X100" s="28">
        <f t="shared" si="20"/>
        <v>150</v>
      </c>
      <c r="Y100" s="29">
        <v>0</v>
      </c>
      <c r="Z100" s="29">
        <f>IFERROR(+'11-2025'!$X100*'11-2025'!$Y100,"")</f>
        <v>0</v>
      </c>
      <c r="AA100" s="29">
        <v>0</v>
      </c>
      <c r="AB100" s="29">
        <f>IFERROR(+'11-2025'!$X100*'11-2025'!$AA100,"")</f>
        <v>0</v>
      </c>
      <c r="AC100" s="29">
        <v>1.5</v>
      </c>
      <c r="AD100" s="29">
        <f>IFERROR(+'11-2025'!$X100*'11-2025'!$AC100,"")</f>
        <v>225</v>
      </c>
      <c r="AE100" s="29">
        <v>0</v>
      </c>
      <c r="AF100" s="29">
        <f>IFERROR(+'11-2025'!$X100*'11-2025'!$AE100,"")</f>
        <v>0</v>
      </c>
      <c r="AG100" s="29">
        <v>2.75</v>
      </c>
      <c r="AH100" s="29">
        <f>IFERROR(+'11-2025'!$X100*'11-2025'!$AG100,"")</f>
        <v>412.5</v>
      </c>
      <c r="AI100" s="29">
        <v>0</v>
      </c>
      <c r="AJ100" s="29">
        <f>IFERROR('11-2025'!$Z100+'11-2025'!$AB100+'11-2025'!$AD100+'11-2025'!$AF100+'11-2025'!$AH100+'11-2025'!$AI100,"")</f>
        <v>637.5</v>
      </c>
      <c r="AK100" s="30">
        <f>IFERROR('11-2025'!$W100-'11-2025'!$AJ100,"")</f>
        <v>3862.5</v>
      </c>
      <c r="AL100" s="31"/>
      <c r="AM100" s="31"/>
      <c r="AN100" s="31"/>
      <c r="AO100" s="31">
        <v>1600</v>
      </c>
      <c r="AP100" s="31"/>
      <c r="AQ100" s="31"/>
      <c r="AR100" s="31">
        <v>0</v>
      </c>
      <c r="AS100" s="31">
        <v>0</v>
      </c>
      <c r="AT100" s="31">
        <v>0</v>
      </c>
      <c r="AU100" s="31">
        <v>0</v>
      </c>
      <c r="AV100" s="31">
        <v>0</v>
      </c>
      <c r="AW100" s="31">
        <v>0</v>
      </c>
      <c r="AX100" s="31">
        <v>0</v>
      </c>
      <c r="AY100" s="31">
        <v>0</v>
      </c>
      <c r="AZ100" s="31">
        <v>0</v>
      </c>
      <c r="BA100" s="31">
        <v>0</v>
      </c>
      <c r="BB100" s="31">
        <v>0</v>
      </c>
      <c r="BC100" s="31">
        <v>0</v>
      </c>
      <c r="BD100" s="31">
        <v>0</v>
      </c>
      <c r="BE100" s="31">
        <v>0</v>
      </c>
      <c r="BF100" s="31">
        <v>0</v>
      </c>
      <c r="BG100" s="31">
        <v>0</v>
      </c>
      <c r="BH100" s="31">
        <v>0</v>
      </c>
      <c r="BI100" s="31">
        <v>0</v>
      </c>
      <c r="BJ100" s="32">
        <f t="shared" si="23"/>
        <v>0</v>
      </c>
      <c r="BK100" s="41">
        <f>BJ100+AM100+AL100+'11-2025'!$N100+AN100+AO100</f>
        <v>6438.47</v>
      </c>
      <c r="BL100" s="34">
        <f>'11-2025'!$O100</f>
        <v>3077</v>
      </c>
      <c r="BM100" s="34">
        <f t="shared" si="12"/>
        <v>576.9375</v>
      </c>
      <c r="BN100" s="34">
        <f t="shared" si="13"/>
        <v>338.47</v>
      </c>
      <c r="BO100" s="34">
        <f t="shared" si="21"/>
        <v>1666.6666666666667</v>
      </c>
      <c r="BP100" s="35">
        <f t="shared" si="14"/>
        <v>4433.333333333333</v>
      </c>
      <c r="BQ100" s="34">
        <f>IFERROR(BP100/'11-2025'!$J100,0)*12</f>
        <v>53200</v>
      </c>
      <c r="BR100" s="34">
        <f>IF(BQ100&lt;=40000,0,
IF(BQ100&lt;=55000,(BQ100-40000)*10%,
IF(BQ100&lt;=70000,(BQ100-55000)*15%+1500,
IF(BQ100&lt;=200000,(BQ100-70000)*20%+1500+2250,
IF(BQ100&lt;=400000,(BQ100-200000)*22.5%+1500+2250+26000,
IF(BQ100&lt;=600000,(BQ100-400000)*25%+1500+2250+26000+45000,
IF(AND(BQ100&gt;600000,BQ100&lt;=1200000),(BQ100-400000)*25%+1500+2250+26000+45000
+IFERROR(LOOKUP(BQ100,{600001;700001;800001;900001},{4000;6750;10250;15250}),0),IF(BQ100&gt;1200000,((BQ100-1200000)*27.5%)+300000,0)
)))))))</f>
        <v>1320</v>
      </c>
      <c r="BS100" s="32">
        <f>(BR100/12*'11-2025'!$J100)</f>
        <v>110</v>
      </c>
      <c r="BT100" s="33">
        <v>0</v>
      </c>
      <c r="BU100" s="32">
        <f>IFERROR(+'11-2025'!$W100+AL100+AM100+BJ100-'11-2025'!$AJ100-BT100+AN100+AO100,"")-AL100+AP100+AQ100</f>
        <v>5462.5</v>
      </c>
      <c r="BV100" s="36" t="s">
        <v>431</v>
      </c>
      <c r="BW100" s="37"/>
      <c r="BX100" s="37">
        <f t="shared" si="22"/>
        <v>5462.5</v>
      </c>
      <c r="BY100" s="37"/>
    </row>
    <row r="101" spans="1:77" x14ac:dyDescent="0.25">
      <c r="A101" s="43">
        <v>655</v>
      </c>
      <c r="B101" s="22" t="s">
        <v>211</v>
      </c>
      <c r="C101" s="22" t="s">
        <v>71</v>
      </c>
      <c r="D101" s="22" t="s">
        <v>77</v>
      </c>
      <c r="E101" s="22" t="s">
        <v>78</v>
      </c>
      <c r="F101" s="22" t="s">
        <v>160</v>
      </c>
      <c r="G101" s="23">
        <v>45794</v>
      </c>
      <c r="H101" s="23"/>
      <c r="I101" s="24">
        <v>29201010113738</v>
      </c>
      <c r="J101" s="25">
        <v>1</v>
      </c>
      <c r="K101" s="25">
        <v>3800</v>
      </c>
      <c r="L101" s="25"/>
      <c r="M101" s="26"/>
      <c r="N101" s="25">
        <f>SUM('11-2025'!$K101:$M101)</f>
        <v>3800</v>
      </c>
      <c r="O101" s="25"/>
      <c r="P101" s="25">
        <f t="shared" si="15"/>
        <v>0</v>
      </c>
      <c r="Q101" s="25">
        <f t="shared" si="16"/>
        <v>0</v>
      </c>
      <c r="R101" s="25">
        <v>1666.6666666666667</v>
      </c>
      <c r="S101" s="27">
        <f t="shared" si="17"/>
        <v>2133.333333333333</v>
      </c>
      <c r="T101" s="25">
        <f t="shared" si="18"/>
        <v>25599.999999999996</v>
      </c>
      <c r="U101" s="25">
        <f>IF(T101&lt;=40000,0,
IF(T101&lt;=55000,(T101-40000)*10%,
IF(T101&lt;=70000,(T101-55000)*15%+1500,
IF(T101&lt;=200000,(T101-70000)*20%+1500+2250,
IF(T101&lt;=400000,(T101-200000)*22.5%+1500+2250+26000,
IF(T101&lt;=600000,(T101-400000)*25%+1500+2250+26000+45000,
IF(AND(T101&gt;600000,T101&lt;=1200000),(T101-400000)*25%+1500+2250+26000+45000
+IFERROR(LOOKUP(T101,{600001;700001;800001;900001},{4000;6750;10250;15250}),0),IF(T101&gt;1200000,((T101-1200000)*27.5%)+300000,0)
)))))))</f>
        <v>0</v>
      </c>
      <c r="V101" s="25">
        <f t="shared" si="19"/>
        <v>0</v>
      </c>
      <c r="W101" s="28">
        <f>+'11-2025'!$S101-'11-2025'!$V101+'11-2025'!$R101</f>
        <v>3800</v>
      </c>
      <c r="X101" s="28">
        <f t="shared" si="20"/>
        <v>126.66666666666667</v>
      </c>
      <c r="Y101" s="29">
        <v>3</v>
      </c>
      <c r="Z101" s="29">
        <f>IFERROR(+'11-2025'!$X101*'11-2025'!$Y101,"")</f>
        <v>380</v>
      </c>
      <c r="AA101" s="29">
        <v>0</v>
      </c>
      <c r="AB101" s="29">
        <f>IFERROR(+'11-2025'!$X101*'11-2025'!$AA101,"")</f>
        <v>0</v>
      </c>
      <c r="AC101" s="29">
        <v>2.25</v>
      </c>
      <c r="AD101" s="29">
        <f>IFERROR(+'11-2025'!$X101*'11-2025'!$AC101,"")</f>
        <v>285</v>
      </c>
      <c r="AE101" s="29">
        <v>0.5</v>
      </c>
      <c r="AF101" s="29">
        <f>IFERROR(+'11-2025'!$X101*'11-2025'!$AE101,"")</f>
        <v>63.333333333333336</v>
      </c>
      <c r="AG101" s="29">
        <v>0.75</v>
      </c>
      <c r="AH101" s="29">
        <f>IFERROR(+'11-2025'!$X101*'11-2025'!$AG101,"")</f>
        <v>95</v>
      </c>
      <c r="AI101" s="29">
        <v>1000</v>
      </c>
      <c r="AJ101" s="29">
        <f>IFERROR('11-2025'!$Z101+'11-2025'!$AB101+'11-2025'!$AD101+'11-2025'!$AF101+'11-2025'!$AH101+'11-2025'!$AI101,"")</f>
        <v>1823.3333333333335</v>
      </c>
      <c r="AK101" s="30">
        <f>IFERROR('11-2025'!$W101-'11-2025'!$AJ101,"")</f>
        <v>1976.6666666666665</v>
      </c>
      <c r="AL101" s="31"/>
      <c r="AM101" s="31"/>
      <c r="AN101" s="31"/>
      <c r="AO101" s="31">
        <v>40</v>
      </c>
      <c r="AP101" s="31">
        <v>-225</v>
      </c>
      <c r="AQ101" s="31"/>
      <c r="AR101" s="31">
        <v>0</v>
      </c>
      <c r="AS101" s="31">
        <v>0</v>
      </c>
      <c r="AT101" s="31">
        <v>0</v>
      </c>
      <c r="AU101" s="31">
        <v>0</v>
      </c>
      <c r="AV101" s="31">
        <v>0</v>
      </c>
      <c r="AW101" s="31">
        <v>0</v>
      </c>
      <c r="AX101" s="31">
        <v>275</v>
      </c>
      <c r="AY101" s="31">
        <v>0</v>
      </c>
      <c r="AZ101" s="31">
        <v>0</v>
      </c>
      <c r="BA101" s="31">
        <v>0</v>
      </c>
      <c r="BB101" s="31">
        <v>0</v>
      </c>
      <c r="BC101" s="31">
        <v>0</v>
      </c>
      <c r="BD101" s="31">
        <v>0</v>
      </c>
      <c r="BE101" s="31">
        <v>0</v>
      </c>
      <c r="BF101" s="31">
        <v>0</v>
      </c>
      <c r="BG101" s="31">
        <v>0</v>
      </c>
      <c r="BH101" s="31">
        <v>0</v>
      </c>
      <c r="BI101" s="31">
        <v>10</v>
      </c>
      <c r="BJ101" s="32">
        <f t="shared" si="23"/>
        <v>285</v>
      </c>
      <c r="BK101" s="41">
        <f>BJ101+AM101+AL101+'11-2025'!$N101+AN101+AO101</f>
        <v>4125</v>
      </c>
      <c r="BL101" s="34">
        <f>'11-2025'!$O101</f>
        <v>0</v>
      </c>
      <c r="BM101" s="34">
        <f t="shared" si="12"/>
        <v>0</v>
      </c>
      <c r="BN101" s="34">
        <f t="shared" si="13"/>
        <v>0</v>
      </c>
      <c r="BO101" s="34">
        <f t="shared" si="21"/>
        <v>1666.6666666666667</v>
      </c>
      <c r="BP101" s="35">
        <f t="shared" si="14"/>
        <v>2458.333333333333</v>
      </c>
      <c r="BQ101" s="34">
        <f>IFERROR(BP101/'11-2025'!$J101,0)*12</f>
        <v>29499.999999999996</v>
      </c>
      <c r="BR101" s="34">
        <f>IF(BQ101&lt;=40000,0,
IF(BQ101&lt;=55000,(BQ101-40000)*10%,
IF(BQ101&lt;=70000,(BQ101-55000)*15%+1500,
IF(BQ101&lt;=200000,(BQ101-70000)*20%+1500+2250,
IF(BQ101&lt;=400000,(BQ101-200000)*22.5%+1500+2250+26000,
IF(BQ101&lt;=600000,(BQ101-400000)*25%+1500+2250+26000+45000,
IF(AND(BQ101&gt;600000,BQ101&lt;=1200000),(BQ101-400000)*25%+1500+2250+26000+45000
+IFERROR(LOOKUP(BQ101,{600001;700001;800001;900001},{4000;6750;10250;15250}),0),IF(BQ101&gt;1200000,((BQ101-1200000)*27.5%)+300000,0)
)))))))</f>
        <v>0</v>
      </c>
      <c r="BS101" s="32">
        <f>(BR101/12*'11-2025'!$J101)</f>
        <v>0</v>
      </c>
      <c r="BT101" s="33">
        <f>BS101-'11-2025'!$V101</f>
        <v>0</v>
      </c>
      <c r="BU101" s="32">
        <f>IFERROR(+'11-2025'!$W101+AL101+AM101+BJ101-'11-2025'!$AJ101-BT101+AN101+AO101,"")-AL101+AP101+AQ101</f>
        <v>2076.6666666666665</v>
      </c>
      <c r="BV101" s="36" t="s">
        <v>351</v>
      </c>
      <c r="BW101" s="37"/>
      <c r="BX101" s="37">
        <f t="shared" si="22"/>
        <v>2076.6666666666665</v>
      </c>
      <c r="BY101" s="37"/>
    </row>
    <row r="102" spans="1:77" x14ac:dyDescent="0.25">
      <c r="A102" s="43">
        <v>657</v>
      </c>
      <c r="B102" s="22" t="s">
        <v>212</v>
      </c>
      <c r="C102" s="22" t="s">
        <v>71</v>
      </c>
      <c r="D102" s="22" t="s">
        <v>72</v>
      </c>
      <c r="E102" s="22" t="s">
        <v>110</v>
      </c>
      <c r="F102" s="22" t="s">
        <v>180</v>
      </c>
      <c r="G102" s="23">
        <v>45895</v>
      </c>
      <c r="H102" s="22"/>
      <c r="I102" s="24">
        <v>28205020104356</v>
      </c>
      <c r="J102" s="25">
        <v>1</v>
      </c>
      <c r="K102" s="25">
        <v>5000</v>
      </c>
      <c r="L102" s="25"/>
      <c r="M102" s="26"/>
      <c r="N102" s="25">
        <f>SUM('11-2025'!$K102:$M102)</f>
        <v>5000</v>
      </c>
      <c r="O102" s="25">
        <f>+VLOOKUP(A102,'[9]يونيو 2025'!A$2:I$77,9,)</f>
        <v>5000</v>
      </c>
      <c r="P102" s="25">
        <f t="shared" si="15"/>
        <v>937.5</v>
      </c>
      <c r="Q102" s="25">
        <f t="shared" si="16"/>
        <v>550</v>
      </c>
      <c r="R102" s="25">
        <v>1666.6666666666667</v>
      </c>
      <c r="S102" s="27">
        <f t="shared" si="17"/>
        <v>2783.333333333333</v>
      </c>
      <c r="T102" s="25">
        <f t="shared" si="18"/>
        <v>33400</v>
      </c>
      <c r="U102" s="25">
        <f>IF(T102&lt;=40000,0,
IF(T102&lt;=55000,(T102-40000)*10%,
IF(T102&lt;=70000,(T102-55000)*15%+1500,
IF(T102&lt;=200000,(T102-70000)*20%+1500+2250,
IF(T102&lt;=400000,(T102-200000)*22.5%+1500+2250+26000,
IF(T102&lt;=600000,(T102-400000)*25%+1500+2250+26000+45000,
IF(AND(T102&gt;600000,T102&lt;=1200000),(T102-400000)*25%+1500+2250+26000+45000
+IFERROR(LOOKUP(T102,{600001;700001;800001;900001},{4000;6750;10250;15250}),0),IF(T102&gt;1200000,((T102-1200000)*27.5%)+300000,0)
)))))))</f>
        <v>0</v>
      </c>
      <c r="V102" s="25">
        <f t="shared" si="19"/>
        <v>0</v>
      </c>
      <c r="W102" s="28">
        <f>+'11-2025'!$S102-'11-2025'!$V102+'11-2025'!$R102</f>
        <v>4450</v>
      </c>
      <c r="X102" s="28">
        <f t="shared" si="20"/>
        <v>148.33333333333334</v>
      </c>
      <c r="Y102" s="29">
        <v>0</v>
      </c>
      <c r="Z102" s="29">
        <f>IFERROR(+'11-2025'!$X102*'11-2025'!$Y102,"")</f>
        <v>0</v>
      </c>
      <c r="AA102" s="29">
        <v>2</v>
      </c>
      <c r="AB102" s="29">
        <f>IFERROR(+'11-2025'!$X102*'11-2025'!$AA102,"")</f>
        <v>296.66666666666669</v>
      </c>
      <c r="AC102" s="29">
        <v>3</v>
      </c>
      <c r="AD102" s="29">
        <f>IFERROR(+'11-2025'!$X102*'11-2025'!$AC102,"")</f>
        <v>445</v>
      </c>
      <c r="AE102" s="29">
        <v>0</v>
      </c>
      <c r="AF102" s="29">
        <f>IFERROR(+'11-2025'!$X102*'11-2025'!$AE102,"")</f>
        <v>0</v>
      </c>
      <c r="AG102" s="29">
        <v>0</v>
      </c>
      <c r="AH102" s="29">
        <f>IFERROR(+'11-2025'!$X102*'11-2025'!$AG102,"")</f>
        <v>0</v>
      </c>
      <c r="AI102" s="29">
        <v>1000</v>
      </c>
      <c r="AJ102" s="29">
        <f>IFERROR('11-2025'!$Z102+'11-2025'!$AB102+'11-2025'!$AD102+'11-2025'!$AF102+'11-2025'!$AH102+'11-2025'!$AI102,"")</f>
        <v>1741.6666666666667</v>
      </c>
      <c r="AK102" s="30">
        <f>IFERROR('11-2025'!$W102-'11-2025'!$AJ102,"")</f>
        <v>2708.333333333333</v>
      </c>
      <c r="AL102" s="31"/>
      <c r="AM102" s="31"/>
      <c r="AN102" s="31"/>
      <c r="AO102" s="31">
        <v>20</v>
      </c>
      <c r="AP102" s="31"/>
      <c r="AQ102" s="31"/>
      <c r="AR102" s="31">
        <v>0</v>
      </c>
      <c r="AS102" s="31">
        <v>0</v>
      </c>
      <c r="AT102" s="31">
        <v>0</v>
      </c>
      <c r="AU102" s="31">
        <v>0</v>
      </c>
      <c r="AV102" s="31">
        <v>0</v>
      </c>
      <c r="AW102" s="31">
        <v>0</v>
      </c>
      <c r="AX102" s="31">
        <v>0</v>
      </c>
      <c r="AY102" s="31">
        <v>0</v>
      </c>
      <c r="AZ102" s="31">
        <v>0</v>
      </c>
      <c r="BA102" s="31">
        <v>0</v>
      </c>
      <c r="BB102" s="31">
        <v>0</v>
      </c>
      <c r="BC102" s="31">
        <v>0</v>
      </c>
      <c r="BD102" s="31">
        <v>0</v>
      </c>
      <c r="BE102" s="31">
        <v>2520.7199999999998</v>
      </c>
      <c r="BF102" s="31">
        <v>0</v>
      </c>
      <c r="BG102" s="31">
        <v>0</v>
      </c>
      <c r="BH102" s="31">
        <v>0</v>
      </c>
      <c r="BI102" s="31">
        <v>0</v>
      </c>
      <c r="BJ102" s="32">
        <f t="shared" si="23"/>
        <v>2520.7199999999998</v>
      </c>
      <c r="BK102" s="41">
        <f>BJ102+AM102+AL102+'11-2025'!$N102+AN102+AO102</f>
        <v>7540.7199999999993</v>
      </c>
      <c r="BL102" s="34">
        <f>'11-2025'!$O102</f>
        <v>5000</v>
      </c>
      <c r="BM102" s="34">
        <f t="shared" si="12"/>
        <v>937.5</v>
      </c>
      <c r="BN102" s="34">
        <f t="shared" si="13"/>
        <v>550</v>
      </c>
      <c r="BO102" s="34">
        <f t="shared" si="21"/>
        <v>1666.6666666666667</v>
      </c>
      <c r="BP102" s="35">
        <f t="shared" si="14"/>
        <v>5324.0533333333324</v>
      </c>
      <c r="BQ102" s="34">
        <f>IFERROR(BP102/'11-2025'!$J102,0)*12</f>
        <v>63888.639999999985</v>
      </c>
      <c r="BR102" s="34">
        <f>IF(BQ102&lt;=40000,0,
IF(BQ102&lt;=55000,(BQ102-40000)*10%,
IF(BQ102&lt;=70000,(BQ102-55000)*15%+1500,
IF(BQ102&lt;=200000,(BQ102-70000)*20%+1500+2250,
IF(BQ102&lt;=400000,(BQ102-200000)*22.5%+1500+2250+26000,
IF(BQ102&lt;=600000,(BQ102-400000)*25%+1500+2250+26000+45000,
IF(AND(BQ102&gt;600000,BQ102&lt;=1200000),(BQ102-400000)*25%+1500+2250+26000+45000
+IFERROR(LOOKUP(BQ102,{600001;700001;800001;900001},{4000;6750;10250;15250}),0),IF(BQ102&gt;1200000,((BQ102-1200000)*27.5%)+300000,0)
)))))))</f>
        <v>2833.2959999999975</v>
      </c>
      <c r="BS102" s="32">
        <f>(BR102/12*'11-2025'!$J102)</f>
        <v>236.10799999999981</v>
      </c>
      <c r="BT102" s="33">
        <f>BS102-'11-2025'!$V102</f>
        <v>236.10799999999981</v>
      </c>
      <c r="BU102" s="32">
        <f>IFERROR(+'11-2025'!$W102+AL102+AM102+BJ102-'11-2025'!$AJ102-BT102+AN102+AO102,"")-AL102+AP102+AQ102</f>
        <v>5012.9453333333322</v>
      </c>
      <c r="BV102" s="36"/>
      <c r="BW102" s="37"/>
      <c r="BX102" s="37">
        <f t="shared" si="22"/>
        <v>5012.9453333333322</v>
      </c>
      <c r="BY102" s="37"/>
    </row>
    <row r="103" spans="1:77" x14ac:dyDescent="0.25">
      <c r="A103" s="43">
        <v>659</v>
      </c>
      <c r="B103" s="22" t="s">
        <v>213</v>
      </c>
      <c r="C103" s="22" t="s">
        <v>106</v>
      </c>
      <c r="D103" s="22" t="s">
        <v>77</v>
      </c>
      <c r="E103" s="22" t="s">
        <v>132</v>
      </c>
      <c r="F103" s="22" t="s">
        <v>133</v>
      </c>
      <c r="G103" s="23">
        <v>45804</v>
      </c>
      <c r="H103" s="22"/>
      <c r="I103" s="24">
        <v>27902101100044</v>
      </c>
      <c r="J103" s="25">
        <v>1</v>
      </c>
      <c r="K103" s="25">
        <v>4000</v>
      </c>
      <c r="L103" s="25"/>
      <c r="M103" s="26"/>
      <c r="N103" s="25">
        <f>SUM('11-2025'!$K103:$M103)</f>
        <v>4000</v>
      </c>
      <c r="O103" s="25"/>
      <c r="P103" s="25">
        <f t="shared" si="15"/>
        <v>0</v>
      </c>
      <c r="Q103" s="25">
        <f t="shared" si="16"/>
        <v>0</v>
      </c>
      <c r="R103" s="25">
        <v>1666.6666666666667</v>
      </c>
      <c r="S103" s="27">
        <f t="shared" si="17"/>
        <v>2333.333333333333</v>
      </c>
      <c r="T103" s="25">
        <f t="shared" si="18"/>
        <v>27999.999999999996</v>
      </c>
      <c r="U103" s="25">
        <f>IF(T103&lt;=40000,0,
IF(T103&lt;=55000,(T103-40000)*10%,
IF(T103&lt;=70000,(T103-55000)*15%+1500,
IF(T103&lt;=200000,(T103-70000)*20%+1500+2250,
IF(T103&lt;=400000,(T103-200000)*22.5%+1500+2250+26000,
IF(T103&lt;=600000,(T103-400000)*25%+1500+2250+26000+45000,
IF(AND(T103&gt;600000,T103&lt;=1200000),(T103-400000)*25%+1500+2250+26000+45000
+IFERROR(LOOKUP(T103,{600001;700001;800001;900001},{4000;6750;10250;15250}),0),IF(T103&gt;1200000,((T103-1200000)*27.5%)+300000,0)
)))))))</f>
        <v>0</v>
      </c>
      <c r="V103" s="25">
        <f t="shared" si="19"/>
        <v>0</v>
      </c>
      <c r="W103" s="28">
        <f>+'11-2025'!$S103-'11-2025'!$V103+'11-2025'!$R103</f>
        <v>4000</v>
      </c>
      <c r="X103" s="28">
        <f t="shared" si="20"/>
        <v>133.33333333333334</v>
      </c>
      <c r="Y103" s="29">
        <v>0</v>
      </c>
      <c r="Z103" s="29">
        <f>IFERROR(+'11-2025'!$X103*'11-2025'!$Y103,"")</f>
        <v>0</v>
      </c>
      <c r="AA103" s="29">
        <v>0</v>
      </c>
      <c r="AB103" s="29">
        <f>IFERROR(+'11-2025'!$X103*'11-2025'!$AA103,"")</f>
        <v>0</v>
      </c>
      <c r="AC103" s="29">
        <v>0</v>
      </c>
      <c r="AD103" s="29">
        <f>IFERROR(+'11-2025'!$X103*'11-2025'!$AC103,"")</f>
        <v>0</v>
      </c>
      <c r="AE103" s="29">
        <v>0</v>
      </c>
      <c r="AF103" s="29">
        <f>IFERROR(+'11-2025'!$X103*'11-2025'!$AE103,"")</f>
        <v>0</v>
      </c>
      <c r="AG103" s="29">
        <v>0</v>
      </c>
      <c r="AH103" s="29">
        <f>IFERROR(+'11-2025'!$X103*'11-2025'!$AG103,"")</f>
        <v>0</v>
      </c>
      <c r="AI103" s="29">
        <v>0</v>
      </c>
      <c r="AJ103" s="29">
        <f>IFERROR('11-2025'!$Z103+'11-2025'!$AB103+'11-2025'!$AD103+'11-2025'!$AF103+'11-2025'!$AH103+'11-2025'!$AI103,"")</f>
        <v>0</v>
      </c>
      <c r="AK103" s="30">
        <f>IFERROR('11-2025'!$W103-'11-2025'!$AJ103,"")</f>
        <v>4000</v>
      </c>
      <c r="AL103" s="31"/>
      <c r="AM103" s="31"/>
      <c r="AN103" s="31"/>
      <c r="AO103" s="31">
        <v>0</v>
      </c>
      <c r="AP103" s="31"/>
      <c r="AQ103" s="31"/>
      <c r="AR103" s="31">
        <v>0</v>
      </c>
      <c r="AS103" s="31">
        <v>0</v>
      </c>
      <c r="AT103" s="31">
        <v>0</v>
      </c>
      <c r="AU103" s="31">
        <v>0</v>
      </c>
      <c r="AV103" s="31">
        <v>0</v>
      </c>
      <c r="AW103" s="31">
        <v>0</v>
      </c>
      <c r="AX103" s="31">
        <v>0</v>
      </c>
      <c r="AY103" s="31">
        <v>0</v>
      </c>
      <c r="AZ103" s="31">
        <v>0</v>
      </c>
      <c r="BA103" s="31">
        <v>0</v>
      </c>
      <c r="BB103" s="31">
        <v>0</v>
      </c>
      <c r="BC103" s="31">
        <v>0</v>
      </c>
      <c r="BD103" s="31">
        <v>0</v>
      </c>
      <c r="BE103" s="31">
        <v>0</v>
      </c>
      <c r="BF103" s="31">
        <v>0</v>
      </c>
      <c r="BG103" s="31">
        <v>0</v>
      </c>
      <c r="BH103" s="31">
        <v>0</v>
      </c>
      <c r="BI103" s="31">
        <v>0</v>
      </c>
      <c r="BJ103" s="32">
        <f t="shared" si="23"/>
        <v>0</v>
      </c>
      <c r="BK103" s="41">
        <f>BJ103+AM103+AL103+'11-2025'!$N103+AN103+AO103</f>
        <v>4000</v>
      </c>
      <c r="BL103" s="34">
        <f>'11-2025'!$O103</f>
        <v>0</v>
      </c>
      <c r="BM103" s="34">
        <f t="shared" si="12"/>
        <v>0</v>
      </c>
      <c r="BN103" s="34">
        <f t="shared" si="13"/>
        <v>0</v>
      </c>
      <c r="BO103" s="34">
        <f t="shared" si="21"/>
        <v>1666.6666666666667</v>
      </c>
      <c r="BP103" s="35">
        <f t="shared" si="14"/>
        <v>2333.333333333333</v>
      </c>
      <c r="BQ103" s="34">
        <f>IFERROR(BP103/'11-2025'!$J103,0)*12</f>
        <v>27999.999999999996</v>
      </c>
      <c r="BR103" s="34">
        <f>IF(BQ103&lt;=40000,0,
IF(BQ103&lt;=55000,(BQ103-40000)*10%,
IF(BQ103&lt;=70000,(BQ103-55000)*15%+1500,
IF(BQ103&lt;=200000,(BQ103-70000)*20%+1500+2250,
IF(BQ103&lt;=400000,(BQ103-200000)*22.5%+1500+2250+26000,
IF(BQ103&lt;=600000,(BQ103-400000)*25%+1500+2250+26000+45000,
IF(AND(BQ103&gt;600000,BQ103&lt;=1200000),(BQ103-400000)*25%+1500+2250+26000+45000
+IFERROR(LOOKUP(BQ103,{600001;700001;800001;900001},{4000;6750;10250;15250}),0),IF(BQ103&gt;1200000,((BQ103-1200000)*27.5%)+300000,0)
)))))))</f>
        <v>0</v>
      </c>
      <c r="BS103" s="32">
        <f>(BR103/12*'11-2025'!$J103)</f>
        <v>0</v>
      </c>
      <c r="BT103" s="33">
        <f>BS103-'11-2025'!$V103</f>
        <v>0</v>
      </c>
      <c r="BU103" s="32">
        <f>IFERROR(+'11-2025'!$W103+AL103+AM103+BJ103-'11-2025'!$AJ103-BT103+AN103+AO103,"")-AL103+AP103+AQ103</f>
        <v>4000</v>
      </c>
      <c r="BV103" s="36"/>
      <c r="BW103" s="37"/>
      <c r="BX103" s="37">
        <f t="shared" si="22"/>
        <v>4000</v>
      </c>
      <c r="BY103" s="37"/>
    </row>
    <row r="104" spans="1:77" s="75" customFormat="1" x14ac:dyDescent="0.25">
      <c r="A104" s="44">
        <v>660</v>
      </c>
      <c r="B104" s="40" t="s">
        <v>214</v>
      </c>
      <c r="C104" s="40" t="s">
        <v>106</v>
      </c>
      <c r="D104" s="40" t="s">
        <v>72</v>
      </c>
      <c r="E104" s="40" t="s">
        <v>110</v>
      </c>
      <c r="F104" s="40" t="s">
        <v>139</v>
      </c>
      <c r="G104" s="61">
        <v>45804</v>
      </c>
      <c r="H104" s="61">
        <v>45896</v>
      </c>
      <c r="I104" s="62">
        <v>29510011202613</v>
      </c>
      <c r="J104" s="63">
        <v>1</v>
      </c>
      <c r="K104" s="63">
        <v>2500</v>
      </c>
      <c r="L104" s="63"/>
      <c r="M104" s="64"/>
      <c r="N104" s="63">
        <f>SUM('11-2025'!$K104:$M104)</f>
        <v>2500</v>
      </c>
      <c r="O104" s="63"/>
      <c r="P104" s="63">
        <f t="shared" si="15"/>
        <v>0</v>
      </c>
      <c r="Q104" s="63">
        <f t="shared" si="16"/>
        <v>0</v>
      </c>
      <c r="R104" s="63">
        <v>1666.6666666666667</v>
      </c>
      <c r="S104" s="65">
        <f t="shared" si="17"/>
        <v>833.33333333333326</v>
      </c>
      <c r="T104" s="63">
        <f t="shared" si="18"/>
        <v>10000</v>
      </c>
      <c r="U104" s="63">
        <f>IF(T104&lt;=40000,0,
IF(T104&lt;=55000,(T104-40000)*10%,
IF(T104&lt;=70000,(T104-55000)*15%+1500,
IF(T104&lt;=200000,(T104-70000)*20%+1500+2250,
IF(T104&lt;=400000,(T104-200000)*22.5%+1500+2250+26000,
IF(T104&lt;=600000,(T104-400000)*25%+1500+2250+26000+45000,
IF(AND(T104&gt;600000,T104&lt;=1200000),(T104-400000)*25%+1500+2250+26000+45000
+IFERROR(LOOKUP(T104,{600001;700001;800001;900001},{4000;6750;10250;15250}),0),IF(T104&gt;1200000,((T104-1200000)*27.5%)+300000,0)
)))))))</f>
        <v>0</v>
      </c>
      <c r="V104" s="63">
        <f t="shared" si="19"/>
        <v>0</v>
      </c>
      <c r="W104" s="66">
        <f>+'11-2025'!$S104-'11-2025'!$V104+'11-2025'!$R104</f>
        <v>2500</v>
      </c>
      <c r="X104" s="66">
        <f t="shared" si="20"/>
        <v>83.333333333333329</v>
      </c>
      <c r="Y104" s="67"/>
      <c r="Z104" s="67">
        <f>IFERROR(+'11-2025'!$X104*'11-2025'!$Y104,"")</f>
        <v>0</v>
      </c>
      <c r="AA104" s="67"/>
      <c r="AB104" s="67">
        <f>IFERROR(+'11-2025'!$X104*'11-2025'!$AA104,"")</f>
        <v>0</v>
      </c>
      <c r="AC104" s="67">
        <v>30</v>
      </c>
      <c r="AD104" s="67">
        <f>IFERROR(+'11-2025'!$X104*'11-2025'!$AC104,"")</f>
        <v>2500</v>
      </c>
      <c r="AE104" s="67"/>
      <c r="AF104" s="67">
        <f>IFERROR(+'11-2025'!$X104*'11-2025'!$AE104,"")</f>
        <v>0</v>
      </c>
      <c r="AG104" s="67"/>
      <c r="AH104" s="67">
        <f>IFERROR(+'11-2025'!$X104*'11-2025'!$AG104,"")</f>
        <v>0</v>
      </c>
      <c r="AI104" s="29">
        <v>0</v>
      </c>
      <c r="AJ104" s="67">
        <f>IFERROR('11-2025'!$Z104+'11-2025'!$AB104+'11-2025'!$AD104+'11-2025'!$AF104+'11-2025'!$AH104+'11-2025'!$AI104,"")</f>
        <v>2500</v>
      </c>
      <c r="AK104" s="68">
        <f>IFERROR('11-2025'!$W104-'11-2025'!$AJ104,"")</f>
        <v>0</v>
      </c>
      <c r="AL104" s="69"/>
      <c r="AM104" s="69"/>
      <c r="AN104" s="69"/>
      <c r="AO104" s="69"/>
      <c r="AP104" s="69"/>
      <c r="AQ104" s="69"/>
      <c r="AR104" s="31">
        <v>0</v>
      </c>
      <c r="AS104" s="31">
        <v>0</v>
      </c>
      <c r="AT104" s="31">
        <v>0</v>
      </c>
      <c r="AU104" s="31">
        <v>0</v>
      </c>
      <c r="AV104" s="31">
        <v>0</v>
      </c>
      <c r="AW104" s="31">
        <v>0</v>
      </c>
      <c r="AX104" s="31">
        <v>0</v>
      </c>
      <c r="AY104" s="31">
        <v>0</v>
      </c>
      <c r="AZ104" s="31">
        <v>0</v>
      </c>
      <c r="BA104" s="31">
        <v>0</v>
      </c>
      <c r="BB104" s="31">
        <v>0</v>
      </c>
      <c r="BC104" s="31">
        <v>0</v>
      </c>
      <c r="BD104" s="31">
        <v>0</v>
      </c>
      <c r="BE104" s="31">
        <v>0</v>
      </c>
      <c r="BF104" s="31">
        <v>0</v>
      </c>
      <c r="BG104" s="31">
        <v>0</v>
      </c>
      <c r="BH104" s="31">
        <v>0</v>
      </c>
      <c r="BI104" s="31">
        <v>0</v>
      </c>
      <c r="BJ104" s="39">
        <f t="shared" si="23"/>
        <v>0</v>
      </c>
      <c r="BK104" s="77">
        <f>BJ104+AM104+AL104+'11-2025'!$N104+AN104+AO104</f>
        <v>2500</v>
      </c>
      <c r="BL104" s="71">
        <f>'11-2025'!$O104</f>
        <v>0</v>
      </c>
      <c r="BM104" s="71">
        <f t="shared" si="12"/>
        <v>0</v>
      </c>
      <c r="BN104" s="71">
        <f t="shared" si="13"/>
        <v>0</v>
      </c>
      <c r="BO104" s="71">
        <f t="shared" si="21"/>
        <v>1666.6666666666667</v>
      </c>
      <c r="BP104" s="72">
        <f t="shared" si="14"/>
        <v>833.33333333333326</v>
      </c>
      <c r="BQ104" s="71">
        <f>IFERROR(BP104/'11-2025'!$J104,0)*12</f>
        <v>10000</v>
      </c>
      <c r="BR104" s="71">
        <f>IF(BQ104&lt;=40000,0,
IF(BQ104&lt;=55000,(BQ104-40000)*10%,
IF(BQ104&lt;=70000,(BQ104-55000)*15%+1500,
IF(BQ104&lt;=200000,(BQ104-70000)*20%+1500+2250,
IF(BQ104&lt;=400000,(BQ104-200000)*22.5%+1500+2250+26000,
IF(BQ104&lt;=600000,(BQ104-400000)*25%+1500+2250+26000+45000,
IF(AND(BQ104&gt;600000,BQ104&lt;=1200000),(BQ104-400000)*25%+1500+2250+26000+45000
+IFERROR(LOOKUP(BQ104,{600001;700001;800001;900001},{4000;6750;10250;15250}),0),IF(BQ104&gt;1200000,((BQ104-1200000)*27.5%)+300000,0)
)))))))</f>
        <v>0</v>
      </c>
      <c r="BS104" s="39">
        <f>(BR104/12*'11-2025'!$J104)</f>
        <v>0</v>
      </c>
      <c r="BT104" s="70">
        <f>BS104-'11-2025'!$V104</f>
        <v>0</v>
      </c>
      <c r="BU104" s="39">
        <f>IFERROR(+'11-2025'!$W104+AL104+AM104+BJ104-'11-2025'!$AJ104-BT104+AN104+AO104,"")-AL104+AP104+AQ104</f>
        <v>0</v>
      </c>
      <c r="BV104" s="73"/>
      <c r="BW104" s="74"/>
      <c r="BX104" s="74">
        <f t="shared" si="22"/>
        <v>0</v>
      </c>
      <c r="BY104" s="74"/>
    </row>
    <row r="105" spans="1:77" s="75" customFormat="1" x14ac:dyDescent="0.25">
      <c r="A105" s="44">
        <v>661</v>
      </c>
      <c r="B105" s="40" t="s">
        <v>215</v>
      </c>
      <c r="C105" s="40" t="s">
        <v>106</v>
      </c>
      <c r="D105" s="40" t="s">
        <v>72</v>
      </c>
      <c r="E105" s="40">
        <v>0</v>
      </c>
      <c r="F105" s="40" t="s">
        <v>86</v>
      </c>
      <c r="G105" s="61">
        <v>45809</v>
      </c>
      <c r="H105" s="40"/>
      <c r="I105" s="62">
        <v>29803101203926</v>
      </c>
      <c r="J105" s="63">
        <v>1</v>
      </c>
      <c r="K105" s="63">
        <v>3500</v>
      </c>
      <c r="L105" s="63"/>
      <c r="M105" s="64"/>
      <c r="N105" s="63">
        <f>SUM('11-2025'!$K105:$M105)</f>
        <v>3500</v>
      </c>
      <c r="O105" s="63"/>
      <c r="P105" s="63">
        <f t="shared" si="15"/>
        <v>0</v>
      </c>
      <c r="Q105" s="63">
        <f t="shared" si="16"/>
        <v>0</v>
      </c>
      <c r="R105" s="63">
        <v>1666.6666666666667</v>
      </c>
      <c r="S105" s="65">
        <f t="shared" si="17"/>
        <v>1833.3333333333333</v>
      </c>
      <c r="T105" s="63">
        <f t="shared" si="18"/>
        <v>22000</v>
      </c>
      <c r="U105" s="63">
        <f>IF(T105&lt;=40000,0,
IF(T105&lt;=55000,(T105-40000)*10%,
IF(T105&lt;=70000,(T105-55000)*15%+1500,
IF(T105&lt;=200000,(T105-70000)*20%+1500+2250,
IF(T105&lt;=400000,(T105-200000)*22.5%+1500+2250+26000,
IF(T105&lt;=600000,(T105-400000)*25%+1500+2250+26000+45000,
IF(AND(T105&gt;600000,T105&lt;=1200000),(T105-400000)*25%+1500+2250+26000+45000
+IFERROR(LOOKUP(T105,{600001;700001;800001;900001},{4000;6750;10250;15250}),0),IF(T105&gt;1200000,((T105-1200000)*27.5%)+300000,0)
)))))))</f>
        <v>0</v>
      </c>
      <c r="V105" s="63">
        <f t="shared" si="19"/>
        <v>0</v>
      </c>
      <c r="W105" s="66">
        <f>+'11-2025'!$S105-'11-2025'!$V105+'11-2025'!$R105</f>
        <v>3500</v>
      </c>
      <c r="X105" s="66">
        <f t="shared" si="20"/>
        <v>116.66666666666667</v>
      </c>
      <c r="Y105" s="67"/>
      <c r="Z105" s="67">
        <f>IFERROR(+'11-2025'!$X105*'11-2025'!$Y105,"")</f>
        <v>0</v>
      </c>
      <c r="AA105" s="67"/>
      <c r="AB105" s="67">
        <f>IFERROR(+'11-2025'!$X105*'11-2025'!$AA105,"")</f>
        <v>0</v>
      </c>
      <c r="AC105" s="67">
        <v>30</v>
      </c>
      <c r="AD105" s="67">
        <f>IFERROR(+'11-2025'!$X105*'11-2025'!$AC105,"")</f>
        <v>3500</v>
      </c>
      <c r="AE105" s="67"/>
      <c r="AF105" s="67">
        <f>IFERROR(+'11-2025'!$X105*'11-2025'!$AE105,"")</f>
        <v>0</v>
      </c>
      <c r="AG105" s="67"/>
      <c r="AH105" s="67">
        <f>IFERROR(+'11-2025'!$X105*'11-2025'!$AG105,"")</f>
        <v>0</v>
      </c>
      <c r="AI105" s="29">
        <v>0</v>
      </c>
      <c r="AJ105" s="67">
        <f>IFERROR('11-2025'!$Z105+'11-2025'!$AB105+'11-2025'!$AD105+'11-2025'!$AF105+'11-2025'!$AH105+'11-2025'!$AI105,"")</f>
        <v>3500</v>
      </c>
      <c r="AK105" s="78">
        <f>IFERROR('11-2025'!$W105-'11-2025'!$AJ105,"")</f>
        <v>0</v>
      </c>
      <c r="AL105" s="69"/>
      <c r="AM105" s="69"/>
      <c r="AN105" s="69"/>
      <c r="AO105" s="69"/>
      <c r="AP105" s="69"/>
      <c r="AQ105" s="69"/>
      <c r="AR105" s="31">
        <v>0</v>
      </c>
      <c r="AS105" s="31">
        <v>0</v>
      </c>
      <c r="AT105" s="31">
        <v>0</v>
      </c>
      <c r="AU105" s="31">
        <v>0</v>
      </c>
      <c r="AV105" s="31">
        <v>0</v>
      </c>
      <c r="AW105" s="31">
        <v>0</v>
      </c>
      <c r="AX105" s="31">
        <v>0</v>
      </c>
      <c r="AY105" s="31">
        <v>0</v>
      </c>
      <c r="AZ105" s="31">
        <v>0</v>
      </c>
      <c r="BA105" s="31">
        <v>0</v>
      </c>
      <c r="BB105" s="31">
        <v>0</v>
      </c>
      <c r="BC105" s="31">
        <v>0</v>
      </c>
      <c r="BD105" s="31">
        <v>0</v>
      </c>
      <c r="BE105" s="31">
        <v>0</v>
      </c>
      <c r="BF105" s="31">
        <v>0</v>
      </c>
      <c r="BG105" s="31">
        <v>0</v>
      </c>
      <c r="BH105" s="31">
        <v>0</v>
      </c>
      <c r="BI105" s="31">
        <v>0</v>
      </c>
      <c r="BJ105" s="39">
        <f t="shared" si="23"/>
        <v>0</v>
      </c>
      <c r="BK105" s="77">
        <f>BJ105+AM105+AL105+'11-2025'!$N105+AN105+AO105</f>
        <v>3500</v>
      </c>
      <c r="BL105" s="71">
        <f>'11-2025'!$O105</f>
        <v>0</v>
      </c>
      <c r="BM105" s="71">
        <f t="shared" si="12"/>
        <v>0</v>
      </c>
      <c r="BN105" s="71">
        <f t="shared" si="13"/>
        <v>0</v>
      </c>
      <c r="BO105" s="71">
        <f t="shared" si="21"/>
        <v>1666.6666666666667</v>
      </c>
      <c r="BP105" s="72">
        <f t="shared" si="14"/>
        <v>1833.3333333333333</v>
      </c>
      <c r="BQ105" s="71">
        <f>IFERROR(BP105/'11-2025'!$J105,0)*12</f>
        <v>22000</v>
      </c>
      <c r="BR105" s="71">
        <f>IF(BQ105&lt;=40000,0,
IF(BQ105&lt;=55000,(BQ105-40000)*10%,
IF(BQ105&lt;=70000,(BQ105-55000)*15%+1500,
IF(BQ105&lt;=200000,(BQ105-70000)*20%+1500+2250,
IF(BQ105&lt;=400000,(BQ105-200000)*22.5%+1500+2250+26000,
IF(BQ105&lt;=600000,(BQ105-400000)*25%+1500+2250+26000+45000,
IF(AND(BQ105&gt;600000,BQ105&lt;=1200000),(BQ105-400000)*25%+1500+2250+26000+45000
+IFERROR(LOOKUP(BQ105,{600001;700001;800001;900001},{4000;6750;10250;15250}),0),IF(BQ105&gt;1200000,((BQ105-1200000)*27.5%)+300000,0)
)))))))</f>
        <v>0</v>
      </c>
      <c r="BS105" s="39">
        <f>(BR105/12*'11-2025'!$J105)</f>
        <v>0</v>
      </c>
      <c r="BT105" s="70">
        <f>BS105-'11-2025'!$V105</f>
        <v>0</v>
      </c>
      <c r="BU105" s="39">
        <f>IFERROR(+'11-2025'!$W105+AL105+AM105+BJ105-'11-2025'!$AJ105-BT105+AN105+AO105,"")-AL105+AP105+AQ105</f>
        <v>0</v>
      </c>
      <c r="BV105" s="73"/>
      <c r="BW105" s="74"/>
      <c r="BX105" s="74">
        <f t="shared" si="22"/>
        <v>0</v>
      </c>
      <c r="BY105" s="74"/>
    </row>
    <row r="106" spans="1:77" s="75" customFormat="1" x14ac:dyDescent="0.25">
      <c r="A106" s="44">
        <v>662</v>
      </c>
      <c r="B106" s="40" t="s">
        <v>216</v>
      </c>
      <c r="C106" s="40" t="s">
        <v>106</v>
      </c>
      <c r="D106" s="40" t="s">
        <v>72</v>
      </c>
      <c r="E106" s="40" t="s">
        <v>82</v>
      </c>
      <c r="F106" s="40" t="s">
        <v>139</v>
      </c>
      <c r="G106" s="61">
        <v>45811</v>
      </c>
      <c r="H106" s="40"/>
      <c r="I106" s="62">
        <v>28404280103038</v>
      </c>
      <c r="J106" s="63">
        <v>1</v>
      </c>
      <c r="K106" s="63">
        <v>3000</v>
      </c>
      <c r="L106" s="63"/>
      <c r="M106" s="64"/>
      <c r="N106" s="63">
        <f>SUM('11-2025'!$K106:$M106)</f>
        <v>3000</v>
      </c>
      <c r="O106" s="63"/>
      <c r="P106" s="63">
        <f t="shared" si="15"/>
        <v>0</v>
      </c>
      <c r="Q106" s="63">
        <f t="shared" si="16"/>
        <v>0</v>
      </c>
      <c r="R106" s="63">
        <v>1666.6666666666667</v>
      </c>
      <c r="S106" s="65">
        <f t="shared" si="17"/>
        <v>1333.3333333333333</v>
      </c>
      <c r="T106" s="63">
        <f t="shared" si="18"/>
        <v>16000</v>
      </c>
      <c r="U106" s="63">
        <f>IF(T106&lt;=40000,0,
IF(T106&lt;=55000,(T106-40000)*10%,
IF(T106&lt;=70000,(T106-55000)*15%+1500,
IF(T106&lt;=200000,(T106-70000)*20%+1500+2250,
IF(T106&lt;=400000,(T106-200000)*22.5%+1500+2250+26000,
IF(T106&lt;=600000,(T106-400000)*25%+1500+2250+26000+45000,
IF(AND(T106&gt;600000,T106&lt;=1200000),(T106-400000)*25%+1500+2250+26000+45000
+IFERROR(LOOKUP(T106,{600001;700001;800001;900001},{4000;6750;10250;15250}),0),IF(T106&gt;1200000,((T106-1200000)*27.5%)+300000,0)
)))))))</f>
        <v>0</v>
      </c>
      <c r="V106" s="63">
        <f t="shared" si="19"/>
        <v>0</v>
      </c>
      <c r="W106" s="66">
        <f>+'11-2025'!$S106-'11-2025'!$V106+'11-2025'!$R106</f>
        <v>3000</v>
      </c>
      <c r="X106" s="66">
        <f t="shared" si="20"/>
        <v>100</v>
      </c>
      <c r="Y106" s="67"/>
      <c r="Z106" s="67">
        <f>IFERROR(+'11-2025'!$X106*'11-2025'!$Y106,"")</f>
        <v>0</v>
      </c>
      <c r="AA106" s="67"/>
      <c r="AB106" s="67">
        <f>IFERROR(+'11-2025'!$X106*'11-2025'!$AA106,"")</f>
        <v>0</v>
      </c>
      <c r="AC106" s="67">
        <v>30</v>
      </c>
      <c r="AD106" s="67">
        <f>IFERROR(+'11-2025'!$X106*'11-2025'!$AC106,"")</f>
        <v>3000</v>
      </c>
      <c r="AE106" s="67"/>
      <c r="AF106" s="67">
        <f>IFERROR(+'11-2025'!$X106*'11-2025'!$AE106,"")</f>
        <v>0</v>
      </c>
      <c r="AG106" s="67"/>
      <c r="AH106" s="67">
        <f>IFERROR(+'11-2025'!$X106*'11-2025'!$AG106,"")</f>
        <v>0</v>
      </c>
      <c r="AI106" s="29">
        <v>0</v>
      </c>
      <c r="AJ106" s="67">
        <f>IFERROR('11-2025'!$Z106+'11-2025'!$AB106+'11-2025'!$AD106+'11-2025'!$AF106+'11-2025'!$AH106+'11-2025'!$AI106,"")</f>
        <v>3000</v>
      </c>
      <c r="AK106" s="68">
        <f>IFERROR('11-2025'!$W106-'11-2025'!$AJ106,"")</f>
        <v>0</v>
      </c>
      <c r="AL106" s="69"/>
      <c r="AM106" s="69"/>
      <c r="AN106" s="69"/>
      <c r="AO106" s="69"/>
      <c r="AP106" s="69"/>
      <c r="AQ106" s="69"/>
      <c r="AR106" s="31">
        <v>0</v>
      </c>
      <c r="AS106" s="31">
        <v>0</v>
      </c>
      <c r="AT106" s="31">
        <v>0</v>
      </c>
      <c r="AU106" s="31">
        <v>0</v>
      </c>
      <c r="AV106" s="31">
        <v>0</v>
      </c>
      <c r="AW106" s="31">
        <v>0</v>
      </c>
      <c r="AX106" s="31">
        <v>0</v>
      </c>
      <c r="AY106" s="31">
        <v>0</v>
      </c>
      <c r="AZ106" s="31">
        <v>0</v>
      </c>
      <c r="BA106" s="31">
        <v>0</v>
      </c>
      <c r="BB106" s="31">
        <v>0</v>
      </c>
      <c r="BC106" s="31">
        <v>0</v>
      </c>
      <c r="BD106" s="31">
        <v>0</v>
      </c>
      <c r="BE106" s="31">
        <v>0</v>
      </c>
      <c r="BF106" s="31">
        <v>0</v>
      </c>
      <c r="BG106" s="31">
        <v>0</v>
      </c>
      <c r="BH106" s="31">
        <v>0</v>
      </c>
      <c r="BI106" s="31">
        <v>0</v>
      </c>
      <c r="BJ106" s="39">
        <f t="shared" si="23"/>
        <v>0</v>
      </c>
      <c r="BK106" s="77">
        <f>BJ106+AM106+AL106+'11-2025'!$N106+AN106+AO106</f>
        <v>3000</v>
      </c>
      <c r="BL106" s="71">
        <f>'11-2025'!$O106</f>
        <v>0</v>
      </c>
      <c r="BM106" s="71">
        <f t="shared" si="12"/>
        <v>0</v>
      </c>
      <c r="BN106" s="71">
        <f t="shared" si="13"/>
        <v>0</v>
      </c>
      <c r="BO106" s="71">
        <f t="shared" si="21"/>
        <v>1666.6666666666667</v>
      </c>
      <c r="BP106" s="72">
        <f t="shared" si="14"/>
        <v>1333.3333333333333</v>
      </c>
      <c r="BQ106" s="71">
        <f>IFERROR(BP106/'11-2025'!$J106,0)*12</f>
        <v>16000</v>
      </c>
      <c r="BR106" s="71">
        <f>IF(BQ106&lt;=40000,0,
IF(BQ106&lt;=55000,(BQ106-40000)*10%,
IF(BQ106&lt;=70000,(BQ106-55000)*15%+1500,
IF(BQ106&lt;=200000,(BQ106-70000)*20%+1500+2250,
IF(BQ106&lt;=400000,(BQ106-200000)*22.5%+1500+2250+26000,
IF(BQ106&lt;=600000,(BQ106-400000)*25%+1500+2250+26000+45000,
IF(AND(BQ106&gt;600000,BQ106&lt;=1200000),(BQ106-400000)*25%+1500+2250+26000+45000
+IFERROR(LOOKUP(BQ106,{600001;700001;800001;900001},{4000;6750;10250;15250}),0),IF(BQ106&gt;1200000,((BQ106-1200000)*27.5%)+300000,0)
)))))))</f>
        <v>0</v>
      </c>
      <c r="BS106" s="39">
        <f>(BR106/12*'11-2025'!$J106)</f>
        <v>0</v>
      </c>
      <c r="BT106" s="70">
        <f>BS106-'11-2025'!$V106</f>
        <v>0</v>
      </c>
      <c r="BU106" s="39">
        <f>IFERROR(+'11-2025'!$W106+AL106+AM106+BJ106-'11-2025'!$AJ106-BT106+AN106+AO106,"")-AL106+AP106+AQ106</f>
        <v>0</v>
      </c>
      <c r="BV106" s="73"/>
      <c r="BW106" s="74"/>
      <c r="BX106" s="74">
        <f t="shared" si="22"/>
        <v>0</v>
      </c>
      <c r="BY106" s="74"/>
    </row>
    <row r="107" spans="1:77" s="75" customFormat="1" x14ac:dyDescent="0.25">
      <c r="A107" s="44">
        <v>667</v>
      </c>
      <c r="B107" s="40" t="s">
        <v>217</v>
      </c>
      <c r="C107" s="40" t="s">
        <v>71</v>
      </c>
      <c r="D107" s="40" t="s">
        <v>72</v>
      </c>
      <c r="E107" s="40" t="s">
        <v>99</v>
      </c>
      <c r="F107" s="40" t="s">
        <v>102</v>
      </c>
      <c r="G107" s="61">
        <v>45812</v>
      </c>
      <c r="H107" s="61">
        <v>45900</v>
      </c>
      <c r="I107" s="62">
        <v>30807010105469</v>
      </c>
      <c r="J107" s="63">
        <v>1</v>
      </c>
      <c r="K107" s="63">
        <v>2500</v>
      </c>
      <c r="L107" s="63"/>
      <c r="M107" s="64"/>
      <c r="N107" s="63">
        <f>SUM('11-2025'!$K107:$M107)</f>
        <v>2500</v>
      </c>
      <c r="O107" s="63"/>
      <c r="P107" s="63">
        <f t="shared" si="15"/>
        <v>0</v>
      </c>
      <c r="Q107" s="63">
        <f t="shared" si="16"/>
        <v>0</v>
      </c>
      <c r="R107" s="63">
        <v>1666.6666666666667</v>
      </c>
      <c r="S107" s="65">
        <f t="shared" si="17"/>
        <v>833.33333333333326</v>
      </c>
      <c r="T107" s="63">
        <f t="shared" si="18"/>
        <v>10000</v>
      </c>
      <c r="U107" s="63">
        <f>IF(T107&lt;=40000,0,
IF(T107&lt;=55000,(T107-40000)*10%,
IF(T107&lt;=70000,(T107-55000)*15%+1500,
IF(T107&lt;=200000,(T107-70000)*20%+1500+2250,
IF(T107&lt;=400000,(T107-200000)*22.5%+1500+2250+26000,
IF(T107&lt;=600000,(T107-400000)*25%+1500+2250+26000+45000,
IF(AND(T107&gt;600000,T107&lt;=1200000),(T107-400000)*25%+1500+2250+26000+45000
+IFERROR(LOOKUP(T107,{600001;700001;800001;900001},{4000;6750;10250;15250}),0),IF(T107&gt;1200000,((T107-1200000)*27.5%)+300000,0)
)))))))</f>
        <v>0</v>
      </c>
      <c r="V107" s="63">
        <f t="shared" si="19"/>
        <v>0</v>
      </c>
      <c r="W107" s="66">
        <f>+'11-2025'!$S107-'11-2025'!$V107+'11-2025'!$R107</f>
        <v>2500</v>
      </c>
      <c r="X107" s="66">
        <f t="shared" si="20"/>
        <v>83.333333333333329</v>
      </c>
      <c r="Y107" s="67"/>
      <c r="Z107" s="67">
        <f>IFERROR(+'11-2025'!$X107*'11-2025'!$Y107,"")</f>
        <v>0</v>
      </c>
      <c r="AA107" s="67"/>
      <c r="AB107" s="67">
        <f>IFERROR(+'11-2025'!$X107*'11-2025'!$AA107,"")</f>
        <v>0</v>
      </c>
      <c r="AC107" s="67">
        <v>30</v>
      </c>
      <c r="AD107" s="67">
        <f>IFERROR(+'11-2025'!$X107*'11-2025'!$AC107,"")</f>
        <v>2500</v>
      </c>
      <c r="AE107" s="67"/>
      <c r="AF107" s="67">
        <f>IFERROR(+'11-2025'!$X107*'11-2025'!$AE107,"")</f>
        <v>0</v>
      </c>
      <c r="AG107" s="67"/>
      <c r="AH107" s="67">
        <f>IFERROR(+'11-2025'!$X107*'11-2025'!$AG107,"")</f>
        <v>0</v>
      </c>
      <c r="AI107" s="29">
        <v>0</v>
      </c>
      <c r="AJ107" s="67">
        <f>IFERROR('11-2025'!$Z107+'11-2025'!$AB107+'11-2025'!$AD107+'11-2025'!$AF107+'11-2025'!$AH107+'11-2025'!$AI107,"")</f>
        <v>2500</v>
      </c>
      <c r="AK107" s="68">
        <f>IFERROR('11-2025'!$W107-'11-2025'!$AJ107,"")</f>
        <v>0</v>
      </c>
      <c r="AL107" s="69"/>
      <c r="AM107" s="69"/>
      <c r="AN107" s="69"/>
      <c r="AO107" s="69"/>
      <c r="AP107" s="69"/>
      <c r="AQ107" s="69"/>
      <c r="AR107" s="31">
        <v>0</v>
      </c>
      <c r="AS107" s="31">
        <v>0</v>
      </c>
      <c r="AT107" s="31">
        <v>0</v>
      </c>
      <c r="AU107" s="31">
        <v>0</v>
      </c>
      <c r="AV107" s="31">
        <v>0</v>
      </c>
      <c r="AW107" s="31">
        <v>0</v>
      </c>
      <c r="AX107" s="31">
        <v>0</v>
      </c>
      <c r="AY107" s="31">
        <v>0</v>
      </c>
      <c r="AZ107" s="31">
        <v>0</v>
      </c>
      <c r="BA107" s="31">
        <v>0</v>
      </c>
      <c r="BB107" s="31">
        <v>0</v>
      </c>
      <c r="BC107" s="31">
        <v>0</v>
      </c>
      <c r="BD107" s="31">
        <v>0</v>
      </c>
      <c r="BE107" s="31">
        <v>0</v>
      </c>
      <c r="BF107" s="31">
        <v>0</v>
      </c>
      <c r="BG107" s="31">
        <v>0</v>
      </c>
      <c r="BH107" s="31">
        <v>0</v>
      </c>
      <c r="BI107" s="31">
        <v>0</v>
      </c>
      <c r="BJ107" s="39">
        <f t="shared" si="23"/>
        <v>0</v>
      </c>
      <c r="BK107" s="77">
        <f>BJ107+AM107+AL107+'11-2025'!$N107+AN107+AO107</f>
        <v>2500</v>
      </c>
      <c r="BL107" s="71">
        <f>'11-2025'!$O107</f>
        <v>0</v>
      </c>
      <c r="BM107" s="71">
        <f t="shared" si="12"/>
        <v>0</v>
      </c>
      <c r="BN107" s="71">
        <f t="shared" si="13"/>
        <v>0</v>
      </c>
      <c r="BO107" s="71">
        <f t="shared" si="21"/>
        <v>1666.6666666666667</v>
      </c>
      <c r="BP107" s="72">
        <f t="shared" si="14"/>
        <v>833.33333333333326</v>
      </c>
      <c r="BQ107" s="71">
        <f>IFERROR(BP107/'11-2025'!$J107,0)*12</f>
        <v>10000</v>
      </c>
      <c r="BR107" s="71">
        <f>IF(BQ107&lt;=40000,0,
IF(BQ107&lt;=55000,(BQ107-40000)*10%,
IF(BQ107&lt;=70000,(BQ107-55000)*15%+1500,
IF(BQ107&lt;=200000,(BQ107-70000)*20%+1500+2250,
IF(BQ107&lt;=400000,(BQ107-200000)*22.5%+1500+2250+26000,
IF(BQ107&lt;=600000,(BQ107-400000)*25%+1500+2250+26000+45000,
IF(AND(BQ107&gt;600000,BQ107&lt;=1200000),(BQ107-400000)*25%+1500+2250+26000+45000
+IFERROR(LOOKUP(BQ107,{600001;700001;800001;900001},{4000;6750;10250;15250}),0),IF(BQ107&gt;1200000,((BQ107-1200000)*27.5%)+300000,0)
)))))))</f>
        <v>0</v>
      </c>
      <c r="BS107" s="39">
        <f>(BR107/12*'11-2025'!$J107)</f>
        <v>0</v>
      </c>
      <c r="BT107" s="70">
        <f>BS107-'11-2025'!$V107</f>
        <v>0</v>
      </c>
      <c r="BU107" s="39">
        <f>IFERROR(+'11-2025'!$W107+AL107+AM107+BJ107-'11-2025'!$AJ107-BT107+AN107+AO107,"")-AL107+AP107+AQ107</f>
        <v>0</v>
      </c>
      <c r="BV107" s="73"/>
      <c r="BW107" s="74"/>
      <c r="BX107" s="74">
        <f t="shared" si="22"/>
        <v>0</v>
      </c>
      <c r="BY107" s="74"/>
    </row>
    <row r="108" spans="1:77" x14ac:dyDescent="0.25">
      <c r="A108" s="43">
        <v>668</v>
      </c>
      <c r="B108" s="22" t="s">
        <v>218</v>
      </c>
      <c r="C108" s="22" t="s">
        <v>106</v>
      </c>
      <c r="D108" s="22" t="s">
        <v>72</v>
      </c>
      <c r="E108" s="22" t="s">
        <v>110</v>
      </c>
      <c r="F108" s="22" t="s">
        <v>133</v>
      </c>
      <c r="G108" s="23">
        <v>45902</v>
      </c>
      <c r="H108" s="22"/>
      <c r="I108" s="24">
        <v>30604231201944</v>
      </c>
      <c r="J108" s="25">
        <v>1</v>
      </c>
      <c r="K108" s="25">
        <v>2500</v>
      </c>
      <c r="L108" s="25"/>
      <c r="M108" s="26"/>
      <c r="N108" s="25">
        <f>SUM('11-2025'!$K108:$M108)</f>
        <v>2500</v>
      </c>
      <c r="O108" s="25"/>
      <c r="P108" s="25">
        <f t="shared" si="15"/>
        <v>0</v>
      </c>
      <c r="Q108" s="25">
        <f t="shared" si="16"/>
        <v>0</v>
      </c>
      <c r="R108" s="25">
        <v>1666.6666666666667</v>
      </c>
      <c r="S108" s="27">
        <f t="shared" si="17"/>
        <v>833.33333333333326</v>
      </c>
      <c r="T108" s="25">
        <f t="shared" si="18"/>
        <v>10000</v>
      </c>
      <c r="U108" s="25">
        <f>IF(T108&lt;=40000,0,
IF(T108&lt;=55000,(T108-40000)*10%,
IF(T108&lt;=70000,(T108-55000)*15%+1500,
IF(T108&lt;=200000,(T108-70000)*20%+1500+2250,
IF(T108&lt;=400000,(T108-200000)*22.5%+1500+2250+26000,
IF(T108&lt;=600000,(T108-400000)*25%+1500+2250+26000+45000,
IF(AND(T108&gt;600000,T108&lt;=1200000),(T108-400000)*25%+1500+2250+26000+45000
+IFERROR(LOOKUP(T108,{600001;700001;800001;900001},{4000;6750;10250;15250}),0),IF(T108&gt;1200000,((T108-1200000)*27.5%)+300000,0)
)))))))</f>
        <v>0</v>
      </c>
      <c r="V108" s="25">
        <f t="shared" si="19"/>
        <v>0</v>
      </c>
      <c r="W108" s="28">
        <f>+'11-2025'!$S108-'11-2025'!$V108+'11-2025'!$R108</f>
        <v>2500</v>
      </c>
      <c r="X108" s="28">
        <f t="shared" si="20"/>
        <v>83.333333333333329</v>
      </c>
      <c r="Y108" s="29">
        <v>0</v>
      </c>
      <c r="Z108" s="29">
        <f>IFERROR(+'11-2025'!$X108*'11-2025'!$Y108,"")</f>
        <v>0</v>
      </c>
      <c r="AA108" s="29">
        <v>0</v>
      </c>
      <c r="AB108" s="29">
        <f>IFERROR(+'11-2025'!$X108*'11-2025'!$AA108,"")</f>
        <v>0</v>
      </c>
      <c r="AC108" s="29">
        <v>0</v>
      </c>
      <c r="AD108" s="29">
        <f>IFERROR(+'11-2025'!$X108*'11-2025'!$AC108,"")</f>
        <v>0</v>
      </c>
      <c r="AE108" s="29">
        <v>0</v>
      </c>
      <c r="AF108" s="29">
        <f>IFERROR(+'11-2025'!$X108*'11-2025'!$AE108,"")</f>
        <v>0</v>
      </c>
      <c r="AG108" s="29">
        <v>0</v>
      </c>
      <c r="AH108" s="29">
        <f>IFERROR(+'11-2025'!$X108*'11-2025'!$AG108,"")</f>
        <v>0</v>
      </c>
      <c r="AI108" s="29">
        <v>0</v>
      </c>
      <c r="AJ108" s="29">
        <f>IFERROR('11-2025'!$Z108+'11-2025'!$AB108+'11-2025'!$AD108+'11-2025'!$AF108+'11-2025'!$AH108+'11-2025'!$AI108,"")</f>
        <v>0</v>
      </c>
      <c r="AK108" s="30">
        <f>IFERROR('11-2025'!$W108-'11-2025'!$AJ108,"")</f>
        <v>2500</v>
      </c>
      <c r="AL108" s="31"/>
      <c r="AM108" s="31"/>
      <c r="AN108" s="31"/>
      <c r="AO108" s="31">
        <v>60</v>
      </c>
      <c r="AP108" s="31"/>
      <c r="AQ108" s="31"/>
      <c r="AR108" s="31">
        <v>0</v>
      </c>
      <c r="AS108" s="31">
        <v>0</v>
      </c>
      <c r="AT108" s="31">
        <v>0</v>
      </c>
      <c r="AU108" s="31">
        <v>0</v>
      </c>
      <c r="AV108" s="31">
        <v>0</v>
      </c>
      <c r="AW108" s="31">
        <v>0</v>
      </c>
      <c r="AX108" s="31">
        <v>0</v>
      </c>
      <c r="AY108" s="31">
        <v>0</v>
      </c>
      <c r="AZ108" s="31">
        <v>0</v>
      </c>
      <c r="BA108" s="31">
        <v>0</v>
      </c>
      <c r="BB108" s="31">
        <v>0</v>
      </c>
      <c r="BC108" s="31">
        <v>0</v>
      </c>
      <c r="BD108" s="31">
        <v>0</v>
      </c>
      <c r="BE108" s="31">
        <v>590.44499999999994</v>
      </c>
      <c r="BF108" s="31">
        <v>0</v>
      </c>
      <c r="BG108" s="31">
        <v>0</v>
      </c>
      <c r="BH108" s="31">
        <v>0</v>
      </c>
      <c r="BI108" s="31">
        <v>0</v>
      </c>
      <c r="BJ108" s="32">
        <f t="shared" si="23"/>
        <v>590.44499999999994</v>
      </c>
      <c r="BK108" s="41">
        <f>BJ108+AM108+AL108+'11-2025'!$N108+AN108+AO108</f>
        <v>3150.4449999999997</v>
      </c>
      <c r="BL108" s="34">
        <f>'11-2025'!$O108</f>
        <v>0</v>
      </c>
      <c r="BM108" s="34">
        <f t="shared" si="12"/>
        <v>0</v>
      </c>
      <c r="BN108" s="34">
        <f t="shared" si="13"/>
        <v>0</v>
      </c>
      <c r="BO108" s="34">
        <f t="shared" si="21"/>
        <v>1666.6666666666667</v>
      </c>
      <c r="BP108" s="35">
        <f t="shared" si="14"/>
        <v>1483.778333333333</v>
      </c>
      <c r="BQ108" s="34">
        <f>IFERROR(BP108/'11-2025'!$J108,0)*12</f>
        <v>17805.339999999997</v>
      </c>
      <c r="BR108" s="34">
        <f>IF(BQ108&lt;=40000,0,
IF(BQ108&lt;=55000,(BQ108-40000)*10%,
IF(BQ108&lt;=70000,(BQ108-55000)*15%+1500,
IF(BQ108&lt;=200000,(BQ108-70000)*20%+1500+2250,
IF(BQ108&lt;=400000,(BQ108-200000)*22.5%+1500+2250+26000,
IF(BQ108&lt;=600000,(BQ108-400000)*25%+1500+2250+26000+45000,
IF(AND(BQ108&gt;600000,BQ108&lt;=1200000),(BQ108-400000)*25%+1500+2250+26000+45000
+IFERROR(LOOKUP(BQ108,{600001;700001;800001;900001},{4000;6750;10250;15250}),0),IF(BQ108&gt;1200000,((BQ108-1200000)*27.5%)+300000,0)
)))))))</f>
        <v>0</v>
      </c>
      <c r="BS108" s="32">
        <f>(BR108/12*'11-2025'!$J108)</f>
        <v>0</v>
      </c>
      <c r="BT108" s="33">
        <f>BS108-'11-2025'!$V108</f>
        <v>0</v>
      </c>
      <c r="BU108" s="32">
        <f>IFERROR(+'11-2025'!$W108+AL108+AM108+BJ108-'11-2025'!$AJ108-BT108+AN108+AO108,"")-AL108+AP108+AQ108</f>
        <v>3150.4449999999997</v>
      </c>
      <c r="BV108" s="36"/>
      <c r="BW108" s="37"/>
      <c r="BX108" s="37">
        <f t="shared" si="22"/>
        <v>3150.4449999999997</v>
      </c>
      <c r="BY108" s="37"/>
    </row>
    <row r="109" spans="1:77" x14ac:dyDescent="0.25">
      <c r="A109" s="43">
        <v>673</v>
      </c>
      <c r="B109" s="22" t="s">
        <v>219</v>
      </c>
      <c r="C109" s="22" t="s">
        <v>106</v>
      </c>
      <c r="D109" s="22" t="s">
        <v>72</v>
      </c>
      <c r="E109" s="22" t="s">
        <v>124</v>
      </c>
      <c r="F109" s="22" t="s">
        <v>102</v>
      </c>
      <c r="G109" s="23">
        <v>45817</v>
      </c>
      <c r="H109" s="22"/>
      <c r="I109" s="24">
        <v>30409111202168</v>
      </c>
      <c r="J109" s="25">
        <v>1</v>
      </c>
      <c r="K109" s="25">
        <v>2500</v>
      </c>
      <c r="L109" s="25"/>
      <c r="M109" s="26"/>
      <c r="N109" s="25">
        <f>SUM('11-2025'!$K109:$M109)</f>
        <v>2500</v>
      </c>
      <c r="O109" s="25"/>
      <c r="P109" s="25">
        <f t="shared" si="15"/>
        <v>0</v>
      </c>
      <c r="Q109" s="25">
        <f t="shared" si="16"/>
        <v>0</v>
      </c>
      <c r="R109" s="25">
        <v>1666.6666666666667</v>
      </c>
      <c r="S109" s="27">
        <f t="shared" si="17"/>
        <v>833.33333333333326</v>
      </c>
      <c r="T109" s="25">
        <f t="shared" si="18"/>
        <v>10000</v>
      </c>
      <c r="U109" s="25">
        <f>IF(T109&lt;=40000,0,
IF(T109&lt;=55000,(T109-40000)*10%,
IF(T109&lt;=70000,(T109-55000)*15%+1500,
IF(T109&lt;=200000,(T109-70000)*20%+1500+2250,
IF(T109&lt;=400000,(T109-200000)*22.5%+1500+2250+26000,
IF(T109&lt;=600000,(T109-400000)*25%+1500+2250+26000+45000,
IF(AND(T109&gt;600000,T109&lt;=1200000),(T109-400000)*25%+1500+2250+26000+45000
+IFERROR(LOOKUP(T109,{600001;700001;800001;900001},{4000;6750;10250;15250}),0),IF(T109&gt;1200000,((T109-1200000)*27.5%)+300000,0)
)))))))</f>
        <v>0</v>
      </c>
      <c r="V109" s="25">
        <f t="shared" si="19"/>
        <v>0</v>
      </c>
      <c r="W109" s="28">
        <f>+'11-2025'!$S109-'11-2025'!$V109+'11-2025'!$R109</f>
        <v>2500</v>
      </c>
      <c r="X109" s="28">
        <f t="shared" si="20"/>
        <v>83.333333333333329</v>
      </c>
      <c r="Y109" s="29">
        <v>0</v>
      </c>
      <c r="Z109" s="29">
        <f>IFERROR(+'11-2025'!$X109*'11-2025'!$Y109,"")</f>
        <v>0</v>
      </c>
      <c r="AA109" s="29">
        <v>0</v>
      </c>
      <c r="AB109" s="29">
        <f>IFERROR(+'11-2025'!$X109*'11-2025'!$AA109,"")</f>
        <v>0</v>
      </c>
      <c r="AC109" s="29">
        <v>0</v>
      </c>
      <c r="AD109" s="29">
        <f>IFERROR(+'11-2025'!$X109*'11-2025'!$AC109,"")</f>
        <v>0</v>
      </c>
      <c r="AE109" s="29">
        <v>0</v>
      </c>
      <c r="AF109" s="29">
        <f>IFERROR(+'11-2025'!$X109*'11-2025'!$AE109,"")</f>
        <v>0</v>
      </c>
      <c r="AG109" s="29">
        <v>0</v>
      </c>
      <c r="AH109" s="29">
        <f>IFERROR(+'11-2025'!$X109*'11-2025'!$AG109,"")</f>
        <v>0</v>
      </c>
      <c r="AI109" s="29">
        <v>0</v>
      </c>
      <c r="AJ109" s="29">
        <f>IFERROR('11-2025'!$Z109+'11-2025'!$AB109+'11-2025'!$AD109+'11-2025'!$AF109+'11-2025'!$AH109+'11-2025'!$AI109,"")</f>
        <v>0</v>
      </c>
      <c r="AK109" s="30">
        <f>IFERROR('11-2025'!$W109-'11-2025'!$AJ109,"")</f>
        <v>2500</v>
      </c>
      <c r="AL109" s="31"/>
      <c r="AM109" s="31"/>
      <c r="AN109" s="31"/>
      <c r="AO109" s="31">
        <v>0</v>
      </c>
      <c r="AP109" s="31"/>
      <c r="AQ109" s="31"/>
      <c r="AR109" s="31">
        <v>0</v>
      </c>
      <c r="AS109" s="31">
        <v>0</v>
      </c>
      <c r="AT109" s="31">
        <v>0</v>
      </c>
      <c r="AU109" s="31">
        <v>0</v>
      </c>
      <c r="AV109" s="31">
        <v>0</v>
      </c>
      <c r="AW109" s="31">
        <v>0</v>
      </c>
      <c r="AX109" s="31">
        <v>0</v>
      </c>
      <c r="AY109" s="31">
        <v>0</v>
      </c>
      <c r="AZ109" s="31">
        <v>0</v>
      </c>
      <c r="BA109" s="31">
        <v>0</v>
      </c>
      <c r="BB109" s="31">
        <v>0</v>
      </c>
      <c r="BC109" s="31">
        <v>0</v>
      </c>
      <c r="BD109" s="31">
        <v>0</v>
      </c>
      <c r="BE109" s="31">
        <v>0</v>
      </c>
      <c r="BF109" s="31">
        <v>0</v>
      </c>
      <c r="BG109" s="31">
        <v>0</v>
      </c>
      <c r="BH109" s="31">
        <v>993.03</v>
      </c>
      <c r="BI109" s="31">
        <v>0</v>
      </c>
      <c r="BJ109" s="32">
        <f t="shared" si="23"/>
        <v>993.03</v>
      </c>
      <c r="BK109" s="41">
        <f>BJ109+AM109+AL109+'11-2025'!$N109+AN109+AO109</f>
        <v>3493.0299999999997</v>
      </c>
      <c r="BL109" s="34">
        <f>'11-2025'!$O109</f>
        <v>0</v>
      </c>
      <c r="BM109" s="34">
        <f t="shared" si="12"/>
        <v>0</v>
      </c>
      <c r="BN109" s="34">
        <f t="shared" si="13"/>
        <v>0</v>
      </c>
      <c r="BO109" s="34">
        <f t="shared" si="21"/>
        <v>1666.6666666666667</v>
      </c>
      <c r="BP109" s="35">
        <f t="shared" si="14"/>
        <v>1826.363333333333</v>
      </c>
      <c r="BQ109" s="34">
        <f>IFERROR(BP109/'11-2025'!$J109,0)*12</f>
        <v>21916.359999999997</v>
      </c>
      <c r="BR109" s="34">
        <f>IF(BQ109&lt;=40000,0,
IF(BQ109&lt;=55000,(BQ109-40000)*10%,
IF(BQ109&lt;=70000,(BQ109-55000)*15%+1500,
IF(BQ109&lt;=200000,(BQ109-70000)*20%+1500+2250,
IF(BQ109&lt;=400000,(BQ109-200000)*22.5%+1500+2250+26000,
IF(BQ109&lt;=600000,(BQ109-400000)*25%+1500+2250+26000+45000,
IF(AND(BQ109&gt;600000,BQ109&lt;=1200000),(BQ109-400000)*25%+1500+2250+26000+45000
+IFERROR(LOOKUP(BQ109,{600001;700001;800001;900001},{4000;6750;10250;15250}),0),IF(BQ109&gt;1200000,((BQ109-1200000)*27.5%)+300000,0)
)))))))</f>
        <v>0</v>
      </c>
      <c r="BS109" s="32">
        <f>(BR109/12*'11-2025'!$J109)</f>
        <v>0</v>
      </c>
      <c r="BT109" s="33">
        <f>BS109-'11-2025'!$V109</f>
        <v>0</v>
      </c>
      <c r="BU109" s="32">
        <f>IFERROR(+'11-2025'!$W109+AL109+AM109+BJ109-'11-2025'!$AJ109-BT109+AN109+AO109,"")-AL109+AP109+AQ109</f>
        <v>3493.0299999999997</v>
      </c>
      <c r="BV109" s="36"/>
      <c r="BW109" s="37"/>
      <c r="BX109" s="37">
        <f t="shared" si="22"/>
        <v>3493.0299999999997</v>
      </c>
      <c r="BY109" s="37"/>
    </row>
    <row r="110" spans="1:77" s="75" customFormat="1" x14ac:dyDescent="0.25">
      <c r="A110" s="44">
        <v>674</v>
      </c>
      <c r="B110" s="40" t="s">
        <v>220</v>
      </c>
      <c r="C110" s="40" t="s">
        <v>71</v>
      </c>
      <c r="D110" s="40" t="s">
        <v>77</v>
      </c>
      <c r="E110" s="40" t="s">
        <v>78</v>
      </c>
      <c r="F110" s="40" t="s">
        <v>160</v>
      </c>
      <c r="G110" s="61">
        <v>45818</v>
      </c>
      <c r="H110" s="61">
        <v>45901</v>
      </c>
      <c r="I110" s="62">
        <v>29805151401837</v>
      </c>
      <c r="J110" s="63">
        <v>1</v>
      </c>
      <c r="K110" s="63">
        <v>3800</v>
      </c>
      <c r="L110" s="63"/>
      <c r="M110" s="64"/>
      <c r="N110" s="63">
        <f>SUM('11-2025'!$K110:$M110)</f>
        <v>3800</v>
      </c>
      <c r="O110" s="63"/>
      <c r="P110" s="63">
        <f t="shared" si="15"/>
        <v>0</v>
      </c>
      <c r="Q110" s="63">
        <f t="shared" si="16"/>
        <v>0</v>
      </c>
      <c r="R110" s="63">
        <v>1666.6666666666667</v>
      </c>
      <c r="S110" s="65">
        <f t="shared" si="17"/>
        <v>2133.333333333333</v>
      </c>
      <c r="T110" s="63">
        <f t="shared" si="18"/>
        <v>25599.999999999996</v>
      </c>
      <c r="U110" s="63">
        <f>IF(T110&lt;=40000,0,
IF(T110&lt;=55000,(T110-40000)*10%,
IF(T110&lt;=70000,(T110-55000)*15%+1500,
IF(T110&lt;=200000,(T110-70000)*20%+1500+2250,
IF(T110&lt;=400000,(T110-200000)*22.5%+1500+2250+26000,
IF(T110&lt;=600000,(T110-400000)*25%+1500+2250+26000+45000,
IF(AND(T110&gt;600000,T110&lt;=1200000),(T110-400000)*25%+1500+2250+26000+45000
+IFERROR(LOOKUP(T110,{600001;700001;800001;900001},{4000;6750;10250;15250}),0),IF(T110&gt;1200000,((T110-1200000)*27.5%)+300000,0)
)))))))</f>
        <v>0</v>
      </c>
      <c r="V110" s="63">
        <f t="shared" si="19"/>
        <v>0</v>
      </c>
      <c r="W110" s="66">
        <f>+'11-2025'!$S110-'11-2025'!$V110+'11-2025'!$R110</f>
        <v>3800</v>
      </c>
      <c r="X110" s="66">
        <f t="shared" si="20"/>
        <v>126.66666666666667</v>
      </c>
      <c r="Y110" s="67"/>
      <c r="Z110" s="67">
        <f>IFERROR(+'11-2025'!$X110*'11-2025'!$Y110,"")</f>
        <v>0</v>
      </c>
      <c r="AA110" s="67"/>
      <c r="AB110" s="67">
        <f>IFERROR(+'11-2025'!$X110*'11-2025'!$AA110,"")</f>
        <v>0</v>
      </c>
      <c r="AC110" s="67">
        <v>30</v>
      </c>
      <c r="AD110" s="67">
        <f>IFERROR(+'11-2025'!$X110*'11-2025'!$AC110,"")</f>
        <v>3800</v>
      </c>
      <c r="AE110" s="67"/>
      <c r="AF110" s="67">
        <f>IFERROR(+'11-2025'!$X110*'11-2025'!$AE110,"")</f>
        <v>0</v>
      </c>
      <c r="AG110" s="67"/>
      <c r="AH110" s="67">
        <f>IFERROR(+'11-2025'!$X110*'11-2025'!$AG110,"")</f>
        <v>0</v>
      </c>
      <c r="AI110" s="29">
        <v>0</v>
      </c>
      <c r="AJ110" s="67">
        <f>IFERROR('11-2025'!$Z110+'11-2025'!$AB110+'11-2025'!$AD110+'11-2025'!$AF110+'11-2025'!$AH110+'11-2025'!$AI110,"")</f>
        <v>3800</v>
      </c>
      <c r="AK110" s="68">
        <f>IFERROR('11-2025'!$W110-'11-2025'!$AJ110,"")</f>
        <v>0</v>
      </c>
      <c r="AL110" s="69"/>
      <c r="AM110" s="69"/>
      <c r="AN110" s="69"/>
      <c r="AO110" s="69"/>
      <c r="AP110" s="69"/>
      <c r="AQ110" s="69"/>
      <c r="AR110" s="31">
        <v>0</v>
      </c>
      <c r="AS110" s="31">
        <v>0</v>
      </c>
      <c r="AT110" s="31">
        <v>0</v>
      </c>
      <c r="AU110" s="31">
        <v>0</v>
      </c>
      <c r="AV110" s="31">
        <v>0</v>
      </c>
      <c r="AW110" s="31">
        <v>0</v>
      </c>
      <c r="AX110" s="31">
        <v>0</v>
      </c>
      <c r="AY110" s="31">
        <v>0</v>
      </c>
      <c r="AZ110" s="31">
        <v>0</v>
      </c>
      <c r="BA110" s="31">
        <v>0</v>
      </c>
      <c r="BB110" s="31">
        <v>0</v>
      </c>
      <c r="BC110" s="31">
        <v>0</v>
      </c>
      <c r="BD110" s="31">
        <v>0</v>
      </c>
      <c r="BE110" s="31">
        <v>0</v>
      </c>
      <c r="BF110" s="31">
        <v>0</v>
      </c>
      <c r="BG110" s="31">
        <v>0</v>
      </c>
      <c r="BH110" s="31">
        <v>0</v>
      </c>
      <c r="BI110" s="31">
        <v>0</v>
      </c>
      <c r="BJ110" s="39">
        <f t="shared" si="23"/>
        <v>0</v>
      </c>
      <c r="BK110" s="77">
        <f>BJ110+AM110+AL110+'11-2025'!$N110+AN110+AO110</f>
        <v>3800</v>
      </c>
      <c r="BL110" s="71">
        <f>'11-2025'!$O110</f>
        <v>0</v>
      </c>
      <c r="BM110" s="71">
        <f t="shared" si="12"/>
        <v>0</v>
      </c>
      <c r="BN110" s="71">
        <f t="shared" si="13"/>
        <v>0</v>
      </c>
      <c r="BO110" s="71">
        <f t="shared" si="21"/>
        <v>1666.6666666666667</v>
      </c>
      <c r="BP110" s="72">
        <f t="shared" si="14"/>
        <v>2133.333333333333</v>
      </c>
      <c r="BQ110" s="71">
        <f>IFERROR(BP110/'11-2025'!$J110,0)*12</f>
        <v>25599.999999999996</v>
      </c>
      <c r="BR110" s="71">
        <f>IF(BQ110&lt;=40000,0,
IF(BQ110&lt;=55000,(BQ110-40000)*10%,
IF(BQ110&lt;=70000,(BQ110-55000)*15%+1500,
IF(BQ110&lt;=200000,(BQ110-70000)*20%+1500+2250,
IF(BQ110&lt;=400000,(BQ110-200000)*22.5%+1500+2250+26000,
IF(BQ110&lt;=600000,(BQ110-400000)*25%+1500+2250+26000+45000,
IF(AND(BQ110&gt;600000,BQ110&lt;=1200000),(BQ110-400000)*25%+1500+2250+26000+45000
+IFERROR(LOOKUP(BQ110,{600001;700001;800001;900001},{4000;6750;10250;15250}),0),IF(BQ110&gt;1200000,((BQ110-1200000)*27.5%)+300000,0)
)))))))</f>
        <v>0</v>
      </c>
      <c r="BS110" s="39">
        <f>(BR110/12*'11-2025'!$J110)</f>
        <v>0</v>
      </c>
      <c r="BT110" s="70">
        <f>BS110-'11-2025'!$V110</f>
        <v>0</v>
      </c>
      <c r="BU110" s="39">
        <f>IFERROR(+'11-2025'!$W110+AL110+AM110+BJ110-'11-2025'!$AJ110-BT110+AN110+AO110,"")-AL110+AP110+AQ110</f>
        <v>0</v>
      </c>
      <c r="BV110" s="73"/>
      <c r="BW110" s="74"/>
      <c r="BX110" s="74">
        <f t="shared" si="22"/>
        <v>0</v>
      </c>
      <c r="BY110" s="74"/>
    </row>
    <row r="111" spans="1:77" x14ac:dyDescent="0.25">
      <c r="A111" s="43">
        <v>675</v>
      </c>
      <c r="B111" s="22" t="s">
        <v>221</v>
      </c>
      <c r="C111" s="22" t="s">
        <v>71</v>
      </c>
      <c r="D111" s="22" t="s">
        <v>77</v>
      </c>
      <c r="E111" s="22" t="s">
        <v>78</v>
      </c>
      <c r="F111" s="22" t="s">
        <v>160</v>
      </c>
      <c r="G111" s="23">
        <v>45818</v>
      </c>
      <c r="H111" s="22"/>
      <c r="I111" s="24">
        <v>30101012702316</v>
      </c>
      <c r="J111" s="25">
        <v>1</v>
      </c>
      <c r="K111" s="25">
        <v>3800</v>
      </c>
      <c r="L111" s="25"/>
      <c r="M111" s="26"/>
      <c r="N111" s="25">
        <f>SUM('11-2025'!$K111:$M111)</f>
        <v>3800</v>
      </c>
      <c r="O111" s="25"/>
      <c r="P111" s="25">
        <f t="shared" si="15"/>
        <v>0</v>
      </c>
      <c r="Q111" s="25">
        <f t="shared" si="16"/>
        <v>0</v>
      </c>
      <c r="R111" s="25">
        <v>1666.6666666666667</v>
      </c>
      <c r="S111" s="27">
        <f t="shared" si="17"/>
        <v>2133.333333333333</v>
      </c>
      <c r="T111" s="25">
        <f t="shared" si="18"/>
        <v>25599.999999999996</v>
      </c>
      <c r="U111" s="25">
        <f>IF(T111&lt;=40000,0,
IF(T111&lt;=55000,(T111-40000)*10%,
IF(T111&lt;=70000,(T111-55000)*15%+1500,
IF(T111&lt;=200000,(T111-70000)*20%+1500+2250,
IF(T111&lt;=400000,(T111-200000)*22.5%+1500+2250+26000,
IF(T111&lt;=600000,(T111-400000)*25%+1500+2250+26000+45000,
IF(AND(T111&gt;600000,T111&lt;=1200000),(T111-400000)*25%+1500+2250+26000+45000
+IFERROR(LOOKUP(T111,{600001;700001;800001;900001},{4000;6750;10250;15250}),0),IF(T111&gt;1200000,((T111-1200000)*27.5%)+300000,0)
)))))))</f>
        <v>0</v>
      </c>
      <c r="V111" s="25">
        <f t="shared" si="19"/>
        <v>0</v>
      </c>
      <c r="W111" s="28">
        <f>+'11-2025'!$S111-'11-2025'!$V111+'11-2025'!$R111</f>
        <v>3800</v>
      </c>
      <c r="X111" s="28">
        <f t="shared" si="20"/>
        <v>126.66666666666667</v>
      </c>
      <c r="Y111" s="29">
        <v>0</v>
      </c>
      <c r="Z111" s="29">
        <f>IFERROR(+'11-2025'!$X111*'11-2025'!$Y111,"")</f>
        <v>0</v>
      </c>
      <c r="AA111" s="29">
        <v>2</v>
      </c>
      <c r="AB111" s="29">
        <f>IFERROR(+'11-2025'!$X111*'11-2025'!$AA111,"")</f>
        <v>253.33333333333334</v>
      </c>
      <c r="AC111" s="29">
        <v>0.5</v>
      </c>
      <c r="AD111" s="29">
        <f>IFERROR(+'11-2025'!$X111*'11-2025'!$AC111,"")</f>
        <v>63.333333333333336</v>
      </c>
      <c r="AE111" s="29">
        <v>2</v>
      </c>
      <c r="AF111" s="29">
        <f>IFERROR(+'11-2025'!$X111*'11-2025'!$AE111,"")</f>
        <v>253.33333333333334</v>
      </c>
      <c r="AG111" s="29">
        <v>0.5</v>
      </c>
      <c r="AH111" s="29">
        <f>IFERROR(+'11-2025'!$X111*'11-2025'!$AG111,"")</f>
        <v>63.333333333333336</v>
      </c>
      <c r="AI111" s="29">
        <v>0</v>
      </c>
      <c r="AJ111" s="29">
        <f>IFERROR('11-2025'!$Z111+'11-2025'!$AB111+'11-2025'!$AD111+'11-2025'!$AF111+'11-2025'!$AH111+'11-2025'!$AI111,"")</f>
        <v>633.33333333333337</v>
      </c>
      <c r="AK111" s="30">
        <f>IFERROR('11-2025'!$W111-'11-2025'!$AJ111,"")</f>
        <v>3166.6666666666665</v>
      </c>
      <c r="AL111" s="31"/>
      <c r="AM111" s="31"/>
      <c r="AN111" s="31"/>
      <c r="AO111" s="31">
        <v>0</v>
      </c>
      <c r="AP111" s="31"/>
      <c r="AQ111" s="31"/>
      <c r="AR111" s="31">
        <v>0</v>
      </c>
      <c r="AS111" s="31">
        <v>0</v>
      </c>
      <c r="AT111" s="31">
        <v>0</v>
      </c>
      <c r="AU111" s="31">
        <v>0</v>
      </c>
      <c r="AV111" s="31">
        <v>0</v>
      </c>
      <c r="AW111" s="31">
        <v>0</v>
      </c>
      <c r="AX111" s="31">
        <v>725</v>
      </c>
      <c r="AY111" s="31">
        <v>75</v>
      </c>
      <c r="AZ111" s="31">
        <v>0</v>
      </c>
      <c r="BA111" s="31">
        <v>0</v>
      </c>
      <c r="BB111" s="31">
        <v>25</v>
      </c>
      <c r="BC111" s="31">
        <v>0</v>
      </c>
      <c r="BD111" s="31">
        <v>0</v>
      </c>
      <c r="BE111" s="31">
        <v>0</v>
      </c>
      <c r="BF111" s="31">
        <v>0</v>
      </c>
      <c r="BG111" s="31">
        <v>0</v>
      </c>
      <c r="BH111" s="31">
        <v>0</v>
      </c>
      <c r="BI111" s="31">
        <v>540</v>
      </c>
      <c r="BJ111" s="32">
        <f t="shared" si="23"/>
        <v>1365</v>
      </c>
      <c r="BK111" s="41">
        <f>BJ111+AM111+AL111+'11-2025'!$N111+AN111+AO111</f>
        <v>5165</v>
      </c>
      <c r="BL111" s="34">
        <f>'11-2025'!$O111</f>
        <v>0</v>
      </c>
      <c r="BM111" s="34">
        <f t="shared" si="12"/>
        <v>0</v>
      </c>
      <c r="BN111" s="34">
        <f t="shared" si="13"/>
        <v>0</v>
      </c>
      <c r="BO111" s="34">
        <f t="shared" si="21"/>
        <v>1666.6666666666667</v>
      </c>
      <c r="BP111" s="35">
        <f t="shared" si="14"/>
        <v>3498.333333333333</v>
      </c>
      <c r="BQ111" s="34">
        <f>IFERROR(BP111/'11-2025'!$J111,0)*12</f>
        <v>41980</v>
      </c>
      <c r="BR111" s="34">
        <f>IF(BQ111&lt;=40000,0,
IF(BQ111&lt;=55000,(BQ111-40000)*10%,
IF(BQ111&lt;=70000,(BQ111-55000)*15%+1500,
IF(BQ111&lt;=200000,(BQ111-70000)*20%+1500+2250,
IF(BQ111&lt;=400000,(BQ111-200000)*22.5%+1500+2250+26000,
IF(BQ111&lt;=600000,(BQ111-400000)*25%+1500+2250+26000+45000,
IF(AND(BQ111&gt;600000,BQ111&lt;=1200000),(BQ111-400000)*25%+1500+2250+26000+45000
+IFERROR(LOOKUP(BQ111,{600001;700001;800001;900001},{4000;6750;10250;15250}),0),IF(BQ111&gt;1200000,((BQ111-1200000)*27.5%)+300000,0)
)))))))</f>
        <v>198</v>
      </c>
      <c r="BS111" s="32">
        <f>(BR111/12*'11-2025'!$J111)</f>
        <v>16.5</v>
      </c>
      <c r="BT111" s="33">
        <f>BS111-'11-2025'!$V111</f>
        <v>16.5</v>
      </c>
      <c r="BU111" s="32">
        <f>IFERROR(+'11-2025'!$W111+AL111+AM111+BJ111-'11-2025'!$AJ111-BT111+AN111+AO111,"")-AL111+AP111+AQ111</f>
        <v>4515.166666666667</v>
      </c>
      <c r="BV111" s="36"/>
      <c r="BW111" s="37"/>
      <c r="BX111" s="37">
        <f t="shared" si="22"/>
        <v>4515.166666666667</v>
      </c>
      <c r="BY111" s="37"/>
    </row>
    <row r="112" spans="1:77" x14ac:dyDescent="0.25">
      <c r="A112" s="44">
        <v>354</v>
      </c>
      <c r="B112" s="22" t="s">
        <v>222</v>
      </c>
      <c r="C112" s="22" t="s">
        <v>81</v>
      </c>
      <c r="D112" s="22" t="s">
        <v>72</v>
      </c>
      <c r="E112" s="22" t="s">
        <v>93</v>
      </c>
      <c r="F112" s="22" t="s">
        <v>102</v>
      </c>
      <c r="G112" s="23">
        <v>45843</v>
      </c>
      <c r="H112" s="23">
        <v>45959</v>
      </c>
      <c r="I112" s="24"/>
      <c r="J112" s="25">
        <v>1</v>
      </c>
      <c r="K112" s="25">
        <v>2700</v>
      </c>
      <c r="L112" s="25"/>
      <c r="M112" s="26"/>
      <c r="N112" s="25">
        <f>SUM('11-2025'!$K112:$M112)</f>
        <v>2700</v>
      </c>
      <c r="O112" s="25"/>
      <c r="P112" s="25">
        <f t="shared" si="15"/>
        <v>0</v>
      </c>
      <c r="Q112" s="25">
        <f t="shared" si="16"/>
        <v>0</v>
      </c>
      <c r="R112" s="25">
        <v>1666.6666666666667</v>
      </c>
      <c r="S112" s="27">
        <f t="shared" si="17"/>
        <v>1033.3333333333333</v>
      </c>
      <c r="T112" s="25">
        <f t="shared" si="18"/>
        <v>12400</v>
      </c>
      <c r="U112" s="25">
        <f>IF(T112&lt;=40000,0,
IF(T112&lt;=55000,(T112-40000)*10%,
IF(T112&lt;=70000,(T112-55000)*15%+1500,
IF(T112&lt;=200000,(T112-70000)*20%+1500+2250,
IF(T112&lt;=400000,(T112-200000)*22.5%+1500+2250+26000,
IF(T112&lt;=600000,(T112-400000)*25%+1500+2250+26000+45000,
IF(AND(T112&gt;600000,T112&lt;=1200000),(T112-400000)*25%+1500+2250+26000+45000
+IFERROR(LOOKUP(T112,{600001;700001;800001;900001},{4000;6750;10250;15250}),0),IF(T112&gt;1200000,((T112-1200000)*27.5%)+300000,0)
)))))))</f>
        <v>0</v>
      </c>
      <c r="V112" s="25">
        <f t="shared" si="19"/>
        <v>0</v>
      </c>
      <c r="W112" s="28">
        <f>+'11-2025'!$S112-'11-2025'!$V112+'11-2025'!$R112</f>
        <v>2700</v>
      </c>
      <c r="X112" s="28">
        <f t="shared" si="20"/>
        <v>90</v>
      </c>
      <c r="Y112" s="29"/>
      <c r="Z112" s="29">
        <f>IFERROR(+'11-2025'!$X112*'11-2025'!$Y112,"")</f>
        <v>0</v>
      </c>
      <c r="AA112" s="29">
        <v>2</v>
      </c>
      <c r="AB112" s="29">
        <f>IFERROR(+'11-2025'!$X112*'11-2025'!$AA112,"")</f>
        <v>180</v>
      </c>
      <c r="AC112" s="29">
        <v>26</v>
      </c>
      <c r="AD112" s="29">
        <f>IFERROR(+'11-2025'!$X112*'11-2025'!$AC112,"")</f>
        <v>2340</v>
      </c>
      <c r="AE112" s="29">
        <v>1.5</v>
      </c>
      <c r="AF112" s="29">
        <f>IFERROR(+'11-2025'!$X112*'11-2025'!$AE112,"")</f>
        <v>135</v>
      </c>
      <c r="AG112" s="29"/>
      <c r="AH112" s="29">
        <f>IFERROR(+'11-2025'!$X112*'11-2025'!$AG112,"")</f>
        <v>0</v>
      </c>
      <c r="AI112" s="29">
        <v>0</v>
      </c>
      <c r="AJ112" s="29">
        <f>IFERROR('11-2025'!$Z112+'11-2025'!$AB112+'11-2025'!$AD112+'11-2025'!$AF112+'11-2025'!$AH112+'11-2025'!$AI112,"")</f>
        <v>2655</v>
      </c>
      <c r="AK112" s="30">
        <f>IFERROR('11-2025'!$W112-'11-2025'!$AJ112,"")</f>
        <v>45</v>
      </c>
      <c r="AL112" s="31"/>
      <c r="AM112" s="31"/>
      <c r="AN112" s="31"/>
      <c r="AO112" s="31"/>
      <c r="AP112" s="31"/>
      <c r="AQ112" s="31"/>
      <c r="AR112" s="31">
        <v>988.49225000000001</v>
      </c>
      <c r="AS112" s="31">
        <v>0</v>
      </c>
      <c r="AT112" s="31">
        <v>0</v>
      </c>
      <c r="AU112" s="31">
        <v>0</v>
      </c>
      <c r="AV112" s="31">
        <v>0</v>
      </c>
      <c r="AW112" s="31">
        <v>0</v>
      </c>
      <c r="AX112" s="31">
        <v>0</v>
      </c>
      <c r="AY112" s="31">
        <v>0</v>
      </c>
      <c r="AZ112" s="31">
        <v>0</v>
      </c>
      <c r="BA112" s="31">
        <v>0</v>
      </c>
      <c r="BB112" s="31">
        <v>0</v>
      </c>
      <c r="BC112" s="31">
        <v>0</v>
      </c>
      <c r="BD112" s="31">
        <v>0</v>
      </c>
      <c r="BE112" s="31">
        <v>0</v>
      </c>
      <c r="BF112" s="31">
        <v>0</v>
      </c>
      <c r="BG112" s="31">
        <v>0</v>
      </c>
      <c r="BH112" s="31">
        <v>0</v>
      </c>
      <c r="BI112" s="31">
        <v>0</v>
      </c>
      <c r="BJ112" s="32">
        <f t="shared" si="23"/>
        <v>988.49225000000001</v>
      </c>
      <c r="BK112" s="41">
        <f>BJ112+AM112+AL112+'11-2025'!$N112+AN112+AO112</f>
        <v>3688.4922500000002</v>
      </c>
      <c r="BL112" s="34">
        <f>'11-2025'!$O112</f>
        <v>0</v>
      </c>
      <c r="BM112" s="34">
        <f t="shared" si="12"/>
        <v>0</v>
      </c>
      <c r="BN112" s="34">
        <f t="shared" si="13"/>
        <v>0</v>
      </c>
      <c r="BO112" s="34">
        <f t="shared" si="21"/>
        <v>1666.6666666666667</v>
      </c>
      <c r="BP112" s="35">
        <f t="shared" si="14"/>
        <v>2021.8255833333335</v>
      </c>
      <c r="BQ112" s="34">
        <f>IFERROR(BP112/'11-2025'!$J112,0)*12</f>
        <v>24261.907000000003</v>
      </c>
      <c r="BR112" s="34">
        <f>IF(BQ112&lt;=40000,0,
IF(BQ112&lt;=55000,(BQ112-40000)*10%,
IF(BQ112&lt;=70000,(BQ112-55000)*15%+1500,
IF(BQ112&lt;=200000,(BQ112-70000)*20%+1500+2250,
IF(BQ112&lt;=400000,(BQ112-200000)*22.5%+1500+2250+26000,
IF(BQ112&lt;=600000,(BQ112-400000)*25%+1500+2250+26000+45000,
IF(AND(BQ112&gt;600000,BQ112&lt;=1200000),(BQ112-400000)*25%+1500+2250+26000+45000
+IFERROR(LOOKUP(BQ112,{600001;700001;800001;900001},{4000;6750;10250;15250}),0),IF(BQ112&gt;1200000,((BQ112-1200000)*27.5%)+300000,0)
)))))))</f>
        <v>0</v>
      </c>
      <c r="BS112" s="32">
        <f>(BR112/12*'11-2025'!$J112)</f>
        <v>0</v>
      </c>
      <c r="BT112" s="33">
        <f>BS112-'11-2025'!$V112</f>
        <v>0</v>
      </c>
      <c r="BU112" s="32">
        <f>IFERROR(+'11-2025'!$W112+AL112+AM112+BJ112-'11-2025'!$AJ112-BT112+AN112+AO112,"")-AL112+AP112+AQ112</f>
        <v>1033.4922500000002</v>
      </c>
      <c r="BV112" s="36"/>
      <c r="BW112" s="37"/>
      <c r="BX112" s="37">
        <f t="shared" si="22"/>
        <v>1033.4922500000002</v>
      </c>
      <c r="BY112" s="37"/>
    </row>
    <row r="113" spans="1:77" x14ac:dyDescent="0.25">
      <c r="A113" s="43">
        <v>688</v>
      </c>
      <c r="B113" s="22" t="s">
        <v>223</v>
      </c>
      <c r="C113" s="22" t="s">
        <v>106</v>
      </c>
      <c r="D113" s="22" t="s">
        <v>72</v>
      </c>
      <c r="E113" s="22" t="s">
        <v>110</v>
      </c>
      <c r="F113" s="22" t="s">
        <v>133</v>
      </c>
      <c r="G113" s="23">
        <v>45903</v>
      </c>
      <c r="H113" s="22"/>
      <c r="I113" s="24"/>
      <c r="J113" s="25">
        <v>1</v>
      </c>
      <c r="K113" s="25">
        <v>2500</v>
      </c>
      <c r="L113" s="25"/>
      <c r="M113" s="26"/>
      <c r="N113" s="25">
        <f>SUM('11-2025'!$K113:$M113)</f>
        <v>2500</v>
      </c>
      <c r="O113" s="25"/>
      <c r="P113" s="25">
        <f t="shared" si="15"/>
        <v>0</v>
      </c>
      <c r="Q113" s="25">
        <f t="shared" si="16"/>
        <v>0</v>
      </c>
      <c r="R113" s="25">
        <v>1666.6666666666667</v>
      </c>
      <c r="S113" s="27">
        <f t="shared" si="17"/>
        <v>833.33333333333326</v>
      </c>
      <c r="T113" s="25">
        <f t="shared" si="18"/>
        <v>10000</v>
      </c>
      <c r="U113" s="25">
        <f>IF(T113&lt;=40000,0,
IF(T113&lt;=55000,(T113-40000)*10%,
IF(T113&lt;=70000,(T113-55000)*15%+1500,
IF(T113&lt;=200000,(T113-70000)*20%+1500+2250,
IF(T113&lt;=400000,(T113-200000)*22.5%+1500+2250+26000,
IF(T113&lt;=600000,(T113-400000)*25%+1500+2250+26000+45000,
IF(AND(T113&gt;600000,T113&lt;=1200000),(T113-400000)*25%+1500+2250+26000+45000
+IFERROR(LOOKUP(T113,{600001;700001;800001;900001},{4000;6750;10250;15250}),0),IF(T113&gt;1200000,((T113-1200000)*27.5%)+300000,0)
)))))))</f>
        <v>0</v>
      </c>
      <c r="V113" s="25">
        <f t="shared" si="19"/>
        <v>0</v>
      </c>
      <c r="W113" s="28">
        <f>+'11-2025'!$S113-'11-2025'!$V113+'11-2025'!$R113</f>
        <v>2500</v>
      </c>
      <c r="X113" s="28">
        <f t="shared" si="20"/>
        <v>83.333333333333329</v>
      </c>
      <c r="Y113" s="29">
        <v>0</v>
      </c>
      <c r="Z113" s="29">
        <f>IFERROR(+'11-2025'!$X113*'11-2025'!$Y113,"")</f>
        <v>0</v>
      </c>
      <c r="AA113" s="29">
        <v>0</v>
      </c>
      <c r="AB113" s="29">
        <f>IFERROR(+'11-2025'!$X113*'11-2025'!$AA113,"")</f>
        <v>0</v>
      </c>
      <c r="AC113" s="29">
        <v>0</v>
      </c>
      <c r="AD113" s="29">
        <f>IFERROR(+'11-2025'!$X113*'11-2025'!$AC113,"")</f>
        <v>0</v>
      </c>
      <c r="AE113" s="29">
        <v>0</v>
      </c>
      <c r="AF113" s="29">
        <f>IFERROR(+'11-2025'!$X113*'11-2025'!$AE113,"")</f>
        <v>0</v>
      </c>
      <c r="AG113" s="29">
        <v>0</v>
      </c>
      <c r="AH113" s="29">
        <f>IFERROR(+'11-2025'!$X113*'11-2025'!$AG113,"")</f>
        <v>0</v>
      </c>
      <c r="AI113" s="29">
        <v>0</v>
      </c>
      <c r="AJ113" s="29">
        <f>IFERROR('11-2025'!$Z113+'11-2025'!$AB113+'11-2025'!$AD113+'11-2025'!$AF113+'11-2025'!$AH113+'11-2025'!$AI113,"")</f>
        <v>0</v>
      </c>
      <c r="AK113" s="30">
        <f>IFERROR('11-2025'!$W113-'11-2025'!$AJ113,"")</f>
        <v>2500</v>
      </c>
      <c r="AL113" s="31"/>
      <c r="AM113" s="31"/>
      <c r="AN113" s="31"/>
      <c r="AO113" s="31">
        <v>0</v>
      </c>
      <c r="AP113" s="31"/>
      <c r="AQ113" s="31"/>
      <c r="AR113" s="31">
        <v>0</v>
      </c>
      <c r="AS113" s="31">
        <v>0</v>
      </c>
      <c r="AT113" s="31">
        <v>0</v>
      </c>
      <c r="AU113" s="31">
        <v>0</v>
      </c>
      <c r="AV113" s="31">
        <v>0</v>
      </c>
      <c r="AW113" s="31">
        <v>0</v>
      </c>
      <c r="AX113" s="31">
        <v>0</v>
      </c>
      <c r="AY113" s="31">
        <v>0</v>
      </c>
      <c r="AZ113" s="31">
        <v>0</v>
      </c>
      <c r="BA113" s="31">
        <v>0</v>
      </c>
      <c r="BB113" s="31">
        <v>0</v>
      </c>
      <c r="BC113" s="31">
        <v>0</v>
      </c>
      <c r="BD113" s="31">
        <v>0</v>
      </c>
      <c r="BE113" s="31">
        <v>3125.1800000000003</v>
      </c>
      <c r="BF113" s="31">
        <v>0</v>
      </c>
      <c r="BG113" s="31">
        <v>0</v>
      </c>
      <c r="BH113" s="31">
        <v>0</v>
      </c>
      <c r="BI113" s="31">
        <v>0</v>
      </c>
      <c r="BJ113" s="32">
        <f t="shared" si="23"/>
        <v>3125.1800000000003</v>
      </c>
      <c r="BK113" s="41">
        <f>BJ113+AM113+AL113+'11-2025'!$N113+AN113+AO113</f>
        <v>5625.18</v>
      </c>
      <c r="BL113" s="34">
        <f>'11-2025'!$O113</f>
        <v>0</v>
      </c>
      <c r="BM113" s="34">
        <f t="shared" si="12"/>
        <v>0</v>
      </c>
      <c r="BN113" s="34">
        <f t="shared" si="13"/>
        <v>0</v>
      </c>
      <c r="BO113" s="34">
        <f t="shared" si="21"/>
        <v>1666.6666666666667</v>
      </c>
      <c r="BP113" s="35">
        <f t="shared" si="14"/>
        <v>3958.5133333333333</v>
      </c>
      <c r="BQ113" s="34">
        <f>IFERROR(BP113/'11-2025'!$J113,0)*12</f>
        <v>47502.16</v>
      </c>
      <c r="BR113" s="34">
        <f>IF(BQ113&lt;=40000,0,
IF(BQ113&lt;=55000,(BQ113-40000)*10%,
IF(BQ113&lt;=70000,(BQ113-55000)*15%+1500,
IF(BQ113&lt;=200000,(BQ113-70000)*20%+1500+2250,
IF(BQ113&lt;=400000,(BQ113-200000)*22.5%+1500+2250+26000,
IF(BQ113&lt;=600000,(BQ113-400000)*25%+1500+2250+26000+45000,
IF(AND(BQ113&gt;600000,BQ113&lt;=1200000),(BQ113-400000)*25%+1500+2250+26000+45000
+IFERROR(LOOKUP(BQ113,{600001;700001;800001;900001},{4000;6750;10250;15250}),0),IF(BQ113&gt;1200000,((BQ113-1200000)*27.5%)+300000,0)
)))))))</f>
        <v>750.21600000000035</v>
      </c>
      <c r="BS113" s="32">
        <f>(BR113/12*'11-2025'!$J113)</f>
        <v>62.518000000000029</v>
      </c>
      <c r="BT113" s="33">
        <f>BS113-'11-2025'!$V113</f>
        <v>62.518000000000029</v>
      </c>
      <c r="BU113" s="32">
        <f>IFERROR(+'11-2025'!$W113+AL113+AM113+BJ113-'11-2025'!$AJ113-BT113+AN113+AO113,"")-AL113+AP113+AQ113</f>
        <v>5562.6620000000003</v>
      </c>
      <c r="BV113" s="36"/>
      <c r="BW113" s="37"/>
      <c r="BX113" s="37">
        <f t="shared" si="22"/>
        <v>5562.6620000000003</v>
      </c>
      <c r="BY113" s="37"/>
    </row>
    <row r="114" spans="1:77" s="75" customFormat="1" x14ac:dyDescent="0.25">
      <c r="A114" s="44">
        <v>692</v>
      </c>
      <c r="B114" s="40" t="s">
        <v>224</v>
      </c>
      <c r="C114" s="40" t="s">
        <v>81</v>
      </c>
      <c r="D114" s="40" t="s">
        <v>72</v>
      </c>
      <c r="E114" s="40" t="s">
        <v>124</v>
      </c>
      <c r="F114" s="40" t="s">
        <v>102</v>
      </c>
      <c r="G114" s="61">
        <v>45833</v>
      </c>
      <c r="H114" s="40"/>
      <c r="I114" s="62"/>
      <c r="J114" s="63">
        <v>1</v>
      </c>
      <c r="K114" s="63">
        <v>2500</v>
      </c>
      <c r="L114" s="63"/>
      <c r="M114" s="64"/>
      <c r="N114" s="63">
        <f>SUM('11-2025'!$K114:$M114)</f>
        <v>2500</v>
      </c>
      <c r="O114" s="63"/>
      <c r="P114" s="63">
        <f t="shared" si="15"/>
        <v>0</v>
      </c>
      <c r="Q114" s="63">
        <f t="shared" si="16"/>
        <v>0</v>
      </c>
      <c r="R114" s="63">
        <v>1666.6666666666667</v>
      </c>
      <c r="S114" s="65">
        <f t="shared" si="17"/>
        <v>833.33333333333326</v>
      </c>
      <c r="T114" s="63">
        <f t="shared" si="18"/>
        <v>10000</v>
      </c>
      <c r="U114" s="63">
        <f>IF(T114&lt;=40000,0,
IF(T114&lt;=55000,(T114-40000)*10%,
IF(T114&lt;=70000,(T114-55000)*15%+1500,
IF(T114&lt;=200000,(T114-70000)*20%+1500+2250,
IF(T114&lt;=400000,(T114-200000)*22.5%+1500+2250+26000,
IF(T114&lt;=600000,(T114-400000)*25%+1500+2250+26000+45000,
IF(AND(T114&gt;600000,T114&lt;=1200000),(T114-400000)*25%+1500+2250+26000+45000
+IFERROR(LOOKUP(T114,{600001;700001;800001;900001},{4000;6750;10250;15250}),0),IF(T114&gt;1200000,((T114-1200000)*27.5%)+300000,0)
)))))))</f>
        <v>0</v>
      </c>
      <c r="V114" s="63">
        <f t="shared" si="19"/>
        <v>0</v>
      </c>
      <c r="W114" s="66">
        <f>+'11-2025'!$S114-'11-2025'!$V114+'11-2025'!$R114</f>
        <v>2500</v>
      </c>
      <c r="X114" s="66">
        <f t="shared" si="20"/>
        <v>83.333333333333329</v>
      </c>
      <c r="Y114" s="67"/>
      <c r="Z114" s="67">
        <f>IFERROR(+'11-2025'!$X114*'11-2025'!$Y114,"")</f>
        <v>0</v>
      </c>
      <c r="AA114" s="67"/>
      <c r="AB114" s="67">
        <f>IFERROR(+'11-2025'!$X114*'11-2025'!$AA114,"")</f>
        <v>0</v>
      </c>
      <c r="AC114" s="67">
        <v>30</v>
      </c>
      <c r="AD114" s="67">
        <f>IFERROR(+'11-2025'!$X114*'11-2025'!$AC114,"")</f>
        <v>2500</v>
      </c>
      <c r="AE114" s="67"/>
      <c r="AF114" s="67">
        <f>IFERROR(+'11-2025'!$X114*'11-2025'!$AE114,"")</f>
        <v>0</v>
      </c>
      <c r="AG114" s="67"/>
      <c r="AH114" s="67">
        <f>IFERROR(+'11-2025'!$X114*'11-2025'!$AG114,"")</f>
        <v>0</v>
      </c>
      <c r="AI114" s="29">
        <v>0</v>
      </c>
      <c r="AJ114" s="67">
        <f>IFERROR('11-2025'!$Z114+'11-2025'!$AB114+'11-2025'!$AD114+'11-2025'!$AF114+'11-2025'!$AH114+'11-2025'!$AI114,"")</f>
        <v>2500</v>
      </c>
      <c r="AK114" s="68">
        <f>IFERROR('11-2025'!$W114-'11-2025'!$AJ114,"")</f>
        <v>0</v>
      </c>
      <c r="AL114" s="69"/>
      <c r="AM114" s="69"/>
      <c r="AN114" s="69"/>
      <c r="AO114" s="69"/>
      <c r="AP114" s="69"/>
      <c r="AQ114" s="69"/>
      <c r="AR114" s="31">
        <v>0</v>
      </c>
      <c r="AS114" s="31">
        <v>0</v>
      </c>
      <c r="AT114" s="31">
        <v>0</v>
      </c>
      <c r="AU114" s="31">
        <v>0</v>
      </c>
      <c r="AV114" s="31">
        <v>0</v>
      </c>
      <c r="AW114" s="31">
        <v>0</v>
      </c>
      <c r="AX114" s="31">
        <v>0</v>
      </c>
      <c r="AY114" s="31">
        <v>0</v>
      </c>
      <c r="AZ114" s="31">
        <v>0</v>
      </c>
      <c r="BA114" s="31">
        <v>0</v>
      </c>
      <c r="BB114" s="31">
        <v>0</v>
      </c>
      <c r="BC114" s="31">
        <v>0</v>
      </c>
      <c r="BD114" s="31">
        <v>0</v>
      </c>
      <c r="BE114" s="31">
        <v>0</v>
      </c>
      <c r="BF114" s="31">
        <v>0</v>
      </c>
      <c r="BG114" s="31">
        <v>0</v>
      </c>
      <c r="BH114" s="31">
        <v>0</v>
      </c>
      <c r="BI114" s="31">
        <v>0</v>
      </c>
      <c r="BJ114" s="39">
        <f t="shared" si="23"/>
        <v>0</v>
      </c>
      <c r="BK114" s="77">
        <f>BJ114+AM114+AL114+'11-2025'!$N114+AN114+AO114</f>
        <v>2500</v>
      </c>
      <c r="BL114" s="71">
        <f>'11-2025'!$O114</f>
        <v>0</v>
      </c>
      <c r="BM114" s="71">
        <f t="shared" si="12"/>
        <v>0</v>
      </c>
      <c r="BN114" s="71">
        <f t="shared" si="13"/>
        <v>0</v>
      </c>
      <c r="BO114" s="71">
        <f t="shared" si="21"/>
        <v>1666.6666666666667</v>
      </c>
      <c r="BP114" s="72">
        <f t="shared" si="14"/>
        <v>833.33333333333326</v>
      </c>
      <c r="BQ114" s="71">
        <f>IFERROR(BP114/'11-2025'!$J114,0)*12</f>
        <v>10000</v>
      </c>
      <c r="BR114" s="71">
        <f>IF(BQ114&lt;=40000,0,
IF(BQ114&lt;=55000,(BQ114-40000)*10%,
IF(BQ114&lt;=70000,(BQ114-55000)*15%+1500,
IF(BQ114&lt;=200000,(BQ114-70000)*20%+1500+2250,
IF(BQ114&lt;=400000,(BQ114-200000)*22.5%+1500+2250+26000,
IF(BQ114&lt;=600000,(BQ114-400000)*25%+1500+2250+26000+45000,
IF(AND(BQ114&gt;600000,BQ114&lt;=1200000),(BQ114-400000)*25%+1500+2250+26000+45000
+IFERROR(LOOKUP(BQ114,{600001;700001;800001;900001},{4000;6750;10250;15250}),0),IF(BQ114&gt;1200000,((BQ114-1200000)*27.5%)+300000,0)
)))))))</f>
        <v>0</v>
      </c>
      <c r="BS114" s="39">
        <f>(BR114/12*'11-2025'!$J114)</f>
        <v>0</v>
      </c>
      <c r="BT114" s="70">
        <f>BS114-'11-2025'!$V114</f>
        <v>0</v>
      </c>
      <c r="BU114" s="39">
        <f>IFERROR(+'11-2025'!$W114+AL114+AM114+BJ114-'11-2025'!$AJ114-BT114+AN114+AO114,"")-AL114+AP114+AQ114</f>
        <v>0</v>
      </c>
      <c r="BV114" s="73"/>
      <c r="BW114" s="74"/>
      <c r="BX114" s="74">
        <f t="shared" si="22"/>
        <v>0</v>
      </c>
      <c r="BY114" s="74"/>
    </row>
    <row r="115" spans="1:77" x14ac:dyDescent="0.25">
      <c r="A115" s="44">
        <v>695</v>
      </c>
      <c r="B115" s="22" t="s">
        <v>225</v>
      </c>
      <c r="C115" s="22" t="s">
        <v>71</v>
      </c>
      <c r="D115" s="22" t="s">
        <v>72</v>
      </c>
      <c r="E115" s="22" t="s">
        <v>226</v>
      </c>
      <c r="F115" s="22" t="s">
        <v>86</v>
      </c>
      <c r="G115" s="23">
        <v>45965</v>
      </c>
      <c r="H115" s="23">
        <v>45976</v>
      </c>
      <c r="I115" s="24"/>
      <c r="J115" s="25">
        <v>1</v>
      </c>
      <c r="K115" s="25">
        <v>4500</v>
      </c>
      <c r="L115" s="25"/>
      <c r="M115" s="26"/>
      <c r="N115" s="25">
        <f>SUM('11-2025'!$K115:$M115)</f>
        <v>4500</v>
      </c>
      <c r="O115" s="25"/>
      <c r="P115" s="25">
        <f t="shared" si="15"/>
        <v>0</v>
      </c>
      <c r="Q115" s="25">
        <f t="shared" si="16"/>
        <v>0</v>
      </c>
      <c r="R115" s="25">
        <v>1666.6666666666667</v>
      </c>
      <c r="S115" s="27">
        <f t="shared" si="17"/>
        <v>2833.333333333333</v>
      </c>
      <c r="T115" s="25">
        <f t="shared" si="18"/>
        <v>34000</v>
      </c>
      <c r="U115" s="25">
        <f>IF(T115&lt;=40000,0,
IF(T115&lt;=55000,(T115-40000)*10%,
IF(T115&lt;=70000,(T115-55000)*15%+1500,
IF(T115&lt;=200000,(T115-70000)*20%+1500+2250,
IF(T115&lt;=400000,(T115-200000)*22.5%+1500+2250+26000,
IF(T115&lt;=600000,(T115-400000)*25%+1500+2250+26000+45000,
IF(AND(T115&gt;600000,T115&lt;=1200000),(T115-400000)*25%+1500+2250+26000+45000
+IFERROR(LOOKUP(T115,{600001;700001;800001;900001},{4000;6750;10250;15250}),0),IF(T115&gt;1200000,((T115-1200000)*27.5%)+300000,0)
)))))))</f>
        <v>0</v>
      </c>
      <c r="V115" s="25">
        <f t="shared" si="19"/>
        <v>0</v>
      </c>
      <c r="W115" s="28">
        <f>+'11-2025'!$S115-'11-2025'!$V115+'11-2025'!$R115</f>
        <v>4500</v>
      </c>
      <c r="X115" s="28">
        <f t="shared" si="20"/>
        <v>150</v>
      </c>
      <c r="Y115" s="29"/>
      <c r="Z115" s="29">
        <f>IFERROR(+'11-2025'!$X115*'11-2025'!$Y115,"")</f>
        <v>0</v>
      </c>
      <c r="AA115" s="29">
        <v>2</v>
      </c>
      <c r="AB115" s="29">
        <f>IFERROR(+'11-2025'!$X115*'11-2025'!$AA115,"")</f>
        <v>300</v>
      </c>
      <c r="AC115" s="29">
        <v>20.5</v>
      </c>
      <c r="AD115" s="29">
        <f>IFERROR(+'11-2025'!$X115*'11-2025'!$AC115,"")</f>
        <v>3075</v>
      </c>
      <c r="AE115" s="29">
        <v>3</v>
      </c>
      <c r="AF115" s="29">
        <f>IFERROR(+'11-2025'!$X115*'11-2025'!$AE115,"")</f>
        <v>450</v>
      </c>
      <c r="AG115" s="29"/>
      <c r="AH115" s="29">
        <f>IFERROR(+'11-2025'!$X115*'11-2025'!$AG115,"")</f>
        <v>0</v>
      </c>
      <c r="AI115" s="29">
        <v>0</v>
      </c>
      <c r="AJ115" s="29">
        <f>IFERROR('11-2025'!$Z115+'11-2025'!$AB115+'11-2025'!$AD115+'11-2025'!$AF115+'11-2025'!$AH115+'11-2025'!$AI115,"")</f>
        <v>3825</v>
      </c>
      <c r="AK115" s="30">
        <f>IFERROR('11-2025'!$W115-'11-2025'!$AJ115,"")</f>
        <v>675</v>
      </c>
      <c r="AL115" s="31"/>
      <c r="AM115" s="31"/>
      <c r="AN115" s="31"/>
      <c r="AO115" s="31"/>
      <c r="AP115" s="31"/>
      <c r="AQ115" s="31"/>
      <c r="AR115" s="31">
        <v>0</v>
      </c>
      <c r="AS115" s="31">
        <v>0</v>
      </c>
      <c r="AT115" s="31">
        <v>0</v>
      </c>
      <c r="AU115" s="31">
        <v>0</v>
      </c>
      <c r="AV115" s="31">
        <v>0</v>
      </c>
      <c r="AW115" s="31">
        <v>0</v>
      </c>
      <c r="AX115" s="31">
        <v>0</v>
      </c>
      <c r="AY115" s="31">
        <v>0</v>
      </c>
      <c r="AZ115" s="31">
        <v>0</v>
      </c>
      <c r="BA115" s="31">
        <v>0</v>
      </c>
      <c r="BB115" s="31">
        <v>0</v>
      </c>
      <c r="BC115" s="31">
        <v>0</v>
      </c>
      <c r="BD115" s="31">
        <v>0</v>
      </c>
      <c r="BE115" s="31">
        <v>0</v>
      </c>
      <c r="BF115" s="31">
        <v>0</v>
      </c>
      <c r="BG115" s="31">
        <v>0</v>
      </c>
      <c r="BH115" s="31">
        <v>0</v>
      </c>
      <c r="BI115" s="31">
        <v>0</v>
      </c>
      <c r="BJ115" s="32">
        <f t="shared" si="23"/>
        <v>0</v>
      </c>
      <c r="BK115" s="41">
        <f>BJ115+AM115+AL115+'11-2025'!$N115+AN115+AO115</f>
        <v>4500</v>
      </c>
      <c r="BL115" s="34">
        <f>'11-2025'!$O115</f>
        <v>0</v>
      </c>
      <c r="BM115" s="34">
        <f t="shared" si="12"/>
        <v>0</v>
      </c>
      <c r="BN115" s="34">
        <f t="shared" si="13"/>
        <v>0</v>
      </c>
      <c r="BO115" s="34">
        <f t="shared" si="21"/>
        <v>1666.6666666666667</v>
      </c>
      <c r="BP115" s="35">
        <f t="shared" si="14"/>
        <v>2833.333333333333</v>
      </c>
      <c r="BQ115" s="34">
        <f>IFERROR(BP115/'11-2025'!$J115,0)*12</f>
        <v>34000</v>
      </c>
      <c r="BR115" s="34">
        <f>IF(BQ115&lt;=40000,0,
IF(BQ115&lt;=55000,(BQ115-40000)*10%,
IF(BQ115&lt;=70000,(BQ115-55000)*15%+1500,
IF(BQ115&lt;=200000,(BQ115-70000)*20%+1500+2250,
IF(BQ115&lt;=400000,(BQ115-200000)*22.5%+1500+2250+26000,
IF(BQ115&lt;=600000,(BQ115-400000)*25%+1500+2250+26000+45000,
IF(AND(BQ115&gt;600000,BQ115&lt;=1200000),(BQ115-400000)*25%+1500+2250+26000+45000
+IFERROR(LOOKUP(BQ115,{600001;700001;800001;900001},{4000;6750;10250;15250}),0),IF(BQ115&gt;1200000,((BQ115-1200000)*27.5%)+300000,0)
)))))))</f>
        <v>0</v>
      </c>
      <c r="BS115" s="32">
        <f>(BR115/12*'11-2025'!$J115)</f>
        <v>0</v>
      </c>
      <c r="BT115" s="33">
        <f>BS115-'11-2025'!$V115</f>
        <v>0</v>
      </c>
      <c r="BU115" s="32">
        <f>IFERROR(+'11-2025'!$W115+AL115+AM115+BJ115-'11-2025'!$AJ115-BT115+AN115+AO115,"")-AL115+AP115+AQ115</f>
        <v>675</v>
      </c>
      <c r="BV115" s="36"/>
      <c r="BW115" s="37"/>
      <c r="BX115" s="37">
        <f t="shared" si="22"/>
        <v>675</v>
      </c>
      <c r="BY115" s="37"/>
    </row>
    <row r="116" spans="1:77" s="75" customFormat="1" x14ac:dyDescent="0.25">
      <c r="A116" s="44">
        <v>696</v>
      </c>
      <c r="B116" s="40" t="s">
        <v>227</v>
      </c>
      <c r="C116" s="40" t="s">
        <v>71</v>
      </c>
      <c r="D116" s="40" t="s">
        <v>72</v>
      </c>
      <c r="E116" s="40" t="s">
        <v>73</v>
      </c>
      <c r="F116" s="40" t="s">
        <v>102</v>
      </c>
      <c r="G116" s="61">
        <v>45843</v>
      </c>
      <c r="H116" s="61">
        <v>45900</v>
      </c>
      <c r="I116" s="62"/>
      <c r="J116" s="63">
        <v>1</v>
      </c>
      <c r="K116" s="63">
        <v>2500</v>
      </c>
      <c r="L116" s="63"/>
      <c r="M116" s="64"/>
      <c r="N116" s="63">
        <f>SUM('11-2025'!$K116:$M116)</f>
        <v>2500</v>
      </c>
      <c r="O116" s="63"/>
      <c r="P116" s="63">
        <f t="shared" si="15"/>
        <v>0</v>
      </c>
      <c r="Q116" s="63">
        <f t="shared" si="16"/>
        <v>0</v>
      </c>
      <c r="R116" s="63">
        <v>1666.6666666666667</v>
      </c>
      <c r="S116" s="65">
        <f t="shared" si="17"/>
        <v>833.33333333333326</v>
      </c>
      <c r="T116" s="63">
        <f t="shared" si="18"/>
        <v>10000</v>
      </c>
      <c r="U116" s="63">
        <f>IF(T116&lt;=40000,0,
IF(T116&lt;=55000,(T116-40000)*10%,
IF(T116&lt;=70000,(T116-55000)*15%+1500,
IF(T116&lt;=200000,(T116-70000)*20%+1500+2250,
IF(T116&lt;=400000,(T116-200000)*22.5%+1500+2250+26000,
IF(T116&lt;=600000,(T116-400000)*25%+1500+2250+26000+45000,
IF(AND(T116&gt;600000,T116&lt;=1200000),(T116-400000)*25%+1500+2250+26000+45000
+IFERROR(LOOKUP(T116,{600001;700001;800001;900001},{4000;6750;10250;15250}),0),IF(T116&gt;1200000,((T116-1200000)*27.5%)+300000,0)
)))))))</f>
        <v>0</v>
      </c>
      <c r="V116" s="63">
        <f t="shared" si="19"/>
        <v>0</v>
      </c>
      <c r="W116" s="66">
        <f>+'11-2025'!$S116-'11-2025'!$V116+'11-2025'!$R116</f>
        <v>2500</v>
      </c>
      <c r="X116" s="66">
        <f t="shared" si="20"/>
        <v>83.333333333333329</v>
      </c>
      <c r="Y116" s="67"/>
      <c r="Z116" s="67">
        <f>IFERROR(+'11-2025'!$X116*'11-2025'!$Y116,"")</f>
        <v>0</v>
      </c>
      <c r="AA116" s="67"/>
      <c r="AB116" s="67">
        <f>IFERROR(+'11-2025'!$X116*'11-2025'!$AA116,"")</f>
        <v>0</v>
      </c>
      <c r="AC116" s="67">
        <v>30</v>
      </c>
      <c r="AD116" s="67">
        <f>IFERROR(+'11-2025'!$X116*'11-2025'!$AC116,"")</f>
        <v>2500</v>
      </c>
      <c r="AE116" s="67"/>
      <c r="AF116" s="67">
        <f>IFERROR(+'11-2025'!$X116*'11-2025'!$AE116,"")</f>
        <v>0</v>
      </c>
      <c r="AG116" s="67"/>
      <c r="AH116" s="67">
        <f>IFERROR(+'11-2025'!$X116*'11-2025'!$AG116,"")</f>
        <v>0</v>
      </c>
      <c r="AI116" s="29">
        <v>0</v>
      </c>
      <c r="AJ116" s="67">
        <f>IFERROR('11-2025'!$Z116+'11-2025'!$AB116+'11-2025'!$AD116+'11-2025'!$AF116+'11-2025'!$AH116+'11-2025'!$AI116,"")</f>
        <v>2500</v>
      </c>
      <c r="AK116" s="68">
        <f>IFERROR('11-2025'!$W116-'11-2025'!$AJ116,"")</f>
        <v>0</v>
      </c>
      <c r="AL116" s="69"/>
      <c r="AM116" s="69"/>
      <c r="AN116" s="69"/>
      <c r="AO116" s="69"/>
      <c r="AP116" s="69"/>
      <c r="AQ116" s="69"/>
      <c r="AR116" s="31">
        <v>0</v>
      </c>
      <c r="AS116" s="31">
        <v>0</v>
      </c>
      <c r="AT116" s="31">
        <v>0</v>
      </c>
      <c r="AU116" s="31">
        <v>0</v>
      </c>
      <c r="AV116" s="31">
        <v>0</v>
      </c>
      <c r="AW116" s="31">
        <v>0</v>
      </c>
      <c r="AX116" s="31">
        <v>0</v>
      </c>
      <c r="AY116" s="31">
        <v>0</v>
      </c>
      <c r="AZ116" s="31">
        <v>0</v>
      </c>
      <c r="BA116" s="31">
        <v>0</v>
      </c>
      <c r="BB116" s="31">
        <v>0</v>
      </c>
      <c r="BC116" s="31">
        <v>0</v>
      </c>
      <c r="BD116" s="31">
        <v>0</v>
      </c>
      <c r="BE116" s="31">
        <v>0</v>
      </c>
      <c r="BF116" s="31">
        <v>0</v>
      </c>
      <c r="BG116" s="31">
        <v>0</v>
      </c>
      <c r="BH116" s="31">
        <v>0</v>
      </c>
      <c r="BI116" s="31">
        <v>0</v>
      </c>
      <c r="BJ116" s="39">
        <f t="shared" si="23"/>
        <v>0</v>
      </c>
      <c r="BK116" s="77">
        <f>BJ116+AM116+AL116+'11-2025'!$N116+AN116+AO116</f>
        <v>2500</v>
      </c>
      <c r="BL116" s="71">
        <f>'11-2025'!$O116</f>
        <v>0</v>
      </c>
      <c r="BM116" s="71">
        <f t="shared" si="12"/>
        <v>0</v>
      </c>
      <c r="BN116" s="71">
        <f t="shared" si="13"/>
        <v>0</v>
      </c>
      <c r="BO116" s="71">
        <f t="shared" si="21"/>
        <v>1666.6666666666667</v>
      </c>
      <c r="BP116" s="72">
        <f t="shared" si="14"/>
        <v>833.33333333333326</v>
      </c>
      <c r="BQ116" s="71">
        <f>IFERROR(BP116/'11-2025'!$J116,0)*12</f>
        <v>10000</v>
      </c>
      <c r="BR116" s="71">
        <f>IF(BQ116&lt;=40000,0,
IF(BQ116&lt;=55000,(BQ116-40000)*10%,
IF(BQ116&lt;=70000,(BQ116-55000)*15%+1500,
IF(BQ116&lt;=200000,(BQ116-70000)*20%+1500+2250,
IF(BQ116&lt;=400000,(BQ116-200000)*22.5%+1500+2250+26000,
IF(BQ116&lt;=600000,(BQ116-400000)*25%+1500+2250+26000+45000,
IF(AND(BQ116&gt;600000,BQ116&lt;=1200000),(BQ116-400000)*25%+1500+2250+26000+45000
+IFERROR(LOOKUP(BQ116,{600001;700001;800001;900001},{4000;6750;10250;15250}),0),IF(BQ116&gt;1200000,((BQ116-1200000)*27.5%)+300000,0)
)))))))</f>
        <v>0</v>
      </c>
      <c r="BS116" s="39">
        <f>(BR116/12*'11-2025'!$J116)</f>
        <v>0</v>
      </c>
      <c r="BT116" s="70">
        <f>BS116-'11-2025'!$V116</f>
        <v>0</v>
      </c>
      <c r="BU116" s="39">
        <f>IFERROR(+'11-2025'!$W116+AL116+AM116+BJ116-'11-2025'!$AJ116-BT116+AN116+AO116,"")-AL116+AP116+AQ116</f>
        <v>0</v>
      </c>
      <c r="BV116" s="73"/>
      <c r="BW116" s="74"/>
      <c r="BX116" s="74">
        <f t="shared" si="22"/>
        <v>0</v>
      </c>
      <c r="BY116" s="74"/>
    </row>
    <row r="117" spans="1:77" s="75" customFormat="1" x14ac:dyDescent="0.25">
      <c r="A117" s="44">
        <v>697</v>
      </c>
      <c r="B117" s="40" t="s">
        <v>228</v>
      </c>
      <c r="C117" s="40" t="s">
        <v>71</v>
      </c>
      <c r="D117" s="40" t="s">
        <v>72</v>
      </c>
      <c r="E117" s="40" t="s">
        <v>73</v>
      </c>
      <c r="F117" s="40" t="s">
        <v>102</v>
      </c>
      <c r="G117" s="61">
        <v>45843</v>
      </c>
      <c r="H117" s="61">
        <v>45900</v>
      </c>
      <c r="I117" s="62"/>
      <c r="J117" s="63">
        <v>1</v>
      </c>
      <c r="K117" s="63">
        <v>2500</v>
      </c>
      <c r="L117" s="63"/>
      <c r="M117" s="64"/>
      <c r="N117" s="63">
        <f>SUM('11-2025'!$K117:$M117)</f>
        <v>2500</v>
      </c>
      <c r="O117" s="63"/>
      <c r="P117" s="63">
        <f t="shared" si="15"/>
        <v>0</v>
      </c>
      <c r="Q117" s="63">
        <f t="shared" si="16"/>
        <v>0</v>
      </c>
      <c r="R117" s="63">
        <v>1666.6666666666667</v>
      </c>
      <c r="S117" s="65">
        <f t="shared" si="17"/>
        <v>833.33333333333326</v>
      </c>
      <c r="T117" s="63">
        <f t="shared" si="18"/>
        <v>10000</v>
      </c>
      <c r="U117" s="63">
        <f>IF(T117&lt;=40000,0,
IF(T117&lt;=55000,(T117-40000)*10%,
IF(T117&lt;=70000,(T117-55000)*15%+1500,
IF(T117&lt;=200000,(T117-70000)*20%+1500+2250,
IF(T117&lt;=400000,(T117-200000)*22.5%+1500+2250+26000,
IF(T117&lt;=600000,(T117-400000)*25%+1500+2250+26000+45000,
IF(AND(T117&gt;600000,T117&lt;=1200000),(T117-400000)*25%+1500+2250+26000+45000
+IFERROR(LOOKUP(T117,{600001;700001;800001;900001},{4000;6750;10250;15250}),0),IF(T117&gt;1200000,((T117-1200000)*27.5%)+300000,0)
)))))))</f>
        <v>0</v>
      </c>
      <c r="V117" s="63">
        <f t="shared" si="19"/>
        <v>0</v>
      </c>
      <c r="W117" s="66">
        <f>+'11-2025'!$S117-'11-2025'!$V117+'11-2025'!$R117</f>
        <v>2500</v>
      </c>
      <c r="X117" s="66">
        <f t="shared" si="20"/>
        <v>83.333333333333329</v>
      </c>
      <c r="Y117" s="67"/>
      <c r="Z117" s="67">
        <f>IFERROR(+'11-2025'!$X117*'11-2025'!$Y117,"")</f>
        <v>0</v>
      </c>
      <c r="AA117" s="67"/>
      <c r="AB117" s="67">
        <f>IFERROR(+'11-2025'!$X117*'11-2025'!$AA117,"")</f>
        <v>0</v>
      </c>
      <c r="AC117" s="67">
        <v>30</v>
      </c>
      <c r="AD117" s="67">
        <f>IFERROR(+'11-2025'!$X117*'11-2025'!$AC117,"")</f>
        <v>2500</v>
      </c>
      <c r="AE117" s="67"/>
      <c r="AF117" s="67">
        <f>IFERROR(+'11-2025'!$X117*'11-2025'!$AE117,"")</f>
        <v>0</v>
      </c>
      <c r="AG117" s="67"/>
      <c r="AH117" s="67">
        <f>IFERROR(+'11-2025'!$X117*'11-2025'!$AG117,"")</f>
        <v>0</v>
      </c>
      <c r="AI117" s="29">
        <v>0</v>
      </c>
      <c r="AJ117" s="67">
        <f>IFERROR('11-2025'!$Z117+'11-2025'!$AB117+'11-2025'!$AD117+'11-2025'!$AF117+'11-2025'!$AH117+'11-2025'!$AI117,"")</f>
        <v>2500</v>
      </c>
      <c r="AK117" s="68">
        <f>IFERROR('11-2025'!$W117-'11-2025'!$AJ117,"")</f>
        <v>0</v>
      </c>
      <c r="AL117" s="69"/>
      <c r="AM117" s="69"/>
      <c r="AN117" s="69"/>
      <c r="AO117" s="69"/>
      <c r="AP117" s="69"/>
      <c r="AQ117" s="69"/>
      <c r="AR117" s="31">
        <v>0</v>
      </c>
      <c r="AS117" s="31">
        <v>0</v>
      </c>
      <c r="AT117" s="31">
        <v>0</v>
      </c>
      <c r="AU117" s="31">
        <v>0</v>
      </c>
      <c r="AV117" s="31">
        <v>0</v>
      </c>
      <c r="AW117" s="31">
        <v>0</v>
      </c>
      <c r="AX117" s="31">
        <v>0</v>
      </c>
      <c r="AY117" s="31">
        <v>0</v>
      </c>
      <c r="AZ117" s="31">
        <v>0</v>
      </c>
      <c r="BA117" s="31">
        <v>0</v>
      </c>
      <c r="BB117" s="31">
        <v>0</v>
      </c>
      <c r="BC117" s="31">
        <v>0</v>
      </c>
      <c r="BD117" s="31">
        <v>0</v>
      </c>
      <c r="BE117" s="31">
        <v>0</v>
      </c>
      <c r="BF117" s="31">
        <v>0</v>
      </c>
      <c r="BG117" s="31">
        <v>0</v>
      </c>
      <c r="BH117" s="31">
        <v>0</v>
      </c>
      <c r="BI117" s="31">
        <v>0</v>
      </c>
      <c r="BJ117" s="39">
        <f t="shared" si="23"/>
        <v>0</v>
      </c>
      <c r="BK117" s="77">
        <f>BJ117+AM117+AL117+'11-2025'!$N117+AN117+AO117</f>
        <v>2500</v>
      </c>
      <c r="BL117" s="71">
        <f>'11-2025'!$O117</f>
        <v>0</v>
      </c>
      <c r="BM117" s="71">
        <f t="shared" si="12"/>
        <v>0</v>
      </c>
      <c r="BN117" s="71">
        <f t="shared" si="13"/>
        <v>0</v>
      </c>
      <c r="BO117" s="71">
        <f t="shared" si="21"/>
        <v>1666.6666666666667</v>
      </c>
      <c r="BP117" s="72">
        <f t="shared" si="14"/>
        <v>833.33333333333326</v>
      </c>
      <c r="BQ117" s="71">
        <f>IFERROR(BP117/'11-2025'!$J117,0)*12</f>
        <v>10000</v>
      </c>
      <c r="BR117" s="71">
        <f>IF(BQ117&lt;=40000,0,
IF(BQ117&lt;=55000,(BQ117-40000)*10%,
IF(BQ117&lt;=70000,(BQ117-55000)*15%+1500,
IF(BQ117&lt;=200000,(BQ117-70000)*20%+1500+2250,
IF(BQ117&lt;=400000,(BQ117-200000)*22.5%+1500+2250+26000,
IF(BQ117&lt;=600000,(BQ117-400000)*25%+1500+2250+26000+45000,
IF(AND(BQ117&gt;600000,BQ117&lt;=1200000),(BQ117-400000)*25%+1500+2250+26000+45000
+IFERROR(LOOKUP(BQ117,{600001;700001;800001;900001},{4000;6750;10250;15250}),0),IF(BQ117&gt;1200000,((BQ117-1200000)*27.5%)+300000,0)
)))))))</f>
        <v>0</v>
      </c>
      <c r="BS117" s="39">
        <f>(BR117/12*'11-2025'!$J117)</f>
        <v>0</v>
      </c>
      <c r="BT117" s="70">
        <f>BS117-'11-2025'!$V117</f>
        <v>0</v>
      </c>
      <c r="BU117" s="39">
        <f>IFERROR(+'11-2025'!$W117+AL117+AM117+BJ117-'11-2025'!$AJ117-BT117+AN117+AO117,"")-AL117+AP117+AQ117</f>
        <v>0</v>
      </c>
      <c r="BV117" s="73"/>
      <c r="BW117" s="74"/>
      <c r="BX117" s="74">
        <f t="shared" si="22"/>
        <v>0</v>
      </c>
      <c r="BY117" s="74"/>
    </row>
    <row r="118" spans="1:77" x14ac:dyDescent="0.25">
      <c r="A118" s="43">
        <v>701</v>
      </c>
      <c r="B118" s="22" t="s">
        <v>229</v>
      </c>
      <c r="C118" s="22" t="s">
        <v>71</v>
      </c>
      <c r="D118" s="22" t="s">
        <v>72</v>
      </c>
      <c r="E118" s="22" t="s">
        <v>82</v>
      </c>
      <c r="F118" s="22" t="s">
        <v>83</v>
      </c>
      <c r="G118" s="23">
        <v>45844</v>
      </c>
      <c r="H118" s="22"/>
      <c r="I118" s="24"/>
      <c r="J118" s="25">
        <v>1</v>
      </c>
      <c r="K118" s="25">
        <v>15000</v>
      </c>
      <c r="L118" s="25"/>
      <c r="M118" s="26"/>
      <c r="N118" s="25">
        <f>SUM('11-2025'!$K118:$M118)</f>
        <v>15000</v>
      </c>
      <c r="O118" s="25"/>
      <c r="P118" s="25">
        <f t="shared" si="15"/>
        <v>0</v>
      </c>
      <c r="Q118" s="25">
        <f t="shared" si="16"/>
        <v>0</v>
      </c>
      <c r="R118" s="25">
        <v>1666.6666666666667</v>
      </c>
      <c r="S118" s="27">
        <f t="shared" si="17"/>
        <v>13333.333333333334</v>
      </c>
      <c r="T118" s="25">
        <f t="shared" si="18"/>
        <v>160000</v>
      </c>
      <c r="U118" s="25">
        <f>IF(T118&lt;=40000,0,
IF(T118&lt;=55000,(T118-40000)*10%,
IF(T118&lt;=70000,(T118-55000)*15%+1500,
IF(T118&lt;=200000,(T118-70000)*20%+1500+2250,
IF(T118&lt;=400000,(T118-200000)*22.5%+1500+2250+26000,
IF(T118&lt;=600000,(T118-400000)*25%+1500+2250+26000+45000,
IF(AND(T118&gt;600000,T118&lt;=1200000),(T118-400000)*25%+1500+2250+26000+45000
+IFERROR(LOOKUP(T118,{600001;700001;800001;900001},{4000;6750;10250;15250}),0),IF(T118&gt;1200000,((T118-1200000)*27.5%)+300000,0)
)))))))</f>
        <v>21750</v>
      </c>
      <c r="V118" s="25">
        <f t="shared" si="19"/>
        <v>1812.5</v>
      </c>
      <c r="W118" s="28">
        <f>+'11-2025'!$S118-'11-2025'!$V118+'11-2025'!$R118</f>
        <v>13187.5</v>
      </c>
      <c r="X118" s="28">
        <f t="shared" si="20"/>
        <v>439.58333333333331</v>
      </c>
      <c r="Y118" s="29">
        <v>0</v>
      </c>
      <c r="Z118" s="29">
        <f>IFERROR(+'11-2025'!$X118*'11-2025'!$Y118,"")</f>
        <v>0</v>
      </c>
      <c r="AA118" s="29">
        <v>0</v>
      </c>
      <c r="AB118" s="29">
        <f>IFERROR(+'11-2025'!$X118*'11-2025'!$AA118,"")</f>
        <v>0</v>
      </c>
      <c r="AC118" s="29">
        <v>0</v>
      </c>
      <c r="AD118" s="29">
        <f>IFERROR(+'11-2025'!$X118*'11-2025'!$AC118,"")</f>
        <v>0</v>
      </c>
      <c r="AE118" s="29">
        <v>0</v>
      </c>
      <c r="AF118" s="29">
        <f>IFERROR(+'11-2025'!$X118*'11-2025'!$AE118,"")</f>
        <v>0</v>
      </c>
      <c r="AG118" s="29">
        <v>0</v>
      </c>
      <c r="AH118" s="29">
        <f>IFERROR(+'11-2025'!$X118*'11-2025'!$AG118,"")</f>
        <v>0</v>
      </c>
      <c r="AI118" s="29">
        <v>1000</v>
      </c>
      <c r="AJ118" s="29">
        <f>IFERROR('11-2025'!$Z118+'11-2025'!$AB118+'11-2025'!$AD118+'11-2025'!$AF118+'11-2025'!$AH118+'11-2025'!$AI118,"")</f>
        <v>1000</v>
      </c>
      <c r="AK118" s="30">
        <f>IFERROR('11-2025'!$W118-'11-2025'!$AJ118,"")</f>
        <v>12187.5</v>
      </c>
      <c r="AL118" s="31"/>
      <c r="AM118" s="31">
        <v>900</v>
      </c>
      <c r="AN118" s="31"/>
      <c r="AO118" s="31">
        <v>20</v>
      </c>
      <c r="AP118" s="31"/>
      <c r="AQ118" s="31"/>
      <c r="AR118" s="31">
        <v>0</v>
      </c>
      <c r="AS118" s="31">
        <v>4878.3937500000002</v>
      </c>
      <c r="AT118" s="31">
        <v>0</v>
      </c>
      <c r="AU118" s="31">
        <v>0</v>
      </c>
      <c r="AV118" s="31">
        <v>0</v>
      </c>
      <c r="AW118" s="31">
        <v>2211.2862500000001</v>
      </c>
      <c r="AX118" s="31">
        <v>0</v>
      </c>
      <c r="AY118" s="31">
        <v>0</v>
      </c>
      <c r="AZ118" s="31">
        <v>0</v>
      </c>
      <c r="BA118" s="31">
        <v>0</v>
      </c>
      <c r="BB118" s="31">
        <v>0</v>
      </c>
      <c r="BC118" s="31">
        <v>0</v>
      </c>
      <c r="BD118" s="31">
        <v>0</v>
      </c>
      <c r="BE118" s="31">
        <v>0</v>
      </c>
      <c r="BF118" s="31">
        <v>0</v>
      </c>
      <c r="BG118" s="31">
        <v>3748.5627749999999</v>
      </c>
      <c r="BH118" s="31">
        <v>0</v>
      </c>
      <c r="BI118" s="31">
        <v>0</v>
      </c>
      <c r="BJ118" s="32">
        <f t="shared" si="23"/>
        <v>10838.242775000001</v>
      </c>
      <c r="BK118" s="41">
        <f>BJ118+AM118+AL118+'11-2025'!$N118+AN118+AO118</f>
        <v>26758.242774999999</v>
      </c>
      <c r="BL118" s="34">
        <f>'11-2025'!$O118</f>
        <v>0</v>
      </c>
      <c r="BM118" s="34">
        <f t="shared" si="12"/>
        <v>0</v>
      </c>
      <c r="BN118" s="34">
        <f t="shared" si="13"/>
        <v>0</v>
      </c>
      <c r="BO118" s="34">
        <f t="shared" si="21"/>
        <v>1666.6666666666667</v>
      </c>
      <c r="BP118" s="35">
        <f t="shared" si="14"/>
        <v>25091.576108333331</v>
      </c>
      <c r="BQ118" s="34">
        <f>IFERROR(BP118/'11-2025'!$J118,0)*12</f>
        <v>301098.91329999996</v>
      </c>
      <c r="BR118" s="34">
        <f>IF(BQ118&lt;=40000,0,
IF(BQ118&lt;=55000,(BQ118-40000)*10%,
IF(BQ118&lt;=70000,(BQ118-55000)*15%+1500,
IF(BQ118&lt;=200000,(BQ118-70000)*20%+1500+2250,
IF(BQ118&lt;=400000,(BQ118-200000)*22.5%+1500+2250+26000,
IF(BQ118&lt;=600000,(BQ118-400000)*25%+1500+2250+26000+45000,
IF(AND(BQ118&gt;600000,BQ118&lt;=1200000),(BQ118-400000)*25%+1500+2250+26000+45000
+IFERROR(LOOKUP(BQ118,{600001;700001;800001;900001},{4000;6750;10250;15250}),0),IF(BQ118&gt;1200000,((BQ118-1200000)*27.5%)+300000,0)
)))))))</f>
        <v>52497.255492499986</v>
      </c>
      <c r="BS118" s="32">
        <f>(BR118/12*'11-2025'!$J118)</f>
        <v>4374.7712910416658</v>
      </c>
      <c r="BT118" s="33">
        <f>BS118-'11-2025'!$V118</f>
        <v>2562.2712910416658</v>
      </c>
      <c r="BU118" s="32">
        <f>IFERROR(+'11-2025'!$W118+AL118+AM118+BJ118-'11-2025'!$AJ118-BT118+AN118+AO118,"")-AL118+AP118+AQ118</f>
        <v>21383.471483958332</v>
      </c>
      <c r="BV118" s="36" t="s">
        <v>348</v>
      </c>
      <c r="BW118" s="37"/>
      <c r="BX118" s="37">
        <f t="shared" si="22"/>
        <v>21383.471483958332</v>
      </c>
      <c r="BY118" s="37"/>
    </row>
    <row r="119" spans="1:77" x14ac:dyDescent="0.25">
      <c r="A119" s="43">
        <v>702</v>
      </c>
      <c r="B119" s="22" t="s">
        <v>230</v>
      </c>
      <c r="C119" s="22" t="s">
        <v>81</v>
      </c>
      <c r="D119" s="22" t="s">
        <v>72</v>
      </c>
      <c r="E119" s="22" t="s">
        <v>93</v>
      </c>
      <c r="F119" s="22" t="s">
        <v>102</v>
      </c>
      <c r="G119" s="23">
        <v>45845</v>
      </c>
      <c r="H119" s="22"/>
      <c r="I119" s="24"/>
      <c r="J119" s="25">
        <v>1</v>
      </c>
      <c r="K119" s="25">
        <v>2500</v>
      </c>
      <c r="L119" s="25"/>
      <c r="M119" s="26"/>
      <c r="N119" s="25">
        <f>SUM('11-2025'!$K119:$M119)</f>
        <v>2500</v>
      </c>
      <c r="O119" s="25"/>
      <c r="P119" s="25">
        <f t="shared" si="15"/>
        <v>0</v>
      </c>
      <c r="Q119" s="25">
        <f t="shared" si="16"/>
        <v>0</v>
      </c>
      <c r="R119" s="25">
        <v>1666.6666666666667</v>
      </c>
      <c r="S119" s="27">
        <f t="shared" si="17"/>
        <v>833.33333333333326</v>
      </c>
      <c r="T119" s="25">
        <f t="shared" si="18"/>
        <v>10000</v>
      </c>
      <c r="U119" s="25">
        <f>IF(T119&lt;=40000,0,
IF(T119&lt;=55000,(T119-40000)*10%,
IF(T119&lt;=70000,(T119-55000)*15%+1500,
IF(T119&lt;=200000,(T119-70000)*20%+1500+2250,
IF(T119&lt;=400000,(T119-200000)*22.5%+1500+2250+26000,
IF(T119&lt;=600000,(T119-400000)*25%+1500+2250+26000+45000,
IF(AND(T119&gt;600000,T119&lt;=1200000),(T119-400000)*25%+1500+2250+26000+45000
+IFERROR(LOOKUP(T119,{600001;700001;800001;900001},{4000;6750;10250;15250}),0),IF(T119&gt;1200000,((T119-1200000)*27.5%)+300000,0)
)))))))</f>
        <v>0</v>
      </c>
      <c r="V119" s="25">
        <f t="shared" si="19"/>
        <v>0</v>
      </c>
      <c r="W119" s="28">
        <f>+'11-2025'!$S119-'11-2025'!$V119+'11-2025'!$R119</f>
        <v>2500</v>
      </c>
      <c r="X119" s="28">
        <f t="shared" si="20"/>
        <v>83.333333333333329</v>
      </c>
      <c r="Y119" s="29">
        <v>0</v>
      </c>
      <c r="Z119" s="29">
        <f>IFERROR(+'11-2025'!$X119*'11-2025'!$Y119,"")</f>
        <v>0</v>
      </c>
      <c r="AA119" s="29">
        <v>5</v>
      </c>
      <c r="AB119" s="29">
        <f>IFERROR(+'11-2025'!$X119*'11-2025'!$AA119,"")</f>
        <v>416.66666666666663</v>
      </c>
      <c r="AC119" s="29">
        <v>1.5</v>
      </c>
      <c r="AD119" s="29">
        <f>IFERROR(+'11-2025'!$X119*'11-2025'!$AC119,"")</f>
        <v>125</v>
      </c>
      <c r="AE119" s="29">
        <v>0</v>
      </c>
      <c r="AF119" s="29">
        <f>IFERROR(+'11-2025'!$X119*'11-2025'!$AE119,"")</f>
        <v>0</v>
      </c>
      <c r="AG119" s="29">
        <v>0.5</v>
      </c>
      <c r="AH119" s="29">
        <f>IFERROR(+'11-2025'!$X119*'11-2025'!$AG119,"")</f>
        <v>41.666666666666664</v>
      </c>
      <c r="AI119" s="29">
        <v>500</v>
      </c>
      <c r="AJ119" s="29">
        <f>IFERROR('11-2025'!$Z119+'11-2025'!$AB119+'11-2025'!$AD119+'11-2025'!$AF119+'11-2025'!$AH119+'11-2025'!$AI119,"")</f>
        <v>1083.3333333333333</v>
      </c>
      <c r="AK119" s="30">
        <f>IFERROR('11-2025'!$W119-'11-2025'!$AJ119,"")</f>
        <v>1416.6666666666667</v>
      </c>
      <c r="AL119" s="31"/>
      <c r="AM119" s="31"/>
      <c r="AN119" s="31"/>
      <c r="AO119" s="31">
        <v>140</v>
      </c>
      <c r="AP119" s="31"/>
      <c r="AQ119" s="31"/>
      <c r="AR119" s="31">
        <v>1234.1165250000001</v>
      </c>
      <c r="AS119" s="31">
        <v>0</v>
      </c>
      <c r="AT119" s="31">
        <v>0</v>
      </c>
      <c r="AU119" s="31">
        <v>0</v>
      </c>
      <c r="AV119" s="31">
        <v>0</v>
      </c>
      <c r="AW119" s="31">
        <v>0</v>
      </c>
      <c r="AX119" s="31">
        <v>0</v>
      </c>
      <c r="AY119" s="31">
        <v>0</v>
      </c>
      <c r="AZ119" s="31">
        <v>0</v>
      </c>
      <c r="BA119" s="31">
        <v>0</v>
      </c>
      <c r="BB119" s="31">
        <v>0</v>
      </c>
      <c r="BC119" s="31">
        <v>0</v>
      </c>
      <c r="BD119" s="31">
        <v>0</v>
      </c>
      <c r="BE119" s="31">
        <v>0</v>
      </c>
      <c r="BF119" s="31">
        <v>0</v>
      </c>
      <c r="BG119" s="31">
        <v>0</v>
      </c>
      <c r="BH119" s="31">
        <v>0</v>
      </c>
      <c r="BI119" s="31">
        <v>0</v>
      </c>
      <c r="BJ119" s="32">
        <f t="shared" si="23"/>
        <v>1234.1165250000001</v>
      </c>
      <c r="BK119" s="41">
        <f>BJ119+AM119+AL119+'11-2025'!$N119+AN119+AO119</f>
        <v>3874.1165250000004</v>
      </c>
      <c r="BL119" s="34">
        <f>'11-2025'!$O119</f>
        <v>0</v>
      </c>
      <c r="BM119" s="34">
        <f t="shared" si="12"/>
        <v>0</v>
      </c>
      <c r="BN119" s="34">
        <f t="shared" si="13"/>
        <v>0</v>
      </c>
      <c r="BO119" s="34">
        <f t="shared" si="21"/>
        <v>1666.6666666666667</v>
      </c>
      <c r="BP119" s="35">
        <f t="shared" si="14"/>
        <v>2207.4498583333334</v>
      </c>
      <c r="BQ119" s="34">
        <f>IFERROR(BP119/'11-2025'!$J119,0)*12</f>
        <v>26489.398300000001</v>
      </c>
      <c r="BR119" s="34">
        <f>IF(BQ119&lt;=40000,0,
IF(BQ119&lt;=55000,(BQ119-40000)*10%,
IF(BQ119&lt;=70000,(BQ119-55000)*15%+1500,
IF(BQ119&lt;=200000,(BQ119-70000)*20%+1500+2250,
IF(BQ119&lt;=400000,(BQ119-200000)*22.5%+1500+2250+26000,
IF(BQ119&lt;=600000,(BQ119-400000)*25%+1500+2250+26000+45000,
IF(AND(BQ119&gt;600000,BQ119&lt;=1200000),(BQ119-400000)*25%+1500+2250+26000+45000
+IFERROR(LOOKUP(BQ119,{600001;700001;800001;900001},{4000;6750;10250;15250}),0),IF(BQ119&gt;1200000,((BQ119-1200000)*27.5%)+300000,0)
)))))))</f>
        <v>0</v>
      </c>
      <c r="BS119" s="32">
        <f>(BR119/12*'11-2025'!$J119)</f>
        <v>0</v>
      </c>
      <c r="BT119" s="33">
        <f>BS119-'11-2025'!$V119</f>
        <v>0</v>
      </c>
      <c r="BU119" s="32">
        <f>IFERROR(+'11-2025'!$W119+AL119+AM119+BJ119-'11-2025'!$AJ119-BT119+AN119+AO119,"")-AL119+AP119+AQ119</f>
        <v>2790.7831916666673</v>
      </c>
      <c r="BV119" s="36"/>
      <c r="BW119" s="37"/>
      <c r="BX119" s="37">
        <f t="shared" si="22"/>
        <v>2790.7831916666673</v>
      </c>
      <c r="BY119" s="37"/>
    </row>
    <row r="120" spans="1:77" x14ac:dyDescent="0.25">
      <c r="A120" s="43">
        <v>703</v>
      </c>
      <c r="B120" s="22" t="s">
        <v>231</v>
      </c>
      <c r="C120" s="22" t="s">
        <v>106</v>
      </c>
      <c r="D120" s="22" t="s">
        <v>72</v>
      </c>
      <c r="E120" s="22" t="s">
        <v>82</v>
      </c>
      <c r="F120" s="22" t="s">
        <v>102</v>
      </c>
      <c r="G120" s="23">
        <v>45908</v>
      </c>
      <c r="H120" s="22"/>
      <c r="I120" s="24"/>
      <c r="J120" s="25">
        <v>1</v>
      </c>
      <c r="K120" s="25">
        <v>2500</v>
      </c>
      <c r="L120" s="25"/>
      <c r="M120" s="26"/>
      <c r="N120" s="25">
        <f>SUM('11-2025'!$K120:$M120)</f>
        <v>2500</v>
      </c>
      <c r="O120" s="25"/>
      <c r="P120" s="25">
        <f t="shared" si="15"/>
        <v>0</v>
      </c>
      <c r="Q120" s="25">
        <f t="shared" si="16"/>
        <v>0</v>
      </c>
      <c r="R120" s="25">
        <v>1666.6666666666667</v>
      </c>
      <c r="S120" s="27">
        <f t="shared" si="17"/>
        <v>833.33333333333326</v>
      </c>
      <c r="T120" s="25">
        <f t="shared" si="18"/>
        <v>10000</v>
      </c>
      <c r="U120" s="25">
        <f>IF(T120&lt;=40000,0,
IF(T120&lt;=55000,(T120-40000)*10%,
IF(T120&lt;=70000,(T120-55000)*15%+1500,
IF(T120&lt;=200000,(T120-70000)*20%+1500+2250,
IF(T120&lt;=400000,(T120-200000)*22.5%+1500+2250+26000,
IF(T120&lt;=600000,(T120-400000)*25%+1500+2250+26000+45000,
IF(AND(T120&gt;600000,T120&lt;=1200000),(T120-400000)*25%+1500+2250+26000+45000
+IFERROR(LOOKUP(T120,{600001;700001;800001;900001},{4000;6750;10250;15250}),0),IF(T120&gt;1200000,((T120-1200000)*27.5%)+300000,0)
)))))))</f>
        <v>0</v>
      </c>
      <c r="V120" s="25">
        <f t="shared" si="19"/>
        <v>0</v>
      </c>
      <c r="W120" s="28">
        <f>+'11-2025'!$S120-'11-2025'!$V120+'11-2025'!$R120</f>
        <v>2500</v>
      </c>
      <c r="X120" s="28">
        <f t="shared" si="20"/>
        <v>83.333333333333329</v>
      </c>
      <c r="Y120" s="29">
        <v>0</v>
      </c>
      <c r="Z120" s="29">
        <f>IFERROR(+'11-2025'!$X120*'11-2025'!$Y120,"")</f>
        <v>0</v>
      </c>
      <c r="AA120" s="29">
        <v>0</v>
      </c>
      <c r="AB120" s="29">
        <f>IFERROR(+'11-2025'!$X120*'11-2025'!$AA120,"")</f>
        <v>0</v>
      </c>
      <c r="AC120" s="29">
        <v>0</v>
      </c>
      <c r="AD120" s="29">
        <f>IFERROR(+'11-2025'!$X120*'11-2025'!$AC120,"")</f>
        <v>0</v>
      </c>
      <c r="AE120" s="29">
        <v>0</v>
      </c>
      <c r="AF120" s="29">
        <f>IFERROR(+'11-2025'!$X120*'11-2025'!$AE120,"")</f>
        <v>0</v>
      </c>
      <c r="AG120" s="29">
        <v>0</v>
      </c>
      <c r="AH120" s="29">
        <f>IFERROR(+'11-2025'!$X120*'11-2025'!$AG120,"")</f>
        <v>0</v>
      </c>
      <c r="AI120" s="29">
        <v>0</v>
      </c>
      <c r="AJ120" s="29">
        <f>IFERROR('11-2025'!$Z120+'11-2025'!$AB120+'11-2025'!$AD120+'11-2025'!$AF120+'11-2025'!$AH120+'11-2025'!$AI120,"")</f>
        <v>0</v>
      </c>
      <c r="AK120" s="30">
        <f>IFERROR('11-2025'!$W120-'11-2025'!$AJ120,"")</f>
        <v>2500</v>
      </c>
      <c r="AL120" s="31"/>
      <c r="AM120" s="31">
        <v>1500</v>
      </c>
      <c r="AN120" s="31"/>
      <c r="AO120" s="31">
        <v>0</v>
      </c>
      <c r="AP120" s="31"/>
      <c r="AQ120" s="31"/>
      <c r="AR120" s="31">
        <v>0</v>
      </c>
      <c r="AS120" s="31">
        <v>0</v>
      </c>
      <c r="AT120" s="31">
        <v>0</v>
      </c>
      <c r="AU120" s="31">
        <v>0</v>
      </c>
      <c r="AV120" s="31">
        <v>2419.3471</v>
      </c>
      <c r="AW120" s="31">
        <v>0</v>
      </c>
      <c r="AX120" s="31">
        <v>0</v>
      </c>
      <c r="AY120" s="31">
        <v>0</v>
      </c>
      <c r="AZ120" s="31">
        <v>0</v>
      </c>
      <c r="BA120" s="31">
        <v>0</v>
      </c>
      <c r="BB120" s="31">
        <v>0</v>
      </c>
      <c r="BC120" s="31">
        <v>0</v>
      </c>
      <c r="BD120" s="31">
        <v>0</v>
      </c>
      <c r="BE120" s="31">
        <v>807.97</v>
      </c>
      <c r="BF120" s="31">
        <v>0</v>
      </c>
      <c r="BG120" s="31">
        <v>0</v>
      </c>
      <c r="BH120" s="31">
        <v>0</v>
      </c>
      <c r="BI120" s="31">
        <v>0</v>
      </c>
      <c r="BJ120" s="32">
        <f t="shared" si="23"/>
        <v>3227.3171000000002</v>
      </c>
      <c r="BK120" s="41">
        <f>BJ120+AM120+AL120+'11-2025'!$N120+AN120+AO120</f>
        <v>7227.3171000000002</v>
      </c>
      <c r="BL120" s="34">
        <f>'11-2025'!$O120</f>
        <v>0</v>
      </c>
      <c r="BM120" s="34">
        <f t="shared" si="12"/>
        <v>0</v>
      </c>
      <c r="BN120" s="34">
        <f t="shared" si="13"/>
        <v>0</v>
      </c>
      <c r="BO120" s="34">
        <f t="shared" si="21"/>
        <v>1666.6666666666667</v>
      </c>
      <c r="BP120" s="35">
        <f t="shared" si="14"/>
        <v>5560.6504333333332</v>
      </c>
      <c r="BQ120" s="34">
        <f>IFERROR(BP120/'11-2025'!$J120,0)*12</f>
        <v>66727.805200000003</v>
      </c>
      <c r="BR120" s="34">
        <f>IF(BQ120&lt;=40000,0,
IF(BQ120&lt;=55000,(BQ120-40000)*10%,
IF(BQ120&lt;=70000,(BQ120-55000)*15%+1500,
IF(BQ120&lt;=200000,(BQ120-70000)*20%+1500+2250,
IF(BQ120&lt;=400000,(BQ120-200000)*22.5%+1500+2250+26000,
IF(BQ120&lt;=600000,(BQ120-400000)*25%+1500+2250+26000+45000,
IF(AND(BQ120&gt;600000,BQ120&lt;=1200000),(BQ120-400000)*25%+1500+2250+26000+45000
+IFERROR(LOOKUP(BQ120,{600001;700001;800001;900001},{4000;6750;10250;15250}),0),IF(BQ120&gt;1200000,((BQ120-1200000)*27.5%)+300000,0)
)))))))</f>
        <v>3259.1707800000004</v>
      </c>
      <c r="BS120" s="32">
        <f>(BR120/12*'11-2025'!$J120)</f>
        <v>271.59756500000003</v>
      </c>
      <c r="BT120" s="33">
        <f>BS120-'11-2025'!$V120</f>
        <v>271.59756500000003</v>
      </c>
      <c r="BU120" s="32">
        <f>IFERROR(+'11-2025'!$W120+AL120+AM120+BJ120-'11-2025'!$AJ120-BT120+AN120+AO120,"")-AL120+AP120+AQ120</f>
        <v>6955.7195350000002</v>
      </c>
      <c r="BV120" s="36" t="s">
        <v>429</v>
      </c>
      <c r="BW120" s="37"/>
      <c r="BX120" s="37">
        <f t="shared" si="22"/>
        <v>6955.7195350000002</v>
      </c>
      <c r="BY120" s="37"/>
    </row>
    <row r="121" spans="1:77" s="75" customFormat="1" x14ac:dyDescent="0.25">
      <c r="A121" s="44">
        <v>704</v>
      </c>
      <c r="B121" s="40" t="s">
        <v>232</v>
      </c>
      <c r="C121" s="40" t="s">
        <v>71</v>
      </c>
      <c r="D121" s="40" t="s">
        <v>77</v>
      </c>
      <c r="E121" s="40" t="s">
        <v>85</v>
      </c>
      <c r="F121" s="40" t="s">
        <v>180</v>
      </c>
      <c r="G121" s="61">
        <v>45846</v>
      </c>
      <c r="H121" s="61">
        <v>45909</v>
      </c>
      <c r="I121" s="62"/>
      <c r="J121" s="63">
        <v>1</v>
      </c>
      <c r="K121" s="63">
        <v>4000</v>
      </c>
      <c r="L121" s="63"/>
      <c r="M121" s="64"/>
      <c r="N121" s="63">
        <f>SUM('11-2025'!$K121:$M121)</f>
        <v>4000</v>
      </c>
      <c r="O121" s="63"/>
      <c r="P121" s="63">
        <f t="shared" si="15"/>
        <v>0</v>
      </c>
      <c r="Q121" s="63">
        <f t="shared" si="16"/>
        <v>0</v>
      </c>
      <c r="R121" s="63">
        <v>1666.6666666666667</v>
      </c>
      <c r="S121" s="65">
        <f t="shared" si="17"/>
        <v>2333.333333333333</v>
      </c>
      <c r="T121" s="63">
        <f t="shared" si="18"/>
        <v>27999.999999999996</v>
      </c>
      <c r="U121" s="63">
        <f>IF(T121&lt;=40000,0,
IF(T121&lt;=55000,(T121-40000)*10%,
IF(T121&lt;=70000,(T121-55000)*15%+1500,
IF(T121&lt;=200000,(T121-70000)*20%+1500+2250,
IF(T121&lt;=400000,(T121-200000)*22.5%+1500+2250+26000,
IF(T121&lt;=600000,(T121-400000)*25%+1500+2250+26000+45000,
IF(AND(T121&gt;600000,T121&lt;=1200000),(T121-400000)*25%+1500+2250+26000+45000
+IFERROR(LOOKUP(T121,{600001;700001;800001;900001},{4000;6750;10250;15250}),0),IF(T121&gt;1200000,((T121-1200000)*27.5%)+300000,0)
)))))))</f>
        <v>0</v>
      </c>
      <c r="V121" s="63">
        <f t="shared" si="19"/>
        <v>0</v>
      </c>
      <c r="W121" s="66">
        <f>+'11-2025'!$S121-'11-2025'!$V121+'11-2025'!$R121</f>
        <v>4000</v>
      </c>
      <c r="X121" s="66">
        <f t="shared" si="20"/>
        <v>133.33333333333334</v>
      </c>
      <c r="Y121" s="67"/>
      <c r="Z121" s="67">
        <f>IFERROR(+'11-2025'!$X121*'11-2025'!$Y121,"")</f>
        <v>0</v>
      </c>
      <c r="AA121" s="67"/>
      <c r="AB121" s="67">
        <f>IFERROR(+'11-2025'!$X121*'11-2025'!$AA121,"")</f>
        <v>0</v>
      </c>
      <c r="AC121" s="67">
        <v>30</v>
      </c>
      <c r="AD121" s="67">
        <f>IFERROR(+'11-2025'!$X121*'11-2025'!$AC121,"")</f>
        <v>4000.0000000000005</v>
      </c>
      <c r="AE121" s="67"/>
      <c r="AF121" s="67">
        <f>IFERROR(+'11-2025'!$X121*'11-2025'!$AE121,"")</f>
        <v>0</v>
      </c>
      <c r="AG121" s="67"/>
      <c r="AH121" s="67">
        <f>IFERROR(+'11-2025'!$X121*'11-2025'!$AG121,"")</f>
        <v>0</v>
      </c>
      <c r="AI121" s="29">
        <v>0</v>
      </c>
      <c r="AJ121" s="67">
        <f>IFERROR('11-2025'!$Z121+'11-2025'!$AB121+'11-2025'!$AD121+'11-2025'!$AF121+'11-2025'!$AH121+'11-2025'!$AI121,"")</f>
        <v>4000.0000000000005</v>
      </c>
      <c r="AK121" s="68">
        <f>IFERROR('11-2025'!$W121-'11-2025'!$AJ121,"")</f>
        <v>-4.5474735088646412E-13</v>
      </c>
      <c r="AL121" s="69"/>
      <c r="AM121" s="69"/>
      <c r="AN121" s="69"/>
      <c r="AO121" s="69"/>
      <c r="AP121" s="69"/>
      <c r="AQ121" s="69"/>
      <c r="AR121" s="31">
        <v>0</v>
      </c>
      <c r="AS121" s="31">
        <v>0</v>
      </c>
      <c r="AT121" s="31">
        <v>0</v>
      </c>
      <c r="AU121" s="31">
        <v>0</v>
      </c>
      <c r="AV121" s="31">
        <v>0</v>
      </c>
      <c r="AW121" s="31">
        <v>0</v>
      </c>
      <c r="AX121" s="31">
        <v>0</v>
      </c>
      <c r="AY121" s="31">
        <v>0</v>
      </c>
      <c r="AZ121" s="31">
        <v>0</v>
      </c>
      <c r="BA121" s="31">
        <v>0</v>
      </c>
      <c r="BB121" s="31">
        <v>0</v>
      </c>
      <c r="BC121" s="31">
        <v>0</v>
      </c>
      <c r="BD121" s="31">
        <v>0</v>
      </c>
      <c r="BE121" s="31">
        <v>0</v>
      </c>
      <c r="BF121" s="31">
        <v>0</v>
      </c>
      <c r="BG121" s="31">
        <v>0</v>
      </c>
      <c r="BH121" s="31">
        <v>0</v>
      </c>
      <c r="BI121" s="31">
        <v>0</v>
      </c>
      <c r="BJ121" s="39">
        <f t="shared" si="23"/>
        <v>0</v>
      </c>
      <c r="BK121" s="77">
        <f>BJ121+AM121+AL121+'11-2025'!$N121+AN121+AO121</f>
        <v>4000</v>
      </c>
      <c r="BL121" s="71">
        <f>'11-2025'!$O121</f>
        <v>0</v>
      </c>
      <c r="BM121" s="71">
        <f t="shared" si="12"/>
        <v>0</v>
      </c>
      <c r="BN121" s="71">
        <f t="shared" si="13"/>
        <v>0</v>
      </c>
      <c r="BO121" s="71">
        <f t="shared" si="21"/>
        <v>1666.6666666666667</v>
      </c>
      <c r="BP121" s="72">
        <f t="shared" si="14"/>
        <v>2333.333333333333</v>
      </c>
      <c r="BQ121" s="71">
        <f>IFERROR(BP121/'11-2025'!$J121,0)*12</f>
        <v>27999.999999999996</v>
      </c>
      <c r="BR121" s="71">
        <f>IF(BQ121&lt;=40000,0,
IF(BQ121&lt;=55000,(BQ121-40000)*10%,
IF(BQ121&lt;=70000,(BQ121-55000)*15%+1500,
IF(BQ121&lt;=200000,(BQ121-70000)*20%+1500+2250,
IF(BQ121&lt;=400000,(BQ121-200000)*22.5%+1500+2250+26000,
IF(BQ121&lt;=600000,(BQ121-400000)*25%+1500+2250+26000+45000,
IF(AND(BQ121&gt;600000,BQ121&lt;=1200000),(BQ121-400000)*25%+1500+2250+26000+45000
+IFERROR(LOOKUP(BQ121,{600001;700001;800001;900001},{4000;6750;10250;15250}),0),IF(BQ121&gt;1200000,((BQ121-1200000)*27.5%)+300000,0)
)))))))</f>
        <v>0</v>
      </c>
      <c r="BS121" s="39">
        <f>(BR121/12*'11-2025'!$J121)</f>
        <v>0</v>
      </c>
      <c r="BT121" s="70">
        <f>BS121-'11-2025'!$V121</f>
        <v>0</v>
      </c>
      <c r="BU121" s="39">
        <f>IFERROR(+'11-2025'!$W121+AL121+AM121+BJ121-'11-2025'!$AJ121-BT121+AN121+AO121,"")-AL121+AP121+AQ121</f>
        <v>-4.5474735088646412E-13</v>
      </c>
      <c r="BV121" s="73"/>
      <c r="BW121" s="74"/>
      <c r="BX121" s="74">
        <f t="shared" si="22"/>
        <v>-4.5474735088646412E-13</v>
      </c>
      <c r="BY121" s="74"/>
    </row>
    <row r="122" spans="1:77" s="75" customFormat="1" x14ac:dyDescent="0.25">
      <c r="A122" s="44">
        <v>706</v>
      </c>
      <c r="B122" s="40" t="s">
        <v>233</v>
      </c>
      <c r="C122" s="40" t="s">
        <v>71</v>
      </c>
      <c r="D122" s="40" t="s">
        <v>72</v>
      </c>
      <c r="E122" s="40" t="s">
        <v>110</v>
      </c>
      <c r="F122" s="40" t="s">
        <v>102</v>
      </c>
      <c r="G122" s="61">
        <v>45850</v>
      </c>
      <c r="H122" s="61">
        <v>45931</v>
      </c>
      <c r="I122" s="62"/>
      <c r="J122" s="63">
        <v>1</v>
      </c>
      <c r="K122" s="63">
        <v>2500</v>
      </c>
      <c r="L122" s="63"/>
      <c r="M122" s="64"/>
      <c r="N122" s="63">
        <f>SUM('11-2025'!$K122:$M122)</f>
        <v>2500</v>
      </c>
      <c r="O122" s="63"/>
      <c r="P122" s="63">
        <f t="shared" si="15"/>
        <v>0</v>
      </c>
      <c r="Q122" s="63">
        <f t="shared" si="16"/>
        <v>0</v>
      </c>
      <c r="R122" s="63">
        <v>1666.6666666666667</v>
      </c>
      <c r="S122" s="65">
        <f t="shared" si="17"/>
        <v>833.33333333333326</v>
      </c>
      <c r="T122" s="63">
        <f t="shared" si="18"/>
        <v>10000</v>
      </c>
      <c r="U122" s="63">
        <f>IF(T122&lt;=40000,0,
IF(T122&lt;=55000,(T122-40000)*10%,
IF(T122&lt;=70000,(T122-55000)*15%+1500,
IF(T122&lt;=200000,(T122-70000)*20%+1500+2250,
IF(T122&lt;=400000,(T122-200000)*22.5%+1500+2250+26000,
IF(T122&lt;=600000,(T122-400000)*25%+1500+2250+26000+45000,
IF(AND(T122&gt;600000,T122&lt;=1200000),(T122-400000)*25%+1500+2250+26000+45000
+IFERROR(LOOKUP(T122,{600001;700001;800001;900001},{4000;6750;10250;15250}),0),IF(T122&gt;1200000,((T122-1200000)*27.5%)+300000,0)
)))))))</f>
        <v>0</v>
      </c>
      <c r="V122" s="63">
        <f t="shared" si="19"/>
        <v>0</v>
      </c>
      <c r="W122" s="66">
        <f>+'11-2025'!$S122-'11-2025'!$V122+'11-2025'!$R122</f>
        <v>2500</v>
      </c>
      <c r="X122" s="66">
        <f t="shared" si="20"/>
        <v>83.333333333333329</v>
      </c>
      <c r="Y122" s="67"/>
      <c r="Z122" s="67">
        <f>IFERROR(+'11-2025'!$X122*'11-2025'!$Y122,"")</f>
        <v>0</v>
      </c>
      <c r="AA122" s="67"/>
      <c r="AB122" s="67">
        <f>IFERROR(+'11-2025'!$X122*'11-2025'!$AA122,"")</f>
        <v>0</v>
      </c>
      <c r="AC122" s="67">
        <v>30</v>
      </c>
      <c r="AD122" s="67">
        <f>IFERROR(+'11-2025'!$X122*'11-2025'!$AC122,"")</f>
        <v>2500</v>
      </c>
      <c r="AE122" s="67"/>
      <c r="AF122" s="67">
        <f>IFERROR(+'11-2025'!$X122*'11-2025'!$AE122,"")</f>
        <v>0</v>
      </c>
      <c r="AG122" s="67"/>
      <c r="AH122" s="67">
        <f>IFERROR(+'11-2025'!$X122*'11-2025'!$AG122,"")</f>
        <v>0</v>
      </c>
      <c r="AI122" s="29">
        <v>0</v>
      </c>
      <c r="AJ122" s="67">
        <f>IFERROR('11-2025'!$Z122+'11-2025'!$AB122+'11-2025'!$AD122+'11-2025'!$AF122+'11-2025'!$AH122+'11-2025'!$AI122,"")</f>
        <v>2500</v>
      </c>
      <c r="AK122" s="68">
        <f>IFERROR('11-2025'!$W122-'11-2025'!$AJ122,"")</f>
        <v>0</v>
      </c>
      <c r="AL122" s="69"/>
      <c r="AM122" s="69"/>
      <c r="AN122" s="69"/>
      <c r="AO122" s="69"/>
      <c r="AP122" s="69"/>
      <c r="AQ122" s="69"/>
      <c r="AR122" s="31">
        <v>0</v>
      </c>
      <c r="AS122" s="31">
        <v>0</v>
      </c>
      <c r="AT122" s="31">
        <v>0</v>
      </c>
      <c r="AU122" s="31">
        <v>0</v>
      </c>
      <c r="AV122" s="31">
        <v>0</v>
      </c>
      <c r="AW122" s="31">
        <v>0</v>
      </c>
      <c r="AX122" s="31">
        <v>0</v>
      </c>
      <c r="AY122" s="31">
        <v>0</v>
      </c>
      <c r="AZ122" s="31">
        <v>0</v>
      </c>
      <c r="BA122" s="31">
        <v>0</v>
      </c>
      <c r="BB122" s="31">
        <v>0</v>
      </c>
      <c r="BC122" s="31">
        <v>0</v>
      </c>
      <c r="BD122" s="31">
        <v>0</v>
      </c>
      <c r="BE122" s="31">
        <v>0</v>
      </c>
      <c r="BF122" s="31">
        <v>0</v>
      </c>
      <c r="BG122" s="31">
        <v>0</v>
      </c>
      <c r="BH122" s="31">
        <v>0</v>
      </c>
      <c r="BI122" s="31">
        <v>0</v>
      </c>
      <c r="BJ122" s="39">
        <f t="shared" si="23"/>
        <v>0</v>
      </c>
      <c r="BK122" s="77">
        <f>BJ122+AM122+AL122+'11-2025'!$N122+AN122+AO122</f>
        <v>2500</v>
      </c>
      <c r="BL122" s="71">
        <f>'11-2025'!$O122</f>
        <v>0</v>
      </c>
      <c r="BM122" s="71">
        <f t="shared" si="12"/>
        <v>0</v>
      </c>
      <c r="BN122" s="71">
        <f t="shared" si="13"/>
        <v>0</v>
      </c>
      <c r="BO122" s="71">
        <f t="shared" si="21"/>
        <v>1666.6666666666667</v>
      </c>
      <c r="BP122" s="72">
        <f t="shared" si="14"/>
        <v>833.33333333333326</v>
      </c>
      <c r="BQ122" s="71">
        <f>IFERROR(BP122/'11-2025'!$J122,0)*12</f>
        <v>10000</v>
      </c>
      <c r="BR122" s="71">
        <f>IF(BQ122&lt;=40000,0,
IF(BQ122&lt;=55000,(BQ122-40000)*10%,
IF(BQ122&lt;=70000,(BQ122-55000)*15%+1500,
IF(BQ122&lt;=200000,(BQ122-70000)*20%+1500+2250,
IF(BQ122&lt;=400000,(BQ122-200000)*22.5%+1500+2250+26000,
IF(BQ122&lt;=600000,(BQ122-400000)*25%+1500+2250+26000+45000,
IF(AND(BQ122&gt;600000,BQ122&lt;=1200000),(BQ122-400000)*25%+1500+2250+26000+45000
+IFERROR(LOOKUP(BQ122,{600001;700001;800001;900001},{4000;6750;10250;15250}),0),IF(BQ122&gt;1200000,((BQ122-1200000)*27.5%)+300000,0)
)))))))</f>
        <v>0</v>
      </c>
      <c r="BS122" s="39">
        <f>(BR122/12*'11-2025'!$J122)</f>
        <v>0</v>
      </c>
      <c r="BT122" s="70">
        <f>BS122-'11-2025'!$V122</f>
        <v>0</v>
      </c>
      <c r="BU122" s="39">
        <f>IFERROR(+'11-2025'!$W122+AL122+AM122+BJ122-'11-2025'!$AJ122-BT122+AN122+AO122,"")-AL122+AP122+AQ122</f>
        <v>0</v>
      </c>
      <c r="BV122" s="73"/>
      <c r="BW122" s="74"/>
      <c r="BX122" s="74">
        <f t="shared" si="22"/>
        <v>0</v>
      </c>
      <c r="BY122" s="74"/>
    </row>
    <row r="123" spans="1:77" x14ac:dyDescent="0.25">
      <c r="A123" s="43">
        <v>707</v>
      </c>
      <c r="B123" s="22" t="s">
        <v>234</v>
      </c>
      <c r="C123" s="22" t="s">
        <v>71</v>
      </c>
      <c r="D123" s="22" t="s">
        <v>72</v>
      </c>
      <c r="E123" s="22" t="s">
        <v>99</v>
      </c>
      <c r="F123" s="22" t="s">
        <v>102</v>
      </c>
      <c r="G123" s="23">
        <v>45851</v>
      </c>
      <c r="H123" s="22"/>
      <c r="I123" s="24"/>
      <c r="J123" s="25">
        <v>1</v>
      </c>
      <c r="K123" s="25">
        <v>2500</v>
      </c>
      <c r="L123" s="25"/>
      <c r="M123" s="26"/>
      <c r="N123" s="25">
        <f>SUM('11-2025'!$K123:$M123)</f>
        <v>2500</v>
      </c>
      <c r="O123" s="25"/>
      <c r="P123" s="25">
        <f t="shared" si="15"/>
        <v>0</v>
      </c>
      <c r="Q123" s="25">
        <f t="shared" si="16"/>
        <v>0</v>
      </c>
      <c r="R123" s="25">
        <v>1666.6666666666667</v>
      </c>
      <c r="S123" s="27">
        <f t="shared" si="17"/>
        <v>833.33333333333326</v>
      </c>
      <c r="T123" s="25">
        <f t="shared" si="18"/>
        <v>10000</v>
      </c>
      <c r="U123" s="25">
        <f>IF(T123&lt;=40000,0,
IF(T123&lt;=55000,(T123-40000)*10%,
IF(T123&lt;=70000,(T123-55000)*15%+1500,
IF(T123&lt;=200000,(T123-70000)*20%+1500+2250,
IF(T123&lt;=400000,(T123-200000)*22.5%+1500+2250+26000,
IF(T123&lt;=600000,(T123-400000)*25%+1500+2250+26000+45000,
IF(AND(T123&gt;600000,T123&lt;=1200000),(T123-400000)*25%+1500+2250+26000+45000
+IFERROR(LOOKUP(T123,{600001;700001;800001;900001},{4000;6750;10250;15250}),0),IF(T123&gt;1200000,((T123-1200000)*27.5%)+300000,0)
)))))))</f>
        <v>0</v>
      </c>
      <c r="V123" s="25">
        <f t="shared" si="19"/>
        <v>0</v>
      </c>
      <c r="W123" s="28">
        <f>+'11-2025'!$S123-'11-2025'!$V123+'11-2025'!$R123</f>
        <v>2500</v>
      </c>
      <c r="X123" s="28">
        <f t="shared" si="20"/>
        <v>83.333333333333329</v>
      </c>
      <c r="Y123" s="29">
        <v>0</v>
      </c>
      <c r="Z123" s="29">
        <f>IFERROR(+'11-2025'!$X123*'11-2025'!$Y123,"")</f>
        <v>0</v>
      </c>
      <c r="AA123" s="29">
        <v>0</v>
      </c>
      <c r="AB123" s="29">
        <f>IFERROR(+'11-2025'!$X123*'11-2025'!$AA123,"")</f>
        <v>0</v>
      </c>
      <c r="AC123" s="29">
        <v>1</v>
      </c>
      <c r="AD123" s="29">
        <f>IFERROR(+'11-2025'!$X123*'11-2025'!$AC123,"")</f>
        <v>83.333333333333329</v>
      </c>
      <c r="AE123" s="29">
        <v>0</v>
      </c>
      <c r="AF123" s="29">
        <f>IFERROR(+'11-2025'!$X123*'11-2025'!$AE123,"")</f>
        <v>0</v>
      </c>
      <c r="AG123" s="29">
        <v>2.75</v>
      </c>
      <c r="AH123" s="29">
        <f>IFERROR(+'11-2025'!$X123*'11-2025'!$AG123,"")</f>
        <v>229.16666666666666</v>
      </c>
      <c r="AI123" s="29">
        <v>200</v>
      </c>
      <c r="AJ123" s="29">
        <f>IFERROR('11-2025'!$Z123+'11-2025'!$AB123+'11-2025'!$AD123+'11-2025'!$AF123+'11-2025'!$AH123+'11-2025'!$AI123,"")</f>
        <v>512.5</v>
      </c>
      <c r="AK123" s="30">
        <f>IFERROR('11-2025'!$W123-'11-2025'!$AJ123,"")</f>
        <v>1987.5</v>
      </c>
      <c r="AL123" s="31"/>
      <c r="AM123" s="31"/>
      <c r="AN123" s="31"/>
      <c r="AO123" s="31">
        <v>0</v>
      </c>
      <c r="AP123" s="31"/>
      <c r="AQ123" s="31"/>
      <c r="AR123" s="31">
        <v>0</v>
      </c>
      <c r="AS123" s="31">
        <v>738.26</v>
      </c>
      <c r="AT123" s="31">
        <v>0</v>
      </c>
      <c r="AU123" s="31">
        <v>0</v>
      </c>
      <c r="AV123" s="31">
        <v>0</v>
      </c>
      <c r="AW123" s="31">
        <v>0</v>
      </c>
      <c r="AX123" s="31">
        <v>0</v>
      </c>
      <c r="AY123" s="31">
        <v>0</v>
      </c>
      <c r="AZ123" s="31">
        <v>0</v>
      </c>
      <c r="BA123" s="31">
        <v>0</v>
      </c>
      <c r="BB123" s="31">
        <v>0</v>
      </c>
      <c r="BC123" s="31">
        <v>0</v>
      </c>
      <c r="BD123" s="31">
        <v>0</v>
      </c>
      <c r="BE123" s="31">
        <v>0</v>
      </c>
      <c r="BF123" s="31">
        <v>0</v>
      </c>
      <c r="BG123" s="31">
        <v>0</v>
      </c>
      <c r="BH123" s="31">
        <v>0</v>
      </c>
      <c r="BI123" s="31">
        <v>0</v>
      </c>
      <c r="BJ123" s="32">
        <f t="shared" si="23"/>
        <v>738.26</v>
      </c>
      <c r="BK123" s="41">
        <f>BJ123+AM123+AL123+'11-2025'!$N123+AN123+AO123</f>
        <v>3238.26</v>
      </c>
      <c r="BL123" s="34">
        <f>'11-2025'!$O123</f>
        <v>0</v>
      </c>
      <c r="BM123" s="34">
        <f t="shared" si="12"/>
        <v>0</v>
      </c>
      <c r="BN123" s="34">
        <f t="shared" si="13"/>
        <v>0</v>
      </c>
      <c r="BO123" s="34">
        <f t="shared" si="21"/>
        <v>1666.6666666666667</v>
      </c>
      <c r="BP123" s="35">
        <f t="shared" si="14"/>
        <v>1571.5933333333335</v>
      </c>
      <c r="BQ123" s="34">
        <f>IFERROR(BP123/'11-2025'!$J123,0)*12</f>
        <v>18859.120000000003</v>
      </c>
      <c r="BR123" s="34">
        <f>IF(BQ123&lt;=40000,0,
IF(BQ123&lt;=55000,(BQ123-40000)*10%,
IF(BQ123&lt;=70000,(BQ123-55000)*15%+1500,
IF(BQ123&lt;=200000,(BQ123-70000)*20%+1500+2250,
IF(BQ123&lt;=400000,(BQ123-200000)*22.5%+1500+2250+26000,
IF(BQ123&lt;=600000,(BQ123-400000)*25%+1500+2250+26000+45000,
IF(AND(BQ123&gt;600000,BQ123&lt;=1200000),(BQ123-400000)*25%+1500+2250+26000+45000
+IFERROR(LOOKUP(BQ123,{600001;700001;800001;900001},{4000;6750;10250;15250}),0),IF(BQ123&gt;1200000,((BQ123-1200000)*27.5%)+300000,0)
)))))))</f>
        <v>0</v>
      </c>
      <c r="BS123" s="32">
        <f>(BR123/12*'11-2025'!$J123)</f>
        <v>0</v>
      </c>
      <c r="BT123" s="33">
        <f>BS123-'11-2025'!$V123</f>
        <v>0</v>
      </c>
      <c r="BU123" s="32">
        <f>IFERROR(+'11-2025'!$W123+AL123+AM123+BJ123-'11-2025'!$AJ123-BT123+AN123+AO123,"")-AL123+AP123+AQ123</f>
        <v>2725.76</v>
      </c>
      <c r="BV123" s="36"/>
      <c r="BW123" s="37"/>
      <c r="BX123" s="37">
        <f t="shared" si="22"/>
        <v>2725.76</v>
      </c>
      <c r="BY123" s="37"/>
    </row>
    <row r="124" spans="1:77" x14ac:dyDescent="0.25">
      <c r="A124" s="44">
        <v>710</v>
      </c>
      <c r="B124" s="22" t="s">
        <v>235</v>
      </c>
      <c r="C124" s="22" t="s">
        <v>81</v>
      </c>
      <c r="D124" s="22" t="s">
        <v>72</v>
      </c>
      <c r="E124" s="22" t="s">
        <v>124</v>
      </c>
      <c r="F124" s="22" t="s">
        <v>139</v>
      </c>
      <c r="G124" s="23">
        <v>45860</v>
      </c>
      <c r="H124" s="23">
        <v>45961</v>
      </c>
      <c r="I124" s="24"/>
      <c r="J124" s="25">
        <v>1</v>
      </c>
      <c r="K124" s="25">
        <v>3000</v>
      </c>
      <c r="L124" s="25"/>
      <c r="M124" s="26"/>
      <c r="N124" s="25">
        <f>SUM('11-2025'!$K124:$M124)</f>
        <v>3000</v>
      </c>
      <c r="O124" s="25"/>
      <c r="P124" s="25">
        <f t="shared" si="15"/>
        <v>0</v>
      </c>
      <c r="Q124" s="25">
        <f t="shared" si="16"/>
        <v>0</v>
      </c>
      <c r="R124" s="25">
        <v>1666.6666666666667</v>
      </c>
      <c r="S124" s="27">
        <f t="shared" si="17"/>
        <v>1333.3333333333333</v>
      </c>
      <c r="T124" s="25">
        <f t="shared" si="18"/>
        <v>16000</v>
      </c>
      <c r="U124" s="25">
        <f>IF(T124&lt;=40000,0,
IF(T124&lt;=55000,(T124-40000)*10%,
IF(T124&lt;=70000,(T124-55000)*15%+1500,
IF(T124&lt;=200000,(T124-70000)*20%+1500+2250,
IF(T124&lt;=400000,(T124-200000)*22.5%+1500+2250+26000,
IF(T124&lt;=600000,(T124-400000)*25%+1500+2250+26000+45000,
IF(AND(T124&gt;600000,T124&lt;=1200000),(T124-400000)*25%+1500+2250+26000+45000
+IFERROR(LOOKUP(T124,{600001;700001;800001;900001},{4000;6750;10250;15250}),0),IF(T124&gt;1200000,((T124-1200000)*27.5%)+300000,0)
)))))))</f>
        <v>0</v>
      </c>
      <c r="V124" s="25">
        <f t="shared" si="19"/>
        <v>0</v>
      </c>
      <c r="W124" s="28">
        <f>+'11-2025'!$S124-'11-2025'!$V124+'11-2025'!$R124</f>
        <v>3000</v>
      </c>
      <c r="X124" s="28">
        <f t="shared" si="20"/>
        <v>100</v>
      </c>
      <c r="Y124" s="29"/>
      <c r="Z124" s="29">
        <f>IFERROR(+'11-2025'!$X124*'11-2025'!$Y124,"")</f>
        <v>0</v>
      </c>
      <c r="AA124" s="29">
        <v>2</v>
      </c>
      <c r="AB124" s="29">
        <f>IFERROR(+'11-2025'!$X124*'11-2025'!$AA124,"")</f>
        <v>200</v>
      </c>
      <c r="AC124" s="29">
        <v>23</v>
      </c>
      <c r="AD124" s="29">
        <f>IFERROR(+'11-2025'!$X124*'11-2025'!$AC124,"")</f>
        <v>2300</v>
      </c>
      <c r="AE124" s="29">
        <v>2.5</v>
      </c>
      <c r="AF124" s="29">
        <f>IFERROR(+'11-2025'!$X124*'11-2025'!$AE124,"")</f>
        <v>250</v>
      </c>
      <c r="AG124" s="29"/>
      <c r="AH124" s="29">
        <f>IFERROR(+'11-2025'!$X124*'11-2025'!$AG124,"")</f>
        <v>0</v>
      </c>
      <c r="AI124" s="29">
        <v>0</v>
      </c>
      <c r="AJ124" s="29">
        <f>IFERROR('11-2025'!$Z124+'11-2025'!$AB124+'11-2025'!$AD124+'11-2025'!$AF124+'11-2025'!$AH124+'11-2025'!$AI124,"")</f>
        <v>2750</v>
      </c>
      <c r="AK124" s="30">
        <f>IFERROR('11-2025'!$W124-'11-2025'!$AJ124,"")</f>
        <v>250</v>
      </c>
      <c r="AL124" s="31"/>
      <c r="AM124" s="31"/>
      <c r="AN124" s="31"/>
      <c r="AO124" s="31"/>
      <c r="AP124" s="31"/>
      <c r="AQ124" s="31"/>
      <c r="AR124" s="31">
        <v>0</v>
      </c>
      <c r="AS124" s="31">
        <v>0</v>
      </c>
      <c r="AT124" s="31">
        <v>0</v>
      </c>
      <c r="AU124" s="31">
        <v>0</v>
      </c>
      <c r="AV124" s="31">
        <v>1854.2315999999996</v>
      </c>
      <c r="AW124" s="31">
        <v>0</v>
      </c>
      <c r="AX124" s="31">
        <v>0</v>
      </c>
      <c r="AY124" s="31">
        <v>0</v>
      </c>
      <c r="AZ124" s="31">
        <v>0</v>
      </c>
      <c r="BA124" s="31">
        <v>0</v>
      </c>
      <c r="BB124" s="31">
        <v>0</v>
      </c>
      <c r="BC124" s="31">
        <v>0</v>
      </c>
      <c r="BD124" s="31">
        <v>0</v>
      </c>
      <c r="BE124" s="31">
        <v>0</v>
      </c>
      <c r="BF124" s="31">
        <v>0</v>
      </c>
      <c r="BG124" s="31">
        <v>0</v>
      </c>
      <c r="BH124" s="31">
        <v>0</v>
      </c>
      <c r="BI124" s="31">
        <v>0</v>
      </c>
      <c r="BJ124" s="32">
        <f t="shared" si="23"/>
        <v>1854.2315999999996</v>
      </c>
      <c r="BK124" s="41">
        <f>BJ124+AM124+AL124+'11-2025'!$N124+AN124+AO124</f>
        <v>4854.2315999999992</v>
      </c>
      <c r="BL124" s="34">
        <f>'11-2025'!$O124</f>
        <v>0</v>
      </c>
      <c r="BM124" s="34">
        <f t="shared" si="12"/>
        <v>0</v>
      </c>
      <c r="BN124" s="34">
        <f t="shared" si="13"/>
        <v>0</v>
      </c>
      <c r="BO124" s="34">
        <f t="shared" si="21"/>
        <v>1666.6666666666667</v>
      </c>
      <c r="BP124" s="35">
        <f t="shared" si="14"/>
        <v>3187.5649333333322</v>
      </c>
      <c r="BQ124" s="34">
        <f>IFERROR(BP124/'11-2025'!$J124,0)*12</f>
        <v>38250.77919999999</v>
      </c>
      <c r="BR124" s="34">
        <f>IF(BQ124&lt;=40000,0,
IF(BQ124&lt;=55000,(BQ124-40000)*10%,
IF(BQ124&lt;=70000,(BQ124-55000)*15%+1500,
IF(BQ124&lt;=200000,(BQ124-70000)*20%+1500+2250,
IF(BQ124&lt;=400000,(BQ124-200000)*22.5%+1500+2250+26000,
IF(BQ124&lt;=600000,(BQ124-400000)*25%+1500+2250+26000+45000,
IF(AND(BQ124&gt;600000,BQ124&lt;=1200000),(BQ124-400000)*25%+1500+2250+26000+45000
+IFERROR(LOOKUP(BQ124,{600001;700001;800001;900001},{4000;6750;10250;15250}),0),IF(BQ124&gt;1200000,((BQ124-1200000)*27.5%)+300000,0)
)))))))</f>
        <v>0</v>
      </c>
      <c r="BS124" s="32">
        <f>(BR124/12*'11-2025'!$J124)</f>
        <v>0</v>
      </c>
      <c r="BT124" s="33">
        <f>BS124-'11-2025'!$V124</f>
        <v>0</v>
      </c>
      <c r="BU124" s="32">
        <f>IFERROR(+'11-2025'!$W124+AL124+AM124+BJ124-'11-2025'!$AJ124-BT124+AN124+AO124,"")-AL124+AP124+AQ124</f>
        <v>2104.2315999999992</v>
      </c>
      <c r="BV124" s="36"/>
      <c r="BW124" s="37"/>
      <c r="BX124" s="37">
        <f t="shared" si="22"/>
        <v>2104.2315999999992</v>
      </c>
      <c r="BY124" s="37"/>
    </row>
    <row r="125" spans="1:77" x14ac:dyDescent="0.25">
      <c r="A125" s="43">
        <v>712</v>
      </c>
      <c r="B125" s="22" t="s">
        <v>322</v>
      </c>
      <c r="C125" s="22" t="s">
        <v>71</v>
      </c>
      <c r="D125" s="22" t="s">
        <v>77</v>
      </c>
      <c r="E125" s="22" t="s">
        <v>85</v>
      </c>
      <c r="F125" s="22" t="s">
        <v>236</v>
      </c>
      <c r="G125" s="23">
        <v>45861</v>
      </c>
      <c r="H125" s="22"/>
      <c r="I125" s="24"/>
      <c r="J125" s="25">
        <v>1</v>
      </c>
      <c r="K125" s="25">
        <v>4500</v>
      </c>
      <c r="L125" s="25"/>
      <c r="M125" s="26"/>
      <c r="N125" s="25">
        <f>SUM('11-2025'!$K125:$M125)</f>
        <v>4500</v>
      </c>
      <c r="O125" s="25"/>
      <c r="P125" s="25">
        <f t="shared" si="15"/>
        <v>0</v>
      </c>
      <c r="Q125" s="25">
        <f t="shared" si="16"/>
        <v>0</v>
      </c>
      <c r="R125" s="25">
        <v>1666.6666666666667</v>
      </c>
      <c r="S125" s="27">
        <f t="shared" si="17"/>
        <v>2833.333333333333</v>
      </c>
      <c r="T125" s="25">
        <f t="shared" si="18"/>
        <v>34000</v>
      </c>
      <c r="U125" s="25">
        <f>IF(T125&lt;=40000,0,
IF(T125&lt;=55000,(T125-40000)*10%,
IF(T125&lt;=70000,(T125-55000)*15%+1500,
IF(T125&lt;=200000,(T125-70000)*20%+1500+2250,
IF(T125&lt;=400000,(T125-200000)*22.5%+1500+2250+26000,
IF(T125&lt;=600000,(T125-400000)*25%+1500+2250+26000+45000,
IF(AND(T125&gt;600000,T125&lt;=1200000),(T125-400000)*25%+1500+2250+26000+45000
+IFERROR(LOOKUP(T125,{600001;700001;800001;900001},{4000;6750;10250;15250}),0),IF(T125&gt;1200000,((T125-1200000)*27.5%)+300000,0)
)))))))</f>
        <v>0</v>
      </c>
      <c r="V125" s="25">
        <f t="shared" si="19"/>
        <v>0</v>
      </c>
      <c r="W125" s="28">
        <f>+'11-2025'!$S125-'11-2025'!$V125+'11-2025'!$R125</f>
        <v>4500</v>
      </c>
      <c r="X125" s="28">
        <f t="shared" si="20"/>
        <v>150</v>
      </c>
      <c r="Y125" s="29">
        <v>0</v>
      </c>
      <c r="Z125" s="29">
        <f>IFERROR(+'11-2025'!$X125*'11-2025'!$Y125,"")</f>
        <v>0</v>
      </c>
      <c r="AA125" s="29">
        <v>0</v>
      </c>
      <c r="AB125" s="29">
        <f>IFERROR(+'11-2025'!$X125*'11-2025'!$AA125,"")</f>
        <v>0</v>
      </c>
      <c r="AC125" s="29">
        <v>1.5</v>
      </c>
      <c r="AD125" s="29">
        <f>IFERROR(+'11-2025'!$X125*'11-2025'!$AC125,"")</f>
        <v>225</v>
      </c>
      <c r="AE125" s="29">
        <v>0</v>
      </c>
      <c r="AF125" s="29">
        <f>IFERROR(+'11-2025'!$X125*'11-2025'!$AE125,"")</f>
        <v>0</v>
      </c>
      <c r="AG125" s="29">
        <v>0</v>
      </c>
      <c r="AH125" s="29">
        <f>IFERROR(+'11-2025'!$X125*'11-2025'!$AG125,"")</f>
        <v>0</v>
      </c>
      <c r="AI125" s="29">
        <v>0</v>
      </c>
      <c r="AJ125" s="29">
        <f>IFERROR('11-2025'!$Z125+'11-2025'!$AB125+'11-2025'!$AD125+'11-2025'!$AF125+'11-2025'!$AH125+'11-2025'!$AI125,"")</f>
        <v>225</v>
      </c>
      <c r="AK125" s="30">
        <f>IFERROR('11-2025'!$W125-'11-2025'!$AJ125,"")</f>
        <v>4275</v>
      </c>
      <c r="AL125" s="31"/>
      <c r="AM125" s="31"/>
      <c r="AN125" s="31"/>
      <c r="AO125" s="31">
        <v>60</v>
      </c>
      <c r="AP125" s="31"/>
      <c r="AQ125" s="31"/>
      <c r="AR125" s="31">
        <v>0</v>
      </c>
      <c r="AS125" s="31">
        <v>0</v>
      </c>
      <c r="AT125" s="31">
        <v>0</v>
      </c>
      <c r="AU125" s="31">
        <v>0</v>
      </c>
      <c r="AV125" s="31">
        <v>0</v>
      </c>
      <c r="AW125" s="31">
        <v>0</v>
      </c>
      <c r="AX125" s="31">
        <v>0</v>
      </c>
      <c r="AY125" s="31">
        <v>0</v>
      </c>
      <c r="AZ125" s="31">
        <v>0</v>
      </c>
      <c r="BA125" s="31">
        <v>0</v>
      </c>
      <c r="BB125" s="31">
        <v>0</v>
      </c>
      <c r="BC125" s="31">
        <v>0</v>
      </c>
      <c r="BD125" s="31">
        <v>0</v>
      </c>
      <c r="BE125" s="31">
        <v>0</v>
      </c>
      <c r="BF125" s="31">
        <v>0</v>
      </c>
      <c r="BG125" s="31">
        <v>0</v>
      </c>
      <c r="BH125" s="31">
        <v>0</v>
      </c>
      <c r="BI125" s="31">
        <v>0</v>
      </c>
      <c r="BJ125" s="32">
        <f t="shared" si="23"/>
        <v>0</v>
      </c>
      <c r="BK125" s="41">
        <f>BJ125+AM125+AL125+'11-2025'!$N125+AN125+AO125</f>
        <v>4560</v>
      </c>
      <c r="BL125" s="34">
        <f>'11-2025'!$O125</f>
        <v>0</v>
      </c>
      <c r="BM125" s="34">
        <f t="shared" si="12"/>
        <v>0</v>
      </c>
      <c r="BN125" s="34">
        <f t="shared" si="13"/>
        <v>0</v>
      </c>
      <c r="BO125" s="34">
        <f t="shared" si="21"/>
        <v>1666.6666666666667</v>
      </c>
      <c r="BP125" s="35">
        <f t="shared" si="14"/>
        <v>2893.333333333333</v>
      </c>
      <c r="BQ125" s="34">
        <f>IFERROR(BP125/'11-2025'!$J125,0)*12</f>
        <v>34720</v>
      </c>
      <c r="BR125" s="34">
        <f>IF(BQ125&lt;=40000,0,
IF(BQ125&lt;=55000,(BQ125-40000)*10%,
IF(BQ125&lt;=70000,(BQ125-55000)*15%+1500,
IF(BQ125&lt;=200000,(BQ125-70000)*20%+1500+2250,
IF(BQ125&lt;=400000,(BQ125-200000)*22.5%+1500+2250+26000,
IF(BQ125&lt;=600000,(BQ125-400000)*25%+1500+2250+26000+45000,
IF(AND(BQ125&gt;600000,BQ125&lt;=1200000),(BQ125-400000)*25%+1500+2250+26000+45000
+IFERROR(LOOKUP(BQ125,{600001;700001;800001;900001},{4000;6750;10250;15250}),0),IF(BQ125&gt;1200000,((BQ125-1200000)*27.5%)+300000,0)
)))))))</f>
        <v>0</v>
      </c>
      <c r="BS125" s="32">
        <f>(BR125/12*'11-2025'!$J125)</f>
        <v>0</v>
      </c>
      <c r="BT125" s="33">
        <f>BS125-'11-2025'!$V125</f>
        <v>0</v>
      </c>
      <c r="BU125" s="32">
        <f>IFERROR(+'11-2025'!$W125+AL125+AM125+BJ125-'11-2025'!$AJ125-BT125+AN125+AO125,"")-AL125+AP125+AQ125</f>
        <v>4335</v>
      </c>
      <c r="BV125" s="36"/>
      <c r="BW125" s="37"/>
      <c r="BX125" s="37">
        <f t="shared" si="22"/>
        <v>4335</v>
      </c>
      <c r="BY125" s="37"/>
    </row>
    <row r="126" spans="1:77" x14ac:dyDescent="0.25">
      <c r="A126" s="44">
        <v>125</v>
      </c>
      <c r="B126" s="22" t="s">
        <v>237</v>
      </c>
      <c r="C126" s="22" t="s">
        <v>71</v>
      </c>
      <c r="D126" s="22" t="s">
        <v>72</v>
      </c>
      <c r="E126" s="22" t="s">
        <v>99</v>
      </c>
      <c r="F126" s="22" t="s">
        <v>102</v>
      </c>
      <c r="G126" s="23">
        <v>45874</v>
      </c>
      <c r="H126" s="23">
        <v>45961</v>
      </c>
      <c r="I126" s="24"/>
      <c r="J126" s="25">
        <v>1</v>
      </c>
      <c r="K126" s="25">
        <v>3000</v>
      </c>
      <c r="L126" s="25"/>
      <c r="M126" s="26"/>
      <c r="N126" s="25">
        <f>SUM('11-2025'!$K126:$M126)</f>
        <v>3000</v>
      </c>
      <c r="O126" s="25"/>
      <c r="P126" s="25">
        <f t="shared" si="15"/>
        <v>0</v>
      </c>
      <c r="Q126" s="25">
        <f t="shared" si="16"/>
        <v>0</v>
      </c>
      <c r="R126" s="25">
        <v>1666.6666666666667</v>
      </c>
      <c r="S126" s="27">
        <f t="shared" si="17"/>
        <v>1333.3333333333333</v>
      </c>
      <c r="T126" s="25">
        <f t="shared" si="18"/>
        <v>16000</v>
      </c>
      <c r="U126" s="25">
        <f>IF(T126&lt;=40000,0,
IF(T126&lt;=55000,(T126-40000)*10%,
IF(T126&lt;=70000,(T126-55000)*15%+1500,
IF(T126&lt;=200000,(T126-70000)*20%+1500+2250,
IF(T126&lt;=400000,(T126-200000)*22.5%+1500+2250+26000,
IF(T126&lt;=600000,(T126-400000)*25%+1500+2250+26000+45000,
IF(AND(T126&gt;600000,T126&lt;=1200000),(T126-400000)*25%+1500+2250+26000+45000
+IFERROR(LOOKUP(T126,{600001;700001;800001;900001},{4000;6750;10250;15250}),0),IF(T126&gt;1200000,((T126-1200000)*27.5%)+300000,0)
)))))))</f>
        <v>0</v>
      </c>
      <c r="V126" s="25">
        <f t="shared" si="19"/>
        <v>0</v>
      </c>
      <c r="W126" s="28">
        <f>+'11-2025'!$S126-'11-2025'!$V126+'11-2025'!$R126</f>
        <v>3000</v>
      </c>
      <c r="X126" s="28">
        <f t="shared" si="20"/>
        <v>100</v>
      </c>
      <c r="Y126" s="29"/>
      <c r="Z126" s="29">
        <f>IFERROR(+'11-2025'!$X126*'11-2025'!$Y126,"")</f>
        <v>0</v>
      </c>
      <c r="AA126" s="29">
        <v>4</v>
      </c>
      <c r="AB126" s="29">
        <f>IFERROR(+'11-2025'!$X126*'11-2025'!$AA126,"")</f>
        <v>400</v>
      </c>
      <c r="AC126" s="29">
        <v>23</v>
      </c>
      <c r="AD126" s="29">
        <f>IFERROR(+'11-2025'!$X126*'11-2025'!$AC126,"")</f>
        <v>2300</v>
      </c>
      <c r="AE126" s="29">
        <v>2.5</v>
      </c>
      <c r="AF126" s="29">
        <f>IFERROR(+'11-2025'!$X126*'11-2025'!$AE126,"")</f>
        <v>250</v>
      </c>
      <c r="AG126" s="29"/>
      <c r="AH126" s="29">
        <f>IFERROR(+'11-2025'!$X126*'11-2025'!$AG126,"")</f>
        <v>0</v>
      </c>
      <c r="AI126" s="29">
        <v>0</v>
      </c>
      <c r="AJ126" s="29">
        <f>IFERROR('11-2025'!$Z126+'11-2025'!$AB126+'11-2025'!$AD126+'11-2025'!$AF126+'11-2025'!$AH126+'11-2025'!$AI126,"")</f>
        <v>2950</v>
      </c>
      <c r="AK126" s="30">
        <f>IFERROR('11-2025'!$W126-'11-2025'!$AJ126,"")</f>
        <v>50</v>
      </c>
      <c r="AL126" s="31"/>
      <c r="AM126" s="31"/>
      <c r="AN126" s="31"/>
      <c r="AO126" s="31"/>
      <c r="AP126" s="31"/>
      <c r="AQ126" s="31"/>
      <c r="AR126" s="31">
        <v>0</v>
      </c>
      <c r="AS126" s="31">
        <v>0</v>
      </c>
      <c r="AT126" s="31">
        <v>0</v>
      </c>
      <c r="AU126" s="31">
        <v>0</v>
      </c>
      <c r="AV126" s="31">
        <v>0</v>
      </c>
      <c r="AW126" s="31">
        <v>0</v>
      </c>
      <c r="AX126" s="31">
        <v>0</v>
      </c>
      <c r="AY126" s="31">
        <v>0</v>
      </c>
      <c r="AZ126" s="31">
        <v>0</v>
      </c>
      <c r="BA126" s="31">
        <v>0</v>
      </c>
      <c r="BB126" s="31">
        <v>0</v>
      </c>
      <c r="BC126" s="31">
        <v>0</v>
      </c>
      <c r="BD126" s="31">
        <v>0</v>
      </c>
      <c r="BE126" s="31">
        <v>0</v>
      </c>
      <c r="BF126" s="31">
        <v>0</v>
      </c>
      <c r="BG126" s="31">
        <v>0</v>
      </c>
      <c r="BH126" s="31">
        <v>0</v>
      </c>
      <c r="BI126" s="31">
        <v>0</v>
      </c>
      <c r="BJ126" s="32">
        <f t="shared" si="23"/>
        <v>0</v>
      </c>
      <c r="BK126" s="41">
        <f>BJ126+AM126+AL126+'11-2025'!$N126+AN126+AO126</f>
        <v>3000</v>
      </c>
      <c r="BL126" s="34">
        <f>'11-2025'!$O126</f>
        <v>0</v>
      </c>
      <c r="BM126" s="34">
        <f t="shared" si="12"/>
        <v>0</v>
      </c>
      <c r="BN126" s="34">
        <f t="shared" si="13"/>
        <v>0</v>
      </c>
      <c r="BO126" s="34">
        <f t="shared" si="21"/>
        <v>1666.6666666666667</v>
      </c>
      <c r="BP126" s="35">
        <f t="shared" si="14"/>
        <v>1333.3333333333333</v>
      </c>
      <c r="BQ126" s="34">
        <f>IFERROR(BP126/'11-2025'!$J126,0)*12</f>
        <v>16000</v>
      </c>
      <c r="BR126" s="34">
        <f>IF(BQ126&lt;=40000,0,
IF(BQ126&lt;=55000,(BQ126-40000)*10%,
IF(BQ126&lt;=70000,(BQ126-55000)*15%+1500,
IF(BQ126&lt;=200000,(BQ126-70000)*20%+1500+2250,
IF(BQ126&lt;=400000,(BQ126-200000)*22.5%+1500+2250+26000,
IF(BQ126&lt;=600000,(BQ126-400000)*25%+1500+2250+26000+45000,
IF(AND(BQ126&gt;600000,BQ126&lt;=1200000),(BQ126-400000)*25%+1500+2250+26000+45000
+IFERROR(LOOKUP(BQ126,{600001;700001;800001;900001},{4000;6750;10250;15250}),0),IF(BQ126&gt;1200000,((BQ126-1200000)*27.5%)+300000,0)
)))))))</f>
        <v>0</v>
      </c>
      <c r="BS126" s="32">
        <f>(BR126/12*'11-2025'!$J126)</f>
        <v>0</v>
      </c>
      <c r="BT126" s="33">
        <f>BS126-'11-2025'!$V126</f>
        <v>0</v>
      </c>
      <c r="BU126" s="32">
        <f>IFERROR(+'11-2025'!$W126+AL126+AM126+BJ126-'11-2025'!$AJ126-BT126+AN126+AO126,"")-AL126+AP126+AQ126</f>
        <v>50</v>
      </c>
      <c r="BV126" s="36"/>
      <c r="BW126" s="37"/>
      <c r="BX126" s="37">
        <f t="shared" si="22"/>
        <v>50</v>
      </c>
      <c r="BY126" s="37"/>
    </row>
    <row r="127" spans="1:77" s="75" customFormat="1" x14ac:dyDescent="0.25">
      <c r="A127" s="44">
        <v>714</v>
      </c>
      <c r="B127" s="40" t="s">
        <v>238</v>
      </c>
      <c r="C127" s="40" t="s">
        <v>71</v>
      </c>
      <c r="D127" s="40" t="s">
        <v>72</v>
      </c>
      <c r="E127" s="40" t="s">
        <v>99</v>
      </c>
      <c r="F127" s="40" t="s">
        <v>139</v>
      </c>
      <c r="G127" s="61">
        <v>45862</v>
      </c>
      <c r="H127" s="61">
        <v>45894</v>
      </c>
      <c r="I127" s="62"/>
      <c r="J127" s="63">
        <v>1</v>
      </c>
      <c r="K127" s="63">
        <v>3000</v>
      </c>
      <c r="L127" s="63"/>
      <c r="M127" s="64"/>
      <c r="N127" s="63">
        <f>SUM('11-2025'!$K127:$M127)</f>
        <v>3000</v>
      </c>
      <c r="O127" s="63"/>
      <c r="P127" s="63">
        <f t="shared" si="15"/>
        <v>0</v>
      </c>
      <c r="Q127" s="63">
        <f t="shared" si="16"/>
        <v>0</v>
      </c>
      <c r="R127" s="63">
        <v>1666.6666666666667</v>
      </c>
      <c r="S127" s="65">
        <f t="shared" si="17"/>
        <v>1333.3333333333333</v>
      </c>
      <c r="T127" s="63">
        <f t="shared" si="18"/>
        <v>16000</v>
      </c>
      <c r="U127" s="63">
        <f>IF(T127&lt;=40000,0,
IF(T127&lt;=55000,(T127-40000)*10%,
IF(T127&lt;=70000,(T127-55000)*15%+1500,
IF(T127&lt;=200000,(T127-70000)*20%+1500+2250,
IF(T127&lt;=400000,(T127-200000)*22.5%+1500+2250+26000,
IF(T127&lt;=600000,(T127-400000)*25%+1500+2250+26000+45000,
IF(AND(T127&gt;600000,T127&lt;=1200000),(T127-400000)*25%+1500+2250+26000+45000
+IFERROR(LOOKUP(T127,{600001;700001;800001;900001},{4000;6750;10250;15250}),0),IF(T127&gt;1200000,((T127-1200000)*27.5%)+300000,0)
)))))))</f>
        <v>0</v>
      </c>
      <c r="V127" s="63">
        <f t="shared" si="19"/>
        <v>0</v>
      </c>
      <c r="W127" s="66">
        <f>+'11-2025'!$S127-'11-2025'!$V127+'11-2025'!$R127</f>
        <v>3000</v>
      </c>
      <c r="X127" s="66">
        <f t="shared" si="20"/>
        <v>100</v>
      </c>
      <c r="Y127" s="67"/>
      <c r="Z127" s="67">
        <f>IFERROR(+'11-2025'!$X127*'11-2025'!$Y127,"")</f>
        <v>0</v>
      </c>
      <c r="AA127" s="67"/>
      <c r="AB127" s="67">
        <f>IFERROR(+'11-2025'!$X127*'11-2025'!$AA127,"")</f>
        <v>0</v>
      </c>
      <c r="AC127" s="67">
        <v>30</v>
      </c>
      <c r="AD127" s="67">
        <f>IFERROR(+'11-2025'!$X127*'11-2025'!$AC127,"")</f>
        <v>3000</v>
      </c>
      <c r="AE127" s="67"/>
      <c r="AF127" s="67">
        <f>IFERROR(+'11-2025'!$X127*'11-2025'!$AE127,"")</f>
        <v>0</v>
      </c>
      <c r="AG127" s="67"/>
      <c r="AH127" s="67">
        <f>IFERROR(+'11-2025'!$X127*'11-2025'!$AG127,"")</f>
        <v>0</v>
      </c>
      <c r="AI127" s="29">
        <v>0</v>
      </c>
      <c r="AJ127" s="67">
        <f>IFERROR('11-2025'!$Z127+'11-2025'!$AB127+'11-2025'!$AD127+'11-2025'!$AF127+'11-2025'!$AH127+'11-2025'!$AI127,"")</f>
        <v>3000</v>
      </c>
      <c r="AK127" s="68">
        <f>IFERROR('11-2025'!$W127-'11-2025'!$AJ127,"")</f>
        <v>0</v>
      </c>
      <c r="AL127" s="69"/>
      <c r="AM127" s="69"/>
      <c r="AN127" s="69"/>
      <c r="AO127" s="69"/>
      <c r="AP127" s="69"/>
      <c r="AQ127" s="69"/>
      <c r="AR127" s="31">
        <v>0</v>
      </c>
      <c r="AS127" s="31">
        <v>0</v>
      </c>
      <c r="AT127" s="31">
        <v>0</v>
      </c>
      <c r="AU127" s="31">
        <v>0</v>
      </c>
      <c r="AV127" s="31">
        <v>0</v>
      </c>
      <c r="AW127" s="31">
        <v>0</v>
      </c>
      <c r="AX127" s="31">
        <v>0</v>
      </c>
      <c r="AY127" s="31">
        <v>0</v>
      </c>
      <c r="AZ127" s="31">
        <v>0</v>
      </c>
      <c r="BA127" s="31">
        <v>0</v>
      </c>
      <c r="BB127" s="31">
        <v>0</v>
      </c>
      <c r="BC127" s="31">
        <v>0</v>
      </c>
      <c r="BD127" s="31">
        <v>0</v>
      </c>
      <c r="BE127" s="31">
        <v>0</v>
      </c>
      <c r="BF127" s="31">
        <v>0</v>
      </c>
      <c r="BG127" s="31">
        <v>0</v>
      </c>
      <c r="BH127" s="31">
        <v>0</v>
      </c>
      <c r="BI127" s="31">
        <v>0</v>
      </c>
      <c r="BJ127" s="39">
        <f t="shared" si="23"/>
        <v>0</v>
      </c>
      <c r="BK127" s="77">
        <f>BJ127+AM127+AL127+'11-2025'!$N127+AN127+AO127</f>
        <v>3000</v>
      </c>
      <c r="BL127" s="71">
        <f>'11-2025'!$O127</f>
        <v>0</v>
      </c>
      <c r="BM127" s="71">
        <f t="shared" si="12"/>
        <v>0</v>
      </c>
      <c r="BN127" s="71">
        <f t="shared" si="13"/>
        <v>0</v>
      </c>
      <c r="BO127" s="71">
        <f t="shared" si="21"/>
        <v>1666.6666666666667</v>
      </c>
      <c r="BP127" s="72">
        <f t="shared" si="14"/>
        <v>1333.3333333333333</v>
      </c>
      <c r="BQ127" s="71">
        <f>IFERROR(BP127/'11-2025'!$J127,0)*12</f>
        <v>16000</v>
      </c>
      <c r="BR127" s="71">
        <f>IF(BQ127&lt;=40000,0,
IF(BQ127&lt;=55000,(BQ127-40000)*10%,
IF(BQ127&lt;=70000,(BQ127-55000)*15%+1500,
IF(BQ127&lt;=200000,(BQ127-70000)*20%+1500+2250,
IF(BQ127&lt;=400000,(BQ127-200000)*22.5%+1500+2250+26000,
IF(BQ127&lt;=600000,(BQ127-400000)*25%+1500+2250+26000+45000,
IF(AND(BQ127&gt;600000,BQ127&lt;=1200000),(BQ127-400000)*25%+1500+2250+26000+45000
+IFERROR(LOOKUP(BQ127,{600001;700001;800001;900001},{4000;6750;10250;15250}),0),IF(BQ127&gt;1200000,((BQ127-1200000)*27.5%)+300000,0)
)))))))</f>
        <v>0</v>
      </c>
      <c r="BS127" s="39">
        <f>(BR127/12*'11-2025'!$J127)</f>
        <v>0</v>
      </c>
      <c r="BT127" s="70">
        <f>BS127-'11-2025'!$V127</f>
        <v>0</v>
      </c>
      <c r="BU127" s="39">
        <f>IFERROR(+'11-2025'!$W127+AL127+AM127+BJ127-'11-2025'!$AJ127-BT127+AN127+AO127,"")-AL127+AP127+AQ127</f>
        <v>0</v>
      </c>
      <c r="BV127" s="73"/>
      <c r="BW127" s="74"/>
      <c r="BX127" s="74">
        <f t="shared" si="22"/>
        <v>0</v>
      </c>
      <c r="BY127" s="74"/>
    </row>
    <row r="128" spans="1:77" s="75" customFormat="1" x14ac:dyDescent="0.25">
      <c r="A128" s="44">
        <v>716</v>
      </c>
      <c r="B128" s="40" t="s">
        <v>239</v>
      </c>
      <c r="C128" s="40" t="s">
        <v>106</v>
      </c>
      <c r="D128" s="40" t="s">
        <v>72</v>
      </c>
      <c r="E128" s="40" t="s">
        <v>124</v>
      </c>
      <c r="F128" s="40" t="s">
        <v>139</v>
      </c>
      <c r="G128" s="61">
        <v>45865</v>
      </c>
      <c r="H128" s="61">
        <v>45901</v>
      </c>
      <c r="I128" s="62"/>
      <c r="J128" s="63">
        <v>1</v>
      </c>
      <c r="K128" s="63">
        <v>3000</v>
      </c>
      <c r="L128" s="63"/>
      <c r="M128" s="64"/>
      <c r="N128" s="63">
        <f>SUM('11-2025'!$K128:$M128)</f>
        <v>3000</v>
      </c>
      <c r="O128" s="63"/>
      <c r="P128" s="63">
        <f t="shared" si="15"/>
        <v>0</v>
      </c>
      <c r="Q128" s="63">
        <f t="shared" si="16"/>
        <v>0</v>
      </c>
      <c r="R128" s="63">
        <v>1666.6666666666667</v>
      </c>
      <c r="S128" s="65">
        <f t="shared" si="17"/>
        <v>1333.3333333333333</v>
      </c>
      <c r="T128" s="63">
        <f t="shared" si="18"/>
        <v>16000</v>
      </c>
      <c r="U128" s="63">
        <f>IF(T128&lt;=40000,0,
IF(T128&lt;=55000,(T128-40000)*10%,
IF(T128&lt;=70000,(T128-55000)*15%+1500,
IF(T128&lt;=200000,(T128-70000)*20%+1500+2250,
IF(T128&lt;=400000,(T128-200000)*22.5%+1500+2250+26000,
IF(T128&lt;=600000,(T128-400000)*25%+1500+2250+26000+45000,
IF(AND(T128&gt;600000,T128&lt;=1200000),(T128-400000)*25%+1500+2250+26000+45000
+IFERROR(LOOKUP(T128,{600001;700001;800001;900001},{4000;6750;10250;15250}),0),IF(T128&gt;1200000,((T128-1200000)*27.5%)+300000,0)
)))))))</f>
        <v>0</v>
      </c>
      <c r="V128" s="63">
        <f t="shared" si="19"/>
        <v>0</v>
      </c>
      <c r="W128" s="66">
        <f>+'11-2025'!$S128-'11-2025'!$V128+'11-2025'!$R128</f>
        <v>3000</v>
      </c>
      <c r="X128" s="66">
        <f t="shared" si="20"/>
        <v>100</v>
      </c>
      <c r="Y128" s="67"/>
      <c r="Z128" s="67">
        <f>IFERROR(+'11-2025'!$X128*'11-2025'!$Y128,"")</f>
        <v>0</v>
      </c>
      <c r="AA128" s="67"/>
      <c r="AB128" s="67">
        <f>IFERROR(+'11-2025'!$X128*'11-2025'!$AA128,"")</f>
        <v>0</v>
      </c>
      <c r="AC128" s="67">
        <v>30</v>
      </c>
      <c r="AD128" s="67">
        <f>IFERROR(+'11-2025'!$X128*'11-2025'!$AC128,"")</f>
        <v>3000</v>
      </c>
      <c r="AE128" s="67"/>
      <c r="AF128" s="67">
        <f>IFERROR(+'11-2025'!$X128*'11-2025'!$AE128,"")</f>
        <v>0</v>
      </c>
      <c r="AG128" s="67"/>
      <c r="AH128" s="67">
        <f>IFERROR(+'11-2025'!$X128*'11-2025'!$AG128,"")</f>
        <v>0</v>
      </c>
      <c r="AI128" s="29">
        <v>0</v>
      </c>
      <c r="AJ128" s="67">
        <f>IFERROR('11-2025'!$Z128+'11-2025'!$AB128+'11-2025'!$AD128+'11-2025'!$AF128+'11-2025'!$AH128+'11-2025'!$AI128,"")</f>
        <v>3000</v>
      </c>
      <c r="AK128" s="68">
        <f>IFERROR('11-2025'!$W128-'11-2025'!$AJ128,"")</f>
        <v>0</v>
      </c>
      <c r="AL128" s="69"/>
      <c r="AM128" s="69"/>
      <c r="AN128" s="69"/>
      <c r="AO128" s="69"/>
      <c r="AP128" s="69"/>
      <c r="AQ128" s="69"/>
      <c r="AR128" s="31">
        <v>0</v>
      </c>
      <c r="AS128" s="31">
        <v>0</v>
      </c>
      <c r="AT128" s="31">
        <v>0</v>
      </c>
      <c r="AU128" s="31">
        <v>0</v>
      </c>
      <c r="AV128" s="31">
        <v>0</v>
      </c>
      <c r="AW128" s="31">
        <v>0</v>
      </c>
      <c r="AX128" s="31">
        <v>0</v>
      </c>
      <c r="AY128" s="31">
        <v>0</v>
      </c>
      <c r="AZ128" s="31">
        <v>0</v>
      </c>
      <c r="BA128" s="31">
        <v>0</v>
      </c>
      <c r="BB128" s="31">
        <v>0</v>
      </c>
      <c r="BC128" s="31">
        <v>0</v>
      </c>
      <c r="BD128" s="31">
        <v>0</v>
      </c>
      <c r="BE128" s="31">
        <v>0</v>
      </c>
      <c r="BF128" s="31">
        <v>0</v>
      </c>
      <c r="BG128" s="31">
        <v>0</v>
      </c>
      <c r="BH128" s="31">
        <v>0</v>
      </c>
      <c r="BI128" s="31">
        <v>0</v>
      </c>
      <c r="BJ128" s="39">
        <f t="shared" si="23"/>
        <v>0</v>
      </c>
      <c r="BK128" s="77">
        <f>BJ128+AM128+AL128+'11-2025'!$N128+AN128+AO128</f>
        <v>3000</v>
      </c>
      <c r="BL128" s="71">
        <f>'11-2025'!$O128</f>
        <v>0</v>
      </c>
      <c r="BM128" s="71">
        <f t="shared" si="12"/>
        <v>0</v>
      </c>
      <c r="BN128" s="71">
        <f t="shared" si="13"/>
        <v>0</v>
      </c>
      <c r="BO128" s="71">
        <f t="shared" si="21"/>
        <v>1666.6666666666667</v>
      </c>
      <c r="BP128" s="72">
        <f t="shared" si="14"/>
        <v>1333.3333333333333</v>
      </c>
      <c r="BQ128" s="71">
        <f>IFERROR(BP128/'11-2025'!$J128,0)*12</f>
        <v>16000</v>
      </c>
      <c r="BR128" s="71">
        <f>IF(BQ128&lt;=40000,0,
IF(BQ128&lt;=55000,(BQ128-40000)*10%,
IF(BQ128&lt;=70000,(BQ128-55000)*15%+1500,
IF(BQ128&lt;=200000,(BQ128-70000)*20%+1500+2250,
IF(BQ128&lt;=400000,(BQ128-200000)*22.5%+1500+2250+26000,
IF(BQ128&lt;=600000,(BQ128-400000)*25%+1500+2250+26000+45000,
IF(AND(BQ128&gt;600000,BQ128&lt;=1200000),(BQ128-400000)*25%+1500+2250+26000+45000
+IFERROR(LOOKUP(BQ128,{600001;700001;800001;900001},{4000;6750;10250;15250}),0),IF(BQ128&gt;1200000,((BQ128-1200000)*27.5%)+300000,0)
)))))))</f>
        <v>0</v>
      </c>
      <c r="BS128" s="39">
        <f>(BR128/12*'11-2025'!$J128)</f>
        <v>0</v>
      </c>
      <c r="BT128" s="70">
        <f>BS128-'11-2025'!$V128</f>
        <v>0</v>
      </c>
      <c r="BU128" s="39">
        <f>IFERROR(+'11-2025'!$W128+AL128+AM128+BJ128-'11-2025'!$AJ128-BT128+AN128+AO128,"")-AL128+AP128+AQ128</f>
        <v>0</v>
      </c>
      <c r="BV128" s="73"/>
      <c r="BW128" s="74"/>
      <c r="BX128" s="74">
        <f t="shared" si="22"/>
        <v>0</v>
      </c>
      <c r="BY128" s="74"/>
    </row>
    <row r="129" spans="1:77" s="75" customFormat="1" x14ac:dyDescent="0.25">
      <c r="A129" s="44">
        <v>717</v>
      </c>
      <c r="B129" s="40" t="s">
        <v>240</v>
      </c>
      <c r="C129" s="40" t="s">
        <v>106</v>
      </c>
      <c r="D129" s="40" t="s">
        <v>77</v>
      </c>
      <c r="E129" s="40" t="s">
        <v>85</v>
      </c>
      <c r="F129" s="40" t="s">
        <v>180</v>
      </c>
      <c r="G129" s="61">
        <v>45871</v>
      </c>
      <c r="H129" s="61">
        <v>45901</v>
      </c>
      <c r="I129" s="62"/>
      <c r="J129" s="63">
        <v>1</v>
      </c>
      <c r="K129" s="63">
        <v>4000</v>
      </c>
      <c r="L129" s="63"/>
      <c r="M129" s="64"/>
      <c r="N129" s="63">
        <f>SUM('11-2025'!$K129:$M129)</f>
        <v>4000</v>
      </c>
      <c r="O129" s="63"/>
      <c r="P129" s="63">
        <f t="shared" si="15"/>
        <v>0</v>
      </c>
      <c r="Q129" s="63">
        <f t="shared" si="16"/>
        <v>0</v>
      </c>
      <c r="R129" s="63">
        <v>1666.6666666666667</v>
      </c>
      <c r="S129" s="65">
        <f t="shared" si="17"/>
        <v>2333.333333333333</v>
      </c>
      <c r="T129" s="63">
        <f t="shared" si="18"/>
        <v>27999.999999999996</v>
      </c>
      <c r="U129" s="63">
        <f>IF(T129&lt;=40000,0,
IF(T129&lt;=55000,(T129-40000)*10%,
IF(T129&lt;=70000,(T129-55000)*15%+1500,
IF(T129&lt;=200000,(T129-70000)*20%+1500+2250,
IF(T129&lt;=400000,(T129-200000)*22.5%+1500+2250+26000,
IF(T129&lt;=600000,(T129-400000)*25%+1500+2250+26000+45000,
IF(AND(T129&gt;600000,T129&lt;=1200000),(T129-400000)*25%+1500+2250+26000+45000
+IFERROR(LOOKUP(T129,{600001;700001;800001;900001},{4000;6750;10250;15250}),0),IF(T129&gt;1200000,((T129-1200000)*27.5%)+300000,0)
)))))))</f>
        <v>0</v>
      </c>
      <c r="V129" s="63">
        <f t="shared" si="19"/>
        <v>0</v>
      </c>
      <c r="W129" s="66">
        <f>+'11-2025'!$S129-'11-2025'!$V129+'11-2025'!$R129</f>
        <v>4000</v>
      </c>
      <c r="X129" s="66">
        <f t="shared" si="20"/>
        <v>133.33333333333334</v>
      </c>
      <c r="Y129" s="67"/>
      <c r="Z129" s="67">
        <f>IFERROR(+'11-2025'!$X129*'11-2025'!$Y129,"")</f>
        <v>0</v>
      </c>
      <c r="AA129" s="67"/>
      <c r="AB129" s="67">
        <f>IFERROR(+'11-2025'!$X129*'11-2025'!$AA129,"")</f>
        <v>0</v>
      </c>
      <c r="AC129" s="67">
        <v>30</v>
      </c>
      <c r="AD129" s="67">
        <f>IFERROR(+'11-2025'!$X129*'11-2025'!$AC129,"")</f>
        <v>4000.0000000000005</v>
      </c>
      <c r="AE129" s="67"/>
      <c r="AF129" s="67">
        <f>IFERROR(+'11-2025'!$X129*'11-2025'!$AE129,"")</f>
        <v>0</v>
      </c>
      <c r="AG129" s="67"/>
      <c r="AH129" s="67">
        <f>IFERROR(+'11-2025'!$X129*'11-2025'!$AG129,"")</f>
        <v>0</v>
      </c>
      <c r="AI129" s="29">
        <v>0</v>
      </c>
      <c r="AJ129" s="67">
        <f>IFERROR('11-2025'!$Z129+'11-2025'!$AB129+'11-2025'!$AD129+'11-2025'!$AF129+'11-2025'!$AH129+'11-2025'!$AI129,"")</f>
        <v>4000.0000000000005</v>
      </c>
      <c r="AK129" s="68">
        <f>IFERROR('11-2025'!$W129-'11-2025'!$AJ129,"")</f>
        <v>-4.5474735088646412E-13</v>
      </c>
      <c r="AL129" s="69"/>
      <c r="AM129" s="69"/>
      <c r="AN129" s="69"/>
      <c r="AO129" s="69"/>
      <c r="AP129" s="69"/>
      <c r="AQ129" s="69"/>
      <c r="AR129" s="31">
        <v>0</v>
      </c>
      <c r="AS129" s="31">
        <v>0</v>
      </c>
      <c r="AT129" s="31">
        <v>0</v>
      </c>
      <c r="AU129" s="31">
        <v>0</v>
      </c>
      <c r="AV129" s="31">
        <v>0</v>
      </c>
      <c r="AW129" s="31">
        <v>0</v>
      </c>
      <c r="AX129" s="31">
        <v>0</v>
      </c>
      <c r="AY129" s="31">
        <v>0</v>
      </c>
      <c r="AZ129" s="31">
        <v>0</v>
      </c>
      <c r="BA129" s="31">
        <v>0</v>
      </c>
      <c r="BB129" s="31">
        <v>0</v>
      </c>
      <c r="BC129" s="31">
        <v>0</v>
      </c>
      <c r="BD129" s="31">
        <v>0</v>
      </c>
      <c r="BE129" s="31">
        <v>0</v>
      </c>
      <c r="BF129" s="31">
        <v>0</v>
      </c>
      <c r="BG129" s="31">
        <v>0</v>
      </c>
      <c r="BH129" s="31">
        <v>0</v>
      </c>
      <c r="BI129" s="31">
        <v>0</v>
      </c>
      <c r="BJ129" s="39">
        <f t="shared" si="23"/>
        <v>0</v>
      </c>
      <c r="BK129" s="77">
        <f>BJ129+AM129+AL129+'11-2025'!$N129+AN129+AO129</f>
        <v>4000</v>
      </c>
      <c r="BL129" s="71">
        <f>'11-2025'!$O129</f>
        <v>0</v>
      </c>
      <c r="BM129" s="71">
        <f t="shared" si="12"/>
        <v>0</v>
      </c>
      <c r="BN129" s="71">
        <f t="shared" si="13"/>
        <v>0</v>
      </c>
      <c r="BO129" s="71">
        <f t="shared" si="21"/>
        <v>1666.6666666666667</v>
      </c>
      <c r="BP129" s="72">
        <f t="shared" si="14"/>
        <v>2333.333333333333</v>
      </c>
      <c r="BQ129" s="71">
        <f>IFERROR(BP129/'11-2025'!$J129,0)*12</f>
        <v>27999.999999999996</v>
      </c>
      <c r="BR129" s="71">
        <f>IF(BQ129&lt;=40000,0,
IF(BQ129&lt;=55000,(BQ129-40000)*10%,
IF(BQ129&lt;=70000,(BQ129-55000)*15%+1500,
IF(BQ129&lt;=200000,(BQ129-70000)*20%+1500+2250,
IF(BQ129&lt;=400000,(BQ129-200000)*22.5%+1500+2250+26000,
IF(BQ129&lt;=600000,(BQ129-400000)*25%+1500+2250+26000+45000,
IF(AND(BQ129&gt;600000,BQ129&lt;=1200000),(BQ129-400000)*25%+1500+2250+26000+45000
+IFERROR(LOOKUP(BQ129,{600001;700001;800001;900001},{4000;6750;10250;15250}),0),IF(BQ129&gt;1200000,((BQ129-1200000)*27.5%)+300000,0)
)))))))</f>
        <v>0</v>
      </c>
      <c r="BS129" s="39">
        <f>(BR129/12*'11-2025'!$J129)</f>
        <v>0</v>
      </c>
      <c r="BT129" s="70">
        <f>BS129-'11-2025'!$V129</f>
        <v>0</v>
      </c>
      <c r="BU129" s="39">
        <f>IFERROR(+'11-2025'!$W129+AL129+AM129+BJ129-'11-2025'!$AJ129-BT129+AN129+AO129,"")-AL129+AP129+AQ129</f>
        <v>-4.5474735088646412E-13</v>
      </c>
      <c r="BV129" s="73"/>
      <c r="BW129" s="74"/>
      <c r="BX129" s="74">
        <f t="shared" si="22"/>
        <v>-4.5474735088646412E-13</v>
      </c>
      <c r="BY129" s="74"/>
    </row>
    <row r="130" spans="1:77" s="75" customFormat="1" x14ac:dyDescent="0.25">
      <c r="A130" s="44">
        <v>718</v>
      </c>
      <c r="B130" s="40" t="s">
        <v>241</v>
      </c>
      <c r="C130" s="40" t="s">
        <v>106</v>
      </c>
      <c r="D130" s="40" t="s">
        <v>72</v>
      </c>
      <c r="E130" s="40" t="s">
        <v>149</v>
      </c>
      <c r="F130" s="40" t="s">
        <v>102</v>
      </c>
      <c r="G130" s="61">
        <v>45874</v>
      </c>
      <c r="H130" s="61">
        <v>45935</v>
      </c>
      <c r="I130" s="62"/>
      <c r="J130" s="63">
        <v>1</v>
      </c>
      <c r="K130" s="63">
        <v>2500</v>
      </c>
      <c r="L130" s="63"/>
      <c r="M130" s="64"/>
      <c r="N130" s="63">
        <f>SUM('11-2025'!$K130:$M130)</f>
        <v>2500</v>
      </c>
      <c r="O130" s="63"/>
      <c r="P130" s="63">
        <f t="shared" si="15"/>
        <v>0</v>
      </c>
      <c r="Q130" s="63">
        <f t="shared" si="16"/>
        <v>0</v>
      </c>
      <c r="R130" s="63">
        <v>1666.6666666666667</v>
      </c>
      <c r="S130" s="65">
        <f t="shared" si="17"/>
        <v>833.33333333333326</v>
      </c>
      <c r="T130" s="63">
        <f t="shared" si="18"/>
        <v>10000</v>
      </c>
      <c r="U130" s="63">
        <f>IF(T130&lt;=40000,0,
IF(T130&lt;=55000,(T130-40000)*10%,
IF(T130&lt;=70000,(T130-55000)*15%+1500,
IF(T130&lt;=200000,(T130-70000)*20%+1500+2250,
IF(T130&lt;=400000,(T130-200000)*22.5%+1500+2250+26000,
IF(T130&lt;=600000,(T130-400000)*25%+1500+2250+26000+45000,
IF(AND(T130&gt;600000,T130&lt;=1200000),(T130-400000)*25%+1500+2250+26000+45000
+IFERROR(LOOKUP(T130,{600001;700001;800001;900001},{4000;6750;10250;15250}),0),IF(T130&gt;1200000,((T130-1200000)*27.5%)+300000,0)
)))))))</f>
        <v>0</v>
      </c>
      <c r="V130" s="63">
        <f t="shared" si="19"/>
        <v>0</v>
      </c>
      <c r="W130" s="66">
        <f>+'11-2025'!$S130-'11-2025'!$V130+'11-2025'!$R130</f>
        <v>2500</v>
      </c>
      <c r="X130" s="66">
        <f t="shared" si="20"/>
        <v>83.333333333333329</v>
      </c>
      <c r="Y130" s="67"/>
      <c r="Z130" s="67">
        <f>IFERROR(+'11-2025'!$X130*'11-2025'!$Y130,"")</f>
        <v>0</v>
      </c>
      <c r="AA130" s="67"/>
      <c r="AB130" s="67">
        <f>IFERROR(+'11-2025'!$X130*'11-2025'!$AA130,"")</f>
        <v>0</v>
      </c>
      <c r="AC130" s="67">
        <v>30</v>
      </c>
      <c r="AD130" s="67">
        <f>IFERROR(+'11-2025'!$X130*'11-2025'!$AC130,"")</f>
        <v>2500</v>
      </c>
      <c r="AE130" s="67"/>
      <c r="AF130" s="67">
        <f>IFERROR(+'11-2025'!$X130*'11-2025'!$AE130,"")</f>
        <v>0</v>
      </c>
      <c r="AG130" s="67"/>
      <c r="AH130" s="67">
        <f>IFERROR(+'11-2025'!$X130*'11-2025'!$AG130,"")</f>
        <v>0</v>
      </c>
      <c r="AI130" s="29">
        <v>0</v>
      </c>
      <c r="AJ130" s="67">
        <f>IFERROR('11-2025'!$Z130+'11-2025'!$AB130+'11-2025'!$AD130+'11-2025'!$AF130+'11-2025'!$AH130+'11-2025'!$AI130,"")</f>
        <v>2500</v>
      </c>
      <c r="AK130" s="68">
        <f>IFERROR('11-2025'!$W130-'11-2025'!$AJ130,"")</f>
        <v>0</v>
      </c>
      <c r="AL130" s="69"/>
      <c r="AM130" s="69"/>
      <c r="AN130" s="69"/>
      <c r="AO130" s="69"/>
      <c r="AP130" s="69"/>
      <c r="AQ130" s="69"/>
      <c r="AR130" s="31">
        <v>0</v>
      </c>
      <c r="AS130" s="31">
        <v>0</v>
      </c>
      <c r="AT130" s="31">
        <v>0</v>
      </c>
      <c r="AU130" s="31">
        <v>0</v>
      </c>
      <c r="AV130" s="31">
        <v>0</v>
      </c>
      <c r="AW130" s="31">
        <v>0</v>
      </c>
      <c r="AX130" s="31">
        <v>0</v>
      </c>
      <c r="AY130" s="31">
        <v>0</v>
      </c>
      <c r="AZ130" s="31">
        <v>0</v>
      </c>
      <c r="BA130" s="31">
        <v>0</v>
      </c>
      <c r="BB130" s="31">
        <v>0</v>
      </c>
      <c r="BC130" s="31">
        <v>0</v>
      </c>
      <c r="BD130" s="31">
        <v>0</v>
      </c>
      <c r="BE130" s="31">
        <v>0</v>
      </c>
      <c r="BF130" s="31">
        <v>0</v>
      </c>
      <c r="BG130" s="31">
        <v>0</v>
      </c>
      <c r="BH130" s="31">
        <v>0</v>
      </c>
      <c r="BI130" s="31">
        <v>0</v>
      </c>
      <c r="BJ130" s="39">
        <f t="shared" si="23"/>
        <v>0</v>
      </c>
      <c r="BK130" s="77">
        <f>BJ130+AM130+AL130+'11-2025'!$N130+AN130+AO130</f>
        <v>2500</v>
      </c>
      <c r="BL130" s="71">
        <f>'11-2025'!$O130</f>
        <v>0</v>
      </c>
      <c r="BM130" s="71">
        <f t="shared" ref="BM130:BM242" si="24">BL130*18.75%</f>
        <v>0</v>
      </c>
      <c r="BN130" s="71">
        <f t="shared" ref="BN130:BN242" si="25">BL130*11%</f>
        <v>0</v>
      </c>
      <c r="BO130" s="71">
        <f t="shared" si="21"/>
        <v>1666.6666666666667</v>
      </c>
      <c r="BP130" s="72">
        <f t="shared" ref="BP130:BP242" si="26">IF(BK130-BN130-BO130&lt;0,0,BK130-BN130-BO130)</f>
        <v>833.33333333333326</v>
      </c>
      <c r="BQ130" s="71">
        <f>IFERROR(BP130/'11-2025'!$J130,0)*12</f>
        <v>10000</v>
      </c>
      <c r="BR130" s="71">
        <f>IF(BQ130&lt;=40000,0,
IF(BQ130&lt;=55000,(BQ130-40000)*10%,
IF(BQ130&lt;=70000,(BQ130-55000)*15%+1500,
IF(BQ130&lt;=200000,(BQ130-70000)*20%+1500+2250,
IF(BQ130&lt;=400000,(BQ130-200000)*22.5%+1500+2250+26000,
IF(BQ130&lt;=600000,(BQ130-400000)*25%+1500+2250+26000+45000,
IF(AND(BQ130&gt;600000,BQ130&lt;=1200000),(BQ130-400000)*25%+1500+2250+26000+45000
+IFERROR(LOOKUP(BQ130,{600001;700001;800001;900001},{4000;6750;10250;15250}),0),IF(BQ130&gt;1200000,((BQ130-1200000)*27.5%)+300000,0)
)))))))</f>
        <v>0</v>
      </c>
      <c r="BS130" s="39">
        <f>(BR130/12*'11-2025'!$J130)</f>
        <v>0</v>
      </c>
      <c r="BT130" s="70">
        <f>BS130-'11-2025'!$V130</f>
        <v>0</v>
      </c>
      <c r="BU130" s="39">
        <f>IFERROR(+'11-2025'!$W130+AL130+AM130+BJ130-'11-2025'!$AJ130-BT130+AN130+AO130,"")-AL130+AP130+AQ130</f>
        <v>0</v>
      </c>
      <c r="BV130" s="73"/>
      <c r="BW130" s="74"/>
      <c r="BX130" s="74">
        <f t="shared" si="22"/>
        <v>0</v>
      </c>
      <c r="BY130" s="74"/>
    </row>
    <row r="131" spans="1:77" x14ac:dyDescent="0.25">
      <c r="A131" s="43">
        <v>721</v>
      </c>
      <c r="B131" s="22" t="s">
        <v>242</v>
      </c>
      <c r="C131" s="22" t="s">
        <v>106</v>
      </c>
      <c r="D131" s="22" t="s">
        <v>72</v>
      </c>
      <c r="E131" s="22" t="s">
        <v>88</v>
      </c>
      <c r="F131" s="22" t="s">
        <v>139</v>
      </c>
      <c r="G131" s="23">
        <v>45921</v>
      </c>
      <c r="H131" s="22"/>
      <c r="I131" s="24"/>
      <c r="J131" s="25">
        <v>1</v>
      </c>
      <c r="K131" s="25">
        <v>3000</v>
      </c>
      <c r="L131" s="25"/>
      <c r="M131" s="26"/>
      <c r="N131" s="25">
        <f>SUM('11-2025'!$K131:$M131)</f>
        <v>3000</v>
      </c>
      <c r="O131" s="25"/>
      <c r="P131" s="25">
        <f t="shared" ref="P131:P242" si="27">O131*18.75%</f>
        <v>0</v>
      </c>
      <c r="Q131" s="25">
        <f t="shared" ref="Q131:Q242" si="28">O131*11%</f>
        <v>0</v>
      </c>
      <c r="R131" s="25">
        <v>1666.6666666666667</v>
      </c>
      <c r="S131" s="27">
        <f t="shared" ref="S131:S242" si="29">IF(N131-Q131-R131&lt;0,0,N131-Q131-R131)</f>
        <v>1333.3333333333333</v>
      </c>
      <c r="T131" s="25">
        <f t="shared" ref="T131:T242" si="30">IFERROR(S131/J131,0)*12</f>
        <v>16000</v>
      </c>
      <c r="U131" s="25">
        <f>IF(T131&lt;=40000,0,
IF(T131&lt;=55000,(T131-40000)*10%,
IF(T131&lt;=70000,(T131-55000)*15%+1500,
IF(T131&lt;=200000,(T131-70000)*20%+1500+2250,
IF(T131&lt;=400000,(T131-200000)*22.5%+1500+2250+26000,
IF(T131&lt;=600000,(T131-400000)*25%+1500+2250+26000+45000,
IF(AND(T131&gt;600000,T131&lt;=1200000),(T131-400000)*25%+1500+2250+26000+45000
+IFERROR(LOOKUP(T131,{600001;700001;800001;900001},{4000;6750;10250;15250}),0),IF(T131&gt;1200000,((T131-1200000)*27.5%)+300000,0)
)))))))</f>
        <v>0</v>
      </c>
      <c r="V131" s="25">
        <f t="shared" ref="V131:V242" si="31">U131/12*J131</f>
        <v>0</v>
      </c>
      <c r="W131" s="28">
        <f>+'11-2025'!$S131-'11-2025'!$V131+'11-2025'!$R131</f>
        <v>3000</v>
      </c>
      <c r="X131" s="28">
        <f t="shared" ref="X131:X242" si="32">IFERROR(W131/30,"")</f>
        <v>100</v>
      </c>
      <c r="Y131" s="29">
        <v>0</v>
      </c>
      <c r="Z131" s="29">
        <f>IFERROR(+'11-2025'!$X131*'11-2025'!$Y131,"")</f>
        <v>0</v>
      </c>
      <c r="AA131" s="29">
        <v>1</v>
      </c>
      <c r="AB131" s="29">
        <f>IFERROR(+'11-2025'!$X131*'11-2025'!$AA131,"")</f>
        <v>100</v>
      </c>
      <c r="AC131" s="29">
        <v>1.5</v>
      </c>
      <c r="AD131" s="29">
        <f>IFERROR(+'11-2025'!$X131*'11-2025'!$AC131,"")</f>
        <v>150</v>
      </c>
      <c r="AE131" s="29">
        <v>0</v>
      </c>
      <c r="AF131" s="29">
        <f>IFERROR(+'11-2025'!$X131*'11-2025'!$AE131,"")</f>
        <v>0</v>
      </c>
      <c r="AG131" s="29">
        <v>0</v>
      </c>
      <c r="AH131" s="29">
        <f>IFERROR(+'11-2025'!$X131*'11-2025'!$AG131,"")</f>
        <v>0</v>
      </c>
      <c r="AI131" s="29">
        <v>0</v>
      </c>
      <c r="AJ131" s="29">
        <f>IFERROR('11-2025'!$Z131+'11-2025'!$AB131+'11-2025'!$AD131+'11-2025'!$AF131+'11-2025'!$AH131+'11-2025'!$AI131,"")</f>
        <v>250</v>
      </c>
      <c r="AK131" s="30">
        <f>IFERROR('11-2025'!$W131-'11-2025'!$AJ131,"")</f>
        <v>2750</v>
      </c>
      <c r="AL131" s="31"/>
      <c r="AM131" s="31"/>
      <c r="AN131" s="31"/>
      <c r="AO131" s="31">
        <v>0</v>
      </c>
      <c r="AP131" s="31"/>
      <c r="AQ131" s="31"/>
      <c r="AR131" s="31">
        <v>0</v>
      </c>
      <c r="AS131" s="31">
        <v>0</v>
      </c>
      <c r="AT131" s="31">
        <v>0</v>
      </c>
      <c r="AU131" s="31">
        <v>1141.4205000000002</v>
      </c>
      <c r="AV131" s="31">
        <v>0</v>
      </c>
      <c r="AW131" s="31">
        <v>0</v>
      </c>
      <c r="AX131" s="31">
        <v>0</v>
      </c>
      <c r="AY131" s="31">
        <v>0</v>
      </c>
      <c r="AZ131" s="31">
        <v>0</v>
      </c>
      <c r="BA131" s="31">
        <v>0</v>
      </c>
      <c r="BB131" s="31">
        <v>0</v>
      </c>
      <c r="BC131" s="31">
        <v>0</v>
      </c>
      <c r="BD131" s="31">
        <v>0</v>
      </c>
      <c r="BE131" s="31">
        <v>0</v>
      </c>
      <c r="BF131" s="31">
        <v>0</v>
      </c>
      <c r="BG131" s="31">
        <v>0</v>
      </c>
      <c r="BH131" s="31">
        <v>221.94</v>
      </c>
      <c r="BI131" s="31">
        <v>0</v>
      </c>
      <c r="BJ131" s="32">
        <f t="shared" si="23"/>
        <v>1363.3605000000002</v>
      </c>
      <c r="BK131" s="41">
        <f>BJ131+AM131+AL131+'11-2025'!$N131+AN131+AO131</f>
        <v>4363.3605000000007</v>
      </c>
      <c r="BL131" s="34">
        <f>'11-2025'!$O131</f>
        <v>0</v>
      </c>
      <c r="BM131" s="34">
        <f t="shared" si="24"/>
        <v>0</v>
      </c>
      <c r="BN131" s="34">
        <f t="shared" si="25"/>
        <v>0</v>
      </c>
      <c r="BO131" s="34">
        <f t="shared" ref="BO131:BO242" si="33">+R131</f>
        <v>1666.6666666666667</v>
      </c>
      <c r="BP131" s="35">
        <f t="shared" si="26"/>
        <v>2696.6938333333337</v>
      </c>
      <c r="BQ131" s="34">
        <f>IFERROR(BP131/'11-2025'!$J131,0)*12</f>
        <v>32360.326000000005</v>
      </c>
      <c r="BR131" s="34">
        <f>IF(BQ131&lt;=40000,0,
IF(BQ131&lt;=55000,(BQ131-40000)*10%,
IF(BQ131&lt;=70000,(BQ131-55000)*15%+1500,
IF(BQ131&lt;=200000,(BQ131-70000)*20%+1500+2250,
IF(BQ131&lt;=400000,(BQ131-200000)*22.5%+1500+2250+26000,
IF(BQ131&lt;=600000,(BQ131-400000)*25%+1500+2250+26000+45000,
IF(AND(BQ131&gt;600000,BQ131&lt;=1200000),(BQ131-400000)*25%+1500+2250+26000+45000
+IFERROR(LOOKUP(BQ131,{600001;700001;800001;900001},{4000;6750;10250;15250}),0),IF(BQ131&gt;1200000,((BQ131-1200000)*27.5%)+300000,0)
)))))))</f>
        <v>0</v>
      </c>
      <c r="BS131" s="32">
        <f>(BR131/12*'11-2025'!$J131)</f>
        <v>0</v>
      </c>
      <c r="BT131" s="33">
        <f>BS131-'11-2025'!$V131</f>
        <v>0</v>
      </c>
      <c r="BU131" s="32">
        <f>IFERROR(+'11-2025'!$W131+AL131+AM131+BJ131-'11-2025'!$AJ131-BT131+AN131+AO131,"")-AL131+AP131+AQ131</f>
        <v>4113.3605000000007</v>
      </c>
      <c r="BV131" s="36"/>
      <c r="BW131" s="37"/>
      <c r="BX131" s="37">
        <f t="shared" ref="BX131:BX242" si="34">+BU131-BW131</f>
        <v>4113.3605000000007</v>
      </c>
      <c r="BY131" s="37"/>
    </row>
    <row r="132" spans="1:77" x14ac:dyDescent="0.25">
      <c r="A132" s="43">
        <v>722</v>
      </c>
      <c r="B132" s="22" t="s">
        <v>323</v>
      </c>
      <c r="C132" s="22" t="s">
        <v>71</v>
      </c>
      <c r="D132" s="22" t="s">
        <v>72</v>
      </c>
      <c r="E132" s="22" t="s">
        <v>99</v>
      </c>
      <c r="F132" s="22" t="s">
        <v>74</v>
      </c>
      <c r="G132" s="23">
        <v>45873</v>
      </c>
      <c r="H132" s="22"/>
      <c r="I132" s="24"/>
      <c r="J132" s="25">
        <v>1</v>
      </c>
      <c r="K132" s="25">
        <v>7000</v>
      </c>
      <c r="L132" s="25"/>
      <c r="M132" s="26"/>
      <c r="N132" s="25">
        <f>SUM('11-2025'!$K132:$M132)</f>
        <v>7000</v>
      </c>
      <c r="O132" s="25"/>
      <c r="P132" s="25">
        <f t="shared" si="27"/>
        <v>0</v>
      </c>
      <c r="Q132" s="25">
        <f t="shared" si="28"/>
        <v>0</v>
      </c>
      <c r="R132" s="25">
        <v>1666.6666666666667</v>
      </c>
      <c r="S132" s="27">
        <f t="shared" si="29"/>
        <v>5333.333333333333</v>
      </c>
      <c r="T132" s="25">
        <f t="shared" si="30"/>
        <v>64000</v>
      </c>
      <c r="U132" s="25">
        <f>IF(T132&lt;=40000,0,
IF(T132&lt;=55000,(T132-40000)*10%,
IF(T132&lt;=70000,(T132-55000)*15%+1500,
IF(T132&lt;=200000,(T132-70000)*20%+1500+2250,
IF(T132&lt;=400000,(T132-200000)*22.5%+1500+2250+26000,
IF(T132&lt;=600000,(T132-400000)*25%+1500+2250+26000+45000,
IF(AND(T132&gt;600000,T132&lt;=1200000),(T132-400000)*25%+1500+2250+26000+45000
+IFERROR(LOOKUP(T132,{600001;700001;800001;900001},{4000;6750;10250;15250}),0),IF(T132&gt;1200000,((T132-1200000)*27.5%)+300000,0)
)))))))</f>
        <v>2850</v>
      </c>
      <c r="V132" s="25">
        <f t="shared" si="31"/>
        <v>237.5</v>
      </c>
      <c r="W132" s="28">
        <f>+'11-2025'!$S132-'11-2025'!$V132+'11-2025'!$R132</f>
        <v>6762.5</v>
      </c>
      <c r="X132" s="28">
        <f t="shared" si="32"/>
        <v>225.41666666666666</v>
      </c>
      <c r="Y132" s="29">
        <v>0</v>
      </c>
      <c r="Z132" s="29">
        <f>IFERROR(+'11-2025'!$X132*'11-2025'!$Y132,"")</f>
        <v>0</v>
      </c>
      <c r="AA132" s="29">
        <v>0</v>
      </c>
      <c r="AB132" s="29">
        <f>IFERROR(+'11-2025'!$X132*'11-2025'!$AA132,"")</f>
        <v>0</v>
      </c>
      <c r="AC132" s="29">
        <v>0</v>
      </c>
      <c r="AD132" s="29">
        <f>IFERROR(+'11-2025'!$X132*'11-2025'!$AC132,"")</f>
        <v>0</v>
      </c>
      <c r="AE132" s="29">
        <v>0</v>
      </c>
      <c r="AF132" s="29">
        <f>IFERROR(+'11-2025'!$X132*'11-2025'!$AE132,"")</f>
        <v>0</v>
      </c>
      <c r="AG132" s="29">
        <v>0</v>
      </c>
      <c r="AH132" s="29">
        <f>IFERROR(+'11-2025'!$X132*'11-2025'!$AG132,"")</f>
        <v>0</v>
      </c>
      <c r="AI132" s="29">
        <v>0</v>
      </c>
      <c r="AJ132" s="29">
        <f>IFERROR('11-2025'!$Z132+'11-2025'!$AB132+'11-2025'!$AD132+'11-2025'!$AF132+'11-2025'!$AH132+'11-2025'!$AI132,"")</f>
        <v>0</v>
      </c>
      <c r="AK132" s="30">
        <f>IFERROR('11-2025'!$W132-'11-2025'!$AJ132,"")</f>
        <v>6762.5</v>
      </c>
      <c r="AL132" s="31"/>
      <c r="AM132" s="31"/>
      <c r="AN132" s="31"/>
      <c r="AO132" s="31">
        <v>20</v>
      </c>
      <c r="AP132" s="31"/>
      <c r="AQ132" s="31"/>
      <c r="AR132" s="31">
        <v>0</v>
      </c>
      <c r="AS132" s="31">
        <v>6165.2749999999996</v>
      </c>
      <c r="AT132" s="31">
        <v>0</v>
      </c>
      <c r="AU132" s="31">
        <v>0</v>
      </c>
      <c r="AV132" s="31">
        <v>0</v>
      </c>
      <c r="AW132" s="31">
        <v>0</v>
      </c>
      <c r="AX132" s="31">
        <v>0</v>
      </c>
      <c r="AY132" s="31">
        <v>0</v>
      </c>
      <c r="AZ132" s="31">
        <v>0</v>
      </c>
      <c r="BA132" s="31">
        <v>0</v>
      </c>
      <c r="BB132" s="31">
        <v>0</v>
      </c>
      <c r="BC132" s="31">
        <v>0</v>
      </c>
      <c r="BD132" s="31">
        <v>0</v>
      </c>
      <c r="BE132" s="31">
        <v>0</v>
      </c>
      <c r="BF132" s="31">
        <v>0</v>
      </c>
      <c r="BG132" s="31">
        <v>0</v>
      </c>
      <c r="BH132" s="31">
        <v>0</v>
      </c>
      <c r="BI132" s="31">
        <v>0</v>
      </c>
      <c r="BJ132" s="32">
        <f t="shared" ref="BJ132:BJ195" si="35">BD132+BC132+BB132+BA132+AZ132+AY132+AX132+AW132+AV132+AU132+AT132+AS132+AR132+BE132+BF132+BG132+BH132+BI132</f>
        <v>6165.2749999999996</v>
      </c>
      <c r="BK132" s="41">
        <f>BJ132+AM132+AL132+'11-2025'!$N132+AN132+AO132</f>
        <v>13185.275</v>
      </c>
      <c r="BL132" s="34">
        <f>'11-2025'!$O132</f>
        <v>0</v>
      </c>
      <c r="BM132" s="34">
        <f t="shared" si="24"/>
        <v>0</v>
      </c>
      <c r="BN132" s="34">
        <f t="shared" si="25"/>
        <v>0</v>
      </c>
      <c r="BO132" s="34">
        <f t="shared" si="33"/>
        <v>1666.6666666666667</v>
      </c>
      <c r="BP132" s="35">
        <f t="shared" si="26"/>
        <v>11518.608333333334</v>
      </c>
      <c r="BQ132" s="34">
        <f>IFERROR(BP132/'11-2025'!$J132,0)*12</f>
        <v>138223.29999999999</v>
      </c>
      <c r="BR132" s="34">
        <f>IF(BQ132&lt;=40000,0,
IF(BQ132&lt;=55000,(BQ132-40000)*10%,
IF(BQ132&lt;=70000,(BQ132-55000)*15%+1500,
IF(BQ132&lt;=200000,(BQ132-70000)*20%+1500+2250,
IF(BQ132&lt;=400000,(BQ132-200000)*22.5%+1500+2250+26000,
IF(BQ132&lt;=600000,(BQ132-400000)*25%+1500+2250+26000+45000,
IF(AND(BQ132&gt;600000,BQ132&lt;=1200000),(BQ132-400000)*25%+1500+2250+26000+45000
+IFERROR(LOOKUP(BQ132,{600001;700001;800001;900001},{4000;6750;10250;15250}),0),IF(BQ132&gt;1200000,((BQ132-1200000)*27.5%)+300000,0)
)))))))</f>
        <v>17394.659999999996</v>
      </c>
      <c r="BS132" s="32">
        <f>(BR132/12*'11-2025'!$J132)</f>
        <v>1449.5549999999996</v>
      </c>
      <c r="BT132" s="33">
        <f>BS132-'11-2025'!$V132</f>
        <v>1212.0549999999996</v>
      </c>
      <c r="BU132" s="32">
        <f>IFERROR(+'11-2025'!$W132+AL132+AM132+BJ132-'11-2025'!$AJ132-BT132+AN132+AO132,"")-AL132+AP132+AQ132</f>
        <v>11735.72</v>
      </c>
      <c r="BV132" s="36"/>
      <c r="BW132" s="37"/>
      <c r="BX132" s="37">
        <f t="shared" si="34"/>
        <v>11735.72</v>
      </c>
      <c r="BY132" s="37"/>
    </row>
    <row r="133" spans="1:77" x14ac:dyDescent="0.25">
      <c r="A133" s="43">
        <v>723</v>
      </c>
      <c r="B133" s="22" t="s">
        <v>243</v>
      </c>
      <c r="C133" s="22" t="s">
        <v>71</v>
      </c>
      <c r="D133" s="22" t="s">
        <v>72</v>
      </c>
      <c r="E133" s="22" t="s">
        <v>60</v>
      </c>
      <c r="F133" s="22" t="s">
        <v>102</v>
      </c>
      <c r="G133" s="23">
        <v>45873</v>
      </c>
      <c r="H133" s="22"/>
      <c r="I133" s="24"/>
      <c r="J133" s="25">
        <v>1</v>
      </c>
      <c r="K133" s="25">
        <v>3000</v>
      </c>
      <c r="L133" s="25"/>
      <c r="M133" s="26"/>
      <c r="N133" s="25">
        <f>SUM('11-2025'!$K133:$M133)</f>
        <v>3000</v>
      </c>
      <c r="O133" s="25"/>
      <c r="P133" s="25">
        <f t="shared" si="27"/>
        <v>0</v>
      </c>
      <c r="Q133" s="25">
        <f t="shared" si="28"/>
        <v>0</v>
      </c>
      <c r="R133" s="25">
        <v>1666.6666666666667</v>
      </c>
      <c r="S133" s="27">
        <f t="shared" si="29"/>
        <v>1333.3333333333333</v>
      </c>
      <c r="T133" s="25">
        <f t="shared" si="30"/>
        <v>16000</v>
      </c>
      <c r="U133" s="25">
        <f>IF(T133&lt;=40000,0,
IF(T133&lt;=55000,(T133-40000)*10%,
IF(T133&lt;=70000,(T133-55000)*15%+1500,
IF(T133&lt;=200000,(T133-70000)*20%+1500+2250,
IF(T133&lt;=400000,(T133-200000)*22.5%+1500+2250+26000,
IF(T133&lt;=600000,(T133-400000)*25%+1500+2250+26000+45000,
IF(AND(T133&gt;600000,T133&lt;=1200000),(T133-400000)*25%+1500+2250+26000+45000
+IFERROR(LOOKUP(T133,{600001;700001;800001;900001},{4000;6750;10250;15250}),0),IF(T133&gt;1200000,((T133-1200000)*27.5%)+300000,0)
)))))))</f>
        <v>0</v>
      </c>
      <c r="V133" s="25">
        <f t="shared" si="31"/>
        <v>0</v>
      </c>
      <c r="W133" s="28">
        <f>+'11-2025'!$S133-'11-2025'!$V133+'11-2025'!$R133</f>
        <v>3000</v>
      </c>
      <c r="X133" s="28">
        <f t="shared" si="32"/>
        <v>100</v>
      </c>
      <c r="Y133" s="29">
        <v>0</v>
      </c>
      <c r="Z133" s="29">
        <f>IFERROR(+'11-2025'!$X133*'11-2025'!$Y133,"")</f>
        <v>0</v>
      </c>
      <c r="AA133" s="29">
        <v>2</v>
      </c>
      <c r="AB133" s="29">
        <f>IFERROR(+'11-2025'!$X133*'11-2025'!$AA133,"")</f>
        <v>200</v>
      </c>
      <c r="AC133" s="29">
        <v>2</v>
      </c>
      <c r="AD133" s="29">
        <f>IFERROR(+'11-2025'!$X133*'11-2025'!$AC133,"")</f>
        <v>200</v>
      </c>
      <c r="AE133" s="29">
        <v>0</v>
      </c>
      <c r="AF133" s="29">
        <f>IFERROR(+'11-2025'!$X133*'11-2025'!$AE133,"")</f>
        <v>0</v>
      </c>
      <c r="AG133" s="29">
        <v>0</v>
      </c>
      <c r="AH133" s="29">
        <f>IFERROR(+'11-2025'!$X133*'11-2025'!$AG133,"")</f>
        <v>0</v>
      </c>
      <c r="AI133" s="29">
        <v>0</v>
      </c>
      <c r="AJ133" s="29">
        <f>IFERROR('11-2025'!$Z133+'11-2025'!$AB133+'11-2025'!$AD133+'11-2025'!$AF133+'11-2025'!$AH133+'11-2025'!$AI133,"")</f>
        <v>400</v>
      </c>
      <c r="AK133" s="30">
        <f>IFERROR('11-2025'!$W133-'11-2025'!$AJ133,"")</f>
        <v>2600</v>
      </c>
      <c r="AL133" s="31"/>
      <c r="AM133" s="31"/>
      <c r="AN133" s="31"/>
      <c r="AO133" s="31">
        <v>20</v>
      </c>
      <c r="AP133" s="31"/>
      <c r="AQ133" s="31"/>
      <c r="AR133" s="31">
        <v>0</v>
      </c>
      <c r="AS133" s="31">
        <v>2231.5874999999996</v>
      </c>
      <c r="AT133" s="31">
        <v>0</v>
      </c>
      <c r="AU133" s="31">
        <v>0</v>
      </c>
      <c r="AV133" s="31">
        <v>0</v>
      </c>
      <c r="AW133" s="31">
        <v>0</v>
      </c>
      <c r="AX133" s="31">
        <v>0</v>
      </c>
      <c r="AY133" s="31">
        <v>0</v>
      </c>
      <c r="AZ133" s="31">
        <v>0</v>
      </c>
      <c r="BA133" s="31">
        <v>0</v>
      </c>
      <c r="BB133" s="31">
        <v>0</v>
      </c>
      <c r="BC133" s="31">
        <v>0</v>
      </c>
      <c r="BD133" s="31">
        <v>0</v>
      </c>
      <c r="BE133" s="31">
        <v>0</v>
      </c>
      <c r="BF133" s="31">
        <v>0</v>
      </c>
      <c r="BG133" s="31">
        <v>2344.4725499999995</v>
      </c>
      <c r="BH133" s="31">
        <v>0</v>
      </c>
      <c r="BI133" s="31">
        <v>0</v>
      </c>
      <c r="BJ133" s="32">
        <f t="shared" si="35"/>
        <v>4576.0600499999991</v>
      </c>
      <c r="BK133" s="41">
        <f>BJ133+AM133+AL133+'11-2025'!$N133+AN133+AO133</f>
        <v>7596.0600499999991</v>
      </c>
      <c r="BL133" s="34">
        <f>'11-2025'!$O133</f>
        <v>0</v>
      </c>
      <c r="BM133" s="34">
        <f t="shared" si="24"/>
        <v>0</v>
      </c>
      <c r="BN133" s="34">
        <f t="shared" si="25"/>
        <v>0</v>
      </c>
      <c r="BO133" s="34">
        <f t="shared" si="33"/>
        <v>1666.6666666666667</v>
      </c>
      <c r="BP133" s="35">
        <f t="shared" si="26"/>
        <v>5929.3933833333322</v>
      </c>
      <c r="BQ133" s="34">
        <f>IFERROR(BP133/'11-2025'!$J133,0)*12</f>
        <v>71152.720599999986</v>
      </c>
      <c r="BR133" s="34">
        <f>IF(BQ133&lt;=40000,0,
IF(BQ133&lt;=55000,(BQ133-40000)*10%,
IF(BQ133&lt;=70000,(BQ133-55000)*15%+1500,
IF(BQ133&lt;=200000,(BQ133-70000)*20%+1500+2250,
IF(BQ133&lt;=400000,(BQ133-200000)*22.5%+1500+2250+26000,
IF(BQ133&lt;=600000,(BQ133-400000)*25%+1500+2250+26000+45000,
IF(AND(BQ133&gt;600000,BQ133&lt;=1200000),(BQ133-400000)*25%+1500+2250+26000+45000
+IFERROR(LOOKUP(BQ133,{600001;700001;800001;900001},{4000;6750;10250;15250}),0),IF(BQ133&gt;1200000,((BQ133-1200000)*27.5%)+300000,0)
)))))))</f>
        <v>3980.5441199999973</v>
      </c>
      <c r="BS133" s="32">
        <f>(BR133/12*'11-2025'!$J133)</f>
        <v>331.71200999999979</v>
      </c>
      <c r="BT133" s="33">
        <f>BS133-'11-2025'!$V133</f>
        <v>331.71200999999979</v>
      </c>
      <c r="BU133" s="32">
        <f>IFERROR(+'11-2025'!$W133+AL133+AM133+BJ133-'11-2025'!$AJ133-BT133+AN133+AO133,"")-AL133+AP133+AQ133</f>
        <v>6864.3480399999989</v>
      </c>
      <c r="BV133" s="36"/>
      <c r="BW133" s="37"/>
      <c r="BX133" s="37">
        <f t="shared" si="34"/>
        <v>6864.3480399999989</v>
      </c>
      <c r="BY133" s="37"/>
    </row>
    <row r="134" spans="1:77" x14ac:dyDescent="0.25">
      <c r="A134" s="43">
        <v>724</v>
      </c>
      <c r="B134" s="22" t="s">
        <v>324</v>
      </c>
      <c r="C134" s="22" t="s">
        <v>106</v>
      </c>
      <c r="D134" s="22" t="s">
        <v>72</v>
      </c>
      <c r="E134" s="22" t="s">
        <v>110</v>
      </c>
      <c r="F134" s="22" t="s">
        <v>83</v>
      </c>
      <c r="G134" s="23">
        <v>45874</v>
      </c>
      <c r="H134" s="22"/>
      <c r="I134" s="24"/>
      <c r="J134" s="25">
        <v>1</v>
      </c>
      <c r="K134" s="25">
        <v>6691.18</v>
      </c>
      <c r="L134" s="25"/>
      <c r="M134" s="26"/>
      <c r="N134" s="25">
        <f>SUM('11-2025'!$K134:$M134)</f>
        <v>6691.18</v>
      </c>
      <c r="O134" s="25"/>
      <c r="P134" s="25">
        <f t="shared" si="27"/>
        <v>0</v>
      </c>
      <c r="Q134" s="25">
        <f t="shared" si="28"/>
        <v>0</v>
      </c>
      <c r="R134" s="25">
        <v>1666.6666666666667</v>
      </c>
      <c r="S134" s="27">
        <f t="shared" si="29"/>
        <v>5024.5133333333333</v>
      </c>
      <c r="T134" s="25">
        <f t="shared" si="30"/>
        <v>60294.16</v>
      </c>
      <c r="U134" s="25">
        <f>IF(T134&lt;=40000,0,
IF(T134&lt;=55000,(T134-40000)*10%,
IF(T134&lt;=70000,(T134-55000)*15%+1500,
IF(T134&lt;=200000,(T134-70000)*20%+1500+2250,
IF(T134&lt;=400000,(T134-200000)*22.5%+1500+2250+26000,
IF(T134&lt;=600000,(T134-400000)*25%+1500+2250+26000+45000,
IF(AND(T134&gt;600000,T134&lt;=1200000),(T134-400000)*25%+1500+2250+26000+45000
+IFERROR(LOOKUP(T134,{600001;700001;800001;900001},{4000;6750;10250;15250}),0),IF(T134&gt;1200000,((T134-1200000)*27.5%)+300000,0)
)))))))</f>
        <v>2294.1240000000007</v>
      </c>
      <c r="V134" s="25">
        <f t="shared" si="31"/>
        <v>191.17700000000005</v>
      </c>
      <c r="W134" s="28">
        <f>+'11-2025'!$S134-'11-2025'!$V134+'11-2025'!$R134</f>
        <v>6500.0030000000006</v>
      </c>
      <c r="X134" s="28">
        <f t="shared" si="32"/>
        <v>216.66676666666669</v>
      </c>
      <c r="Y134" s="29">
        <v>0</v>
      </c>
      <c r="Z134" s="29">
        <f>IFERROR(+'11-2025'!$X134*'11-2025'!$Y134,"")</f>
        <v>0</v>
      </c>
      <c r="AA134" s="29">
        <v>0</v>
      </c>
      <c r="AB134" s="29">
        <f>IFERROR(+'11-2025'!$X134*'11-2025'!$AA134,"")</f>
        <v>0</v>
      </c>
      <c r="AC134" s="29">
        <v>0</v>
      </c>
      <c r="AD134" s="29">
        <f>IFERROR(+'11-2025'!$X134*'11-2025'!$AC134,"")</f>
        <v>0</v>
      </c>
      <c r="AE134" s="29">
        <v>0</v>
      </c>
      <c r="AF134" s="29">
        <f>IFERROR(+'11-2025'!$X134*'11-2025'!$AE134,"")</f>
        <v>0</v>
      </c>
      <c r="AG134" s="29">
        <v>0</v>
      </c>
      <c r="AH134" s="29">
        <f>IFERROR(+'11-2025'!$X134*'11-2025'!$AG134,"")</f>
        <v>0</v>
      </c>
      <c r="AI134" s="29">
        <v>1000</v>
      </c>
      <c r="AJ134" s="29">
        <f>IFERROR('11-2025'!$Z134+'11-2025'!$AB134+'11-2025'!$AD134+'11-2025'!$AF134+'11-2025'!$AH134+'11-2025'!$AI134,"")</f>
        <v>1000</v>
      </c>
      <c r="AK134" s="30">
        <f>IFERROR('11-2025'!$W134-'11-2025'!$AJ134,"")</f>
        <v>5500.0030000000006</v>
      </c>
      <c r="AL134" s="31"/>
      <c r="AM134" s="31"/>
      <c r="AN134" s="31"/>
      <c r="AO134" s="31">
        <v>80</v>
      </c>
      <c r="AP134" s="31"/>
      <c r="AQ134" s="31"/>
      <c r="AR134" s="31">
        <v>0</v>
      </c>
      <c r="AS134" s="31">
        <v>0</v>
      </c>
      <c r="AT134" s="31">
        <v>0</v>
      </c>
      <c r="AU134" s="31">
        <v>0</v>
      </c>
      <c r="AV134" s="31">
        <v>0</v>
      </c>
      <c r="AW134" s="31">
        <v>0</v>
      </c>
      <c r="AX134" s="31">
        <v>0</v>
      </c>
      <c r="AY134" s="31">
        <v>0</v>
      </c>
      <c r="AZ134" s="31">
        <v>0</v>
      </c>
      <c r="BA134" s="31">
        <v>0</v>
      </c>
      <c r="BB134" s="31">
        <v>0</v>
      </c>
      <c r="BC134" s="31">
        <v>0</v>
      </c>
      <c r="BD134" s="31">
        <v>0</v>
      </c>
      <c r="BE134" s="31">
        <v>3491.6080000000002</v>
      </c>
      <c r="BF134" s="31">
        <v>20</v>
      </c>
      <c r="BG134" s="31">
        <v>0</v>
      </c>
      <c r="BH134" s="31">
        <v>0</v>
      </c>
      <c r="BI134" s="31">
        <v>0</v>
      </c>
      <c r="BJ134" s="32">
        <f t="shared" si="35"/>
        <v>3511.6080000000002</v>
      </c>
      <c r="BK134" s="41">
        <f>BJ134+AM134+AL134+'11-2025'!$N134+AN134+AO134</f>
        <v>10282.788</v>
      </c>
      <c r="BL134" s="34">
        <f>'11-2025'!$O134</f>
        <v>0</v>
      </c>
      <c r="BM134" s="34">
        <f t="shared" si="24"/>
        <v>0</v>
      </c>
      <c r="BN134" s="34">
        <f t="shared" si="25"/>
        <v>0</v>
      </c>
      <c r="BO134" s="34">
        <f t="shared" si="33"/>
        <v>1666.6666666666667</v>
      </c>
      <c r="BP134" s="35">
        <f t="shared" si="26"/>
        <v>8616.1213333333344</v>
      </c>
      <c r="BQ134" s="34">
        <f>IFERROR(BP134/'11-2025'!$J134,0)*12</f>
        <v>103393.45600000001</v>
      </c>
      <c r="BR134" s="34">
        <f>IF(BQ134&lt;=40000,0,
IF(BQ134&lt;=55000,(BQ134-40000)*10%,
IF(BQ134&lt;=70000,(BQ134-55000)*15%+1500,
IF(BQ134&lt;=200000,(BQ134-70000)*20%+1500+2250,
IF(BQ134&lt;=400000,(BQ134-200000)*22.5%+1500+2250+26000,
IF(BQ134&lt;=600000,(BQ134-400000)*25%+1500+2250+26000+45000,
IF(AND(BQ134&gt;600000,BQ134&lt;=1200000),(BQ134-400000)*25%+1500+2250+26000+45000
+IFERROR(LOOKUP(BQ134,{600001;700001;800001;900001},{4000;6750;10250;15250}),0),IF(BQ134&gt;1200000,((BQ134-1200000)*27.5%)+300000,0)
)))))))</f>
        <v>10428.691200000001</v>
      </c>
      <c r="BS134" s="32">
        <f>(BR134/12*'11-2025'!$J134)</f>
        <v>869.05760000000009</v>
      </c>
      <c r="BT134" s="33">
        <v>0</v>
      </c>
      <c r="BU134" s="32">
        <f>IFERROR(+'11-2025'!$W134+AL134+AM134+BJ134-'11-2025'!$AJ134-BT134+AN134+AO134,"")-AL134+AP134+AQ134</f>
        <v>9091.6110000000008</v>
      </c>
      <c r="BV134" s="36" t="s">
        <v>433</v>
      </c>
      <c r="BW134" s="37"/>
      <c r="BX134" s="37">
        <f t="shared" si="34"/>
        <v>9091.6110000000008</v>
      </c>
      <c r="BY134" s="37"/>
    </row>
    <row r="135" spans="1:77" s="75" customFormat="1" x14ac:dyDescent="0.25">
      <c r="A135" s="44">
        <v>725</v>
      </c>
      <c r="B135" s="40" t="s">
        <v>244</v>
      </c>
      <c r="C135" s="40" t="s">
        <v>71</v>
      </c>
      <c r="D135" s="40" t="s">
        <v>72</v>
      </c>
      <c r="E135" s="40" t="s">
        <v>60</v>
      </c>
      <c r="F135" s="40" t="s">
        <v>139</v>
      </c>
      <c r="G135" s="61">
        <v>45874</v>
      </c>
      <c r="H135" s="61">
        <v>45931</v>
      </c>
      <c r="I135" s="62"/>
      <c r="J135" s="63">
        <v>1</v>
      </c>
      <c r="K135" s="63">
        <v>5000</v>
      </c>
      <c r="L135" s="63"/>
      <c r="M135" s="64"/>
      <c r="N135" s="63">
        <f>SUM('11-2025'!$K135:$M135)</f>
        <v>5000</v>
      </c>
      <c r="O135" s="63"/>
      <c r="P135" s="63">
        <f t="shared" si="27"/>
        <v>0</v>
      </c>
      <c r="Q135" s="63">
        <f t="shared" si="28"/>
        <v>0</v>
      </c>
      <c r="R135" s="63">
        <v>1666.6666666666667</v>
      </c>
      <c r="S135" s="65">
        <f t="shared" si="29"/>
        <v>3333.333333333333</v>
      </c>
      <c r="T135" s="63">
        <f t="shared" si="30"/>
        <v>40000</v>
      </c>
      <c r="U135" s="63">
        <f>IF(T135&lt;=40000,0,
IF(T135&lt;=55000,(T135-40000)*10%,
IF(T135&lt;=70000,(T135-55000)*15%+1500,
IF(T135&lt;=200000,(T135-70000)*20%+1500+2250,
IF(T135&lt;=400000,(T135-200000)*22.5%+1500+2250+26000,
IF(T135&lt;=600000,(T135-400000)*25%+1500+2250+26000+45000,
IF(AND(T135&gt;600000,T135&lt;=1200000),(T135-400000)*25%+1500+2250+26000+45000
+IFERROR(LOOKUP(T135,{600001;700001;800001;900001},{4000;6750;10250;15250}),0),IF(T135&gt;1200000,((T135-1200000)*27.5%)+300000,0)
)))))))</f>
        <v>0</v>
      </c>
      <c r="V135" s="63">
        <f t="shared" si="31"/>
        <v>0</v>
      </c>
      <c r="W135" s="66">
        <f>+'11-2025'!$S135-'11-2025'!$V135+'11-2025'!$R135</f>
        <v>5000</v>
      </c>
      <c r="X135" s="66">
        <f t="shared" si="32"/>
        <v>166.66666666666666</v>
      </c>
      <c r="Y135" s="67"/>
      <c r="Z135" s="67">
        <f>IFERROR(+'11-2025'!$X135*'11-2025'!$Y135,"")</f>
        <v>0</v>
      </c>
      <c r="AA135" s="67"/>
      <c r="AB135" s="67">
        <f>IFERROR(+'11-2025'!$X135*'11-2025'!$AA135,"")</f>
        <v>0</v>
      </c>
      <c r="AC135" s="67">
        <v>30</v>
      </c>
      <c r="AD135" s="67">
        <f>IFERROR(+'11-2025'!$X135*'11-2025'!$AC135,"")</f>
        <v>5000</v>
      </c>
      <c r="AE135" s="67"/>
      <c r="AF135" s="67">
        <f>IFERROR(+'11-2025'!$X135*'11-2025'!$AE135,"")</f>
        <v>0</v>
      </c>
      <c r="AG135" s="67"/>
      <c r="AH135" s="67">
        <f>IFERROR(+'11-2025'!$X135*'11-2025'!$AG135,"")</f>
        <v>0</v>
      </c>
      <c r="AI135" s="29">
        <v>0</v>
      </c>
      <c r="AJ135" s="67">
        <f>IFERROR('11-2025'!$Z135+'11-2025'!$AB135+'11-2025'!$AD135+'11-2025'!$AF135+'11-2025'!$AH135+'11-2025'!$AI135,"")</f>
        <v>5000</v>
      </c>
      <c r="AK135" s="68">
        <f>IFERROR('11-2025'!$W135-'11-2025'!$AJ135,"")</f>
        <v>0</v>
      </c>
      <c r="AL135" s="69"/>
      <c r="AM135" s="69"/>
      <c r="AN135" s="69"/>
      <c r="AO135" s="69"/>
      <c r="AP135" s="69"/>
      <c r="AQ135" s="69"/>
      <c r="AR135" s="31">
        <v>0</v>
      </c>
      <c r="AS135" s="31">
        <v>0</v>
      </c>
      <c r="AT135" s="31">
        <v>0</v>
      </c>
      <c r="AU135" s="31">
        <v>0</v>
      </c>
      <c r="AV135" s="31">
        <v>0</v>
      </c>
      <c r="AW135" s="31">
        <v>0</v>
      </c>
      <c r="AX135" s="31">
        <v>0</v>
      </c>
      <c r="AY135" s="31">
        <v>0</v>
      </c>
      <c r="AZ135" s="31">
        <v>0</v>
      </c>
      <c r="BA135" s="31">
        <v>0</v>
      </c>
      <c r="BB135" s="31">
        <v>0</v>
      </c>
      <c r="BC135" s="31">
        <v>0</v>
      </c>
      <c r="BD135" s="31">
        <v>0</v>
      </c>
      <c r="BE135" s="31">
        <v>0</v>
      </c>
      <c r="BF135" s="31">
        <v>0</v>
      </c>
      <c r="BG135" s="31">
        <v>0</v>
      </c>
      <c r="BH135" s="31">
        <v>0</v>
      </c>
      <c r="BI135" s="31">
        <v>0</v>
      </c>
      <c r="BJ135" s="39">
        <f t="shared" si="35"/>
        <v>0</v>
      </c>
      <c r="BK135" s="77">
        <f>BJ135+AM135+AL135+'11-2025'!$N135+AN135+AO135</f>
        <v>5000</v>
      </c>
      <c r="BL135" s="71">
        <f>'11-2025'!$O135</f>
        <v>0</v>
      </c>
      <c r="BM135" s="71">
        <f t="shared" si="24"/>
        <v>0</v>
      </c>
      <c r="BN135" s="71">
        <f t="shared" si="25"/>
        <v>0</v>
      </c>
      <c r="BO135" s="71">
        <f t="shared" si="33"/>
        <v>1666.6666666666667</v>
      </c>
      <c r="BP135" s="72">
        <f t="shared" si="26"/>
        <v>3333.333333333333</v>
      </c>
      <c r="BQ135" s="71">
        <f>IFERROR(BP135/'11-2025'!$J135,0)*12</f>
        <v>40000</v>
      </c>
      <c r="BR135" s="71">
        <f>IF(BQ135&lt;=40000,0,
IF(BQ135&lt;=55000,(BQ135-40000)*10%,
IF(BQ135&lt;=70000,(BQ135-55000)*15%+1500,
IF(BQ135&lt;=200000,(BQ135-70000)*20%+1500+2250,
IF(BQ135&lt;=400000,(BQ135-200000)*22.5%+1500+2250+26000,
IF(BQ135&lt;=600000,(BQ135-400000)*25%+1500+2250+26000+45000,
IF(AND(BQ135&gt;600000,BQ135&lt;=1200000),(BQ135-400000)*25%+1500+2250+26000+45000
+IFERROR(LOOKUP(BQ135,{600001;700001;800001;900001},{4000;6750;10250;15250}),0),IF(BQ135&gt;1200000,((BQ135-1200000)*27.5%)+300000,0)
)))))))</f>
        <v>0</v>
      </c>
      <c r="BS135" s="39">
        <f>(BR135/12*'11-2025'!$J135)</f>
        <v>0</v>
      </c>
      <c r="BT135" s="70">
        <f>BS135-'11-2025'!$V135</f>
        <v>0</v>
      </c>
      <c r="BU135" s="39">
        <f>IFERROR(+'11-2025'!$W135+AL135+AM135+BJ135-'11-2025'!$AJ135-BT135+AN135+AO135,"")-AL135+AP135+AQ135</f>
        <v>0</v>
      </c>
      <c r="BV135" s="73"/>
      <c r="BW135" s="74"/>
      <c r="BX135" s="74">
        <f t="shared" si="34"/>
        <v>0</v>
      </c>
      <c r="BY135" s="74"/>
    </row>
    <row r="136" spans="1:77" x14ac:dyDescent="0.25">
      <c r="A136" s="43">
        <v>729</v>
      </c>
      <c r="B136" s="22" t="s">
        <v>325</v>
      </c>
      <c r="C136" s="22" t="s">
        <v>71</v>
      </c>
      <c r="D136" s="22" t="s">
        <v>72</v>
      </c>
      <c r="E136" s="22" t="s">
        <v>99</v>
      </c>
      <c r="F136" s="22" t="s">
        <v>102</v>
      </c>
      <c r="G136" s="23">
        <v>45874</v>
      </c>
      <c r="H136" s="22"/>
      <c r="I136" s="24"/>
      <c r="J136" s="25">
        <v>1</v>
      </c>
      <c r="K136" s="25">
        <v>3000</v>
      </c>
      <c r="L136" s="25"/>
      <c r="M136" s="26"/>
      <c r="N136" s="25">
        <f>SUM('11-2025'!$K136:$M136)</f>
        <v>3000</v>
      </c>
      <c r="O136" s="25"/>
      <c r="P136" s="25">
        <f t="shared" si="27"/>
        <v>0</v>
      </c>
      <c r="Q136" s="25">
        <f t="shared" si="28"/>
        <v>0</v>
      </c>
      <c r="R136" s="25">
        <v>1666.6666666666667</v>
      </c>
      <c r="S136" s="27">
        <f t="shared" si="29"/>
        <v>1333.3333333333333</v>
      </c>
      <c r="T136" s="25">
        <f t="shared" si="30"/>
        <v>16000</v>
      </c>
      <c r="U136" s="25">
        <f>IF(T136&lt;=40000,0,
IF(T136&lt;=55000,(T136-40000)*10%,
IF(T136&lt;=70000,(T136-55000)*15%+1500,
IF(T136&lt;=200000,(T136-70000)*20%+1500+2250,
IF(T136&lt;=400000,(T136-200000)*22.5%+1500+2250+26000,
IF(T136&lt;=600000,(T136-400000)*25%+1500+2250+26000+45000,
IF(AND(T136&gt;600000,T136&lt;=1200000),(T136-400000)*25%+1500+2250+26000+45000
+IFERROR(LOOKUP(T136,{600001;700001;800001;900001},{4000;6750;10250;15250}),0),IF(T136&gt;1200000,((T136-1200000)*27.5%)+300000,0)
)))))))</f>
        <v>0</v>
      </c>
      <c r="V136" s="25">
        <f t="shared" si="31"/>
        <v>0</v>
      </c>
      <c r="W136" s="28">
        <f>+'11-2025'!$S136-'11-2025'!$V136+'11-2025'!$R136</f>
        <v>3000</v>
      </c>
      <c r="X136" s="28">
        <f t="shared" si="32"/>
        <v>100</v>
      </c>
      <c r="Y136" s="29">
        <v>0</v>
      </c>
      <c r="Z136" s="29">
        <f>IFERROR(+'11-2025'!$X136*'11-2025'!$Y136,"")</f>
        <v>0</v>
      </c>
      <c r="AA136" s="29">
        <v>0</v>
      </c>
      <c r="AB136" s="29">
        <f>IFERROR(+'11-2025'!$X136*'11-2025'!$AA136,"")</f>
        <v>0</v>
      </c>
      <c r="AC136" s="29">
        <v>6</v>
      </c>
      <c r="AD136" s="29">
        <f>IFERROR(+'11-2025'!$X136*'11-2025'!$AC136,"")</f>
        <v>600</v>
      </c>
      <c r="AE136" s="29">
        <v>0</v>
      </c>
      <c r="AF136" s="29">
        <f>IFERROR(+'11-2025'!$X136*'11-2025'!$AE136,"")</f>
        <v>0</v>
      </c>
      <c r="AG136" s="29">
        <v>0</v>
      </c>
      <c r="AH136" s="29">
        <f>IFERROR(+'11-2025'!$X136*'11-2025'!$AG136,"")</f>
        <v>0</v>
      </c>
      <c r="AI136" s="29">
        <v>0</v>
      </c>
      <c r="AJ136" s="29">
        <f>IFERROR('11-2025'!$Z136+'11-2025'!$AB136+'11-2025'!$AD136+'11-2025'!$AF136+'11-2025'!$AH136+'11-2025'!$AI136,"")</f>
        <v>600</v>
      </c>
      <c r="AK136" s="30">
        <f>IFERROR('11-2025'!$W136-'11-2025'!$AJ136,"")</f>
        <v>2400</v>
      </c>
      <c r="AL136" s="31"/>
      <c r="AM136" s="31"/>
      <c r="AN136" s="31"/>
      <c r="AO136" s="31">
        <v>0</v>
      </c>
      <c r="AP136" s="31"/>
      <c r="AQ136" s="31"/>
      <c r="AR136" s="31">
        <v>0</v>
      </c>
      <c r="AS136" s="31">
        <v>2359.0124999999998</v>
      </c>
      <c r="AT136" s="31">
        <v>0</v>
      </c>
      <c r="AU136" s="31">
        <v>0</v>
      </c>
      <c r="AV136" s="31">
        <v>0</v>
      </c>
      <c r="AW136" s="31">
        <v>0</v>
      </c>
      <c r="AX136" s="31">
        <v>0</v>
      </c>
      <c r="AY136" s="31">
        <v>0</v>
      </c>
      <c r="AZ136" s="31">
        <v>0</v>
      </c>
      <c r="BA136" s="31">
        <v>0</v>
      </c>
      <c r="BB136" s="31">
        <v>0</v>
      </c>
      <c r="BC136" s="31">
        <v>0</v>
      </c>
      <c r="BD136" s="31">
        <v>0</v>
      </c>
      <c r="BE136" s="31">
        <v>0</v>
      </c>
      <c r="BF136" s="31">
        <v>0</v>
      </c>
      <c r="BG136" s="31">
        <v>0</v>
      </c>
      <c r="BH136" s="31">
        <v>0</v>
      </c>
      <c r="BI136" s="31">
        <v>0</v>
      </c>
      <c r="BJ136" s="32">
        <f t="shared" si="35"/>
        <v>2359.0124999999998</v>
      </c>
      <c r="BK136" s="41">
        <f>BJ136+AM136+AL136+'11-2025'!$N136+AN136+AO136</f>
        <v>5359.0124999999998</v>
      </c>
      <c r="BL136" s="34">
        <f>'11-2025'!$O136</f>
        <v>0</v>
      </c>
      <c r="BM136" s="34">
        <f t="shared" si="24"/>
        <v>0</v>
      </c>
      <c r="BN136" s="34">
        <f t="shared" si="25"/>
        <v>0</v>
      </c>
      <c r="BO136" s="34">
        <f t="shared" si="33"/>
        <v>1666.6666666666667</v>
      </c>
      <c r="BP136" s="35">
        <f t="shared" si="26"/>
        <v>3692.3458333333328</v>
      </c>
      <c r="BQ136" s="34">
        <f>IFERROR(BP136/'11-2025'!$J136,0)*12</f>
        <v>44308.149999999994</v>
      </c>
      <c r="BR136" s="34">
        <f>IF(BQ136&lt;=40000,0,
IF(BQ136&lt;=55000,(BQ136-40000)*10%,
IF(BQ136&lt;=70000,(BQ136-55000)*15%+1500,
IF(BQ136&lt;=200000,(BQ136-70000)*20%+1500+2250,
IF(BQ136&lt;=400000,(BQ136-200000)*22.5%+1500+2250+26000,
IF(BQ136&lt;=600000,(BQ136-400000)*25%+1500+2250+26000+45000,
IF(AND(BQ136&gt;600000,BQ136&lt;=1200000),(BQ136-400000)*25%+1500+2250+26000+45000
+IFERROR(LOOKUP(BQ136,{600001;700001;800001;900001},{4000;6750;10250;15250}),0),IF(BQ136&gt;1200000,((BQ136-1200000)*27.5%)+300000,0)
)))))))</f>
        <v>430.81499999999943</v>
      </c>
      <c r="BS136" s="32">
        <f>(BR136/12*'11-2025'!$J136)</f>
        <v>35.901249999999955</v>
      </c>
      <c r="BT136" s="33">
        <f>BS136-'11-2025'!$V136</f>
        <v>35.901249999999955</v>
      </c>
      <c r="BU136" s="32">
        <f>IFERROR(+'11-2025'!$W136+AL136+AM136+BJ136-'11-2025'!$AJ136-BT136+AN136+AO136,"")-AL136+AP136+AQ136</f>
        <v>4723.1112499999999</v>
      </c>
      <c r="BV136" s="36"/>
      <c r="BW136" s="37"/>
      <c r="BX136" s="37">
        <f t="shared" si="34"/>
        <v>4723.1112499999999</v>
      </c>
      <c r="BY136" s="37"/>
    </row>
    <row r="137" spans="1:77" x14ac:dyDescent="0.25">
      <c r="A137" s="43">
        <v>731</v>
      </c>
      <c r="B137" s="22" t="s">
        <v>326</v>
      </c>
      <c r="C137" s="22" t="s">
        <v>81</v>
      </c>
      <c r="D137" s="22" t="s">
        <v>72</v>
      </c>
      <c r="E137" s="22" t="s">
        <v>124</v>
      </c>
      <c r="F137" s="22" t="s">
        <v>102</v>
      </c>
      <c r="G137" s="23">
        <v>45923</v>
      </c>
      <c r="H137" s="22"/>
      <c r="I137" s="24"/>
      <c r="J137" s="25">
        <v>1</v>
      </c>
      <c r="K137" s="25">
        <v>4500</v>
      </c>
      <c r="L137" s="25"/>
      <c r="M137" s="26"/>
      <c r="N137" s="25">
        <f>SUM('11-2025'!$K137:$M137)</f>
        <v>4500</v>
      </c>
      <c r="O137" s="25"/>
      <c r="P137" s="25">
        <f t="shared" si="27"/>
        <v>0</v>
      </c>
      <c r="Q137" s="25">
        <f t="shared" si="28"/>
        <v>0</v>
      </c>
      <c r="R137" s="25">
        <v>1666.6666666666667</v>
      </c>
      <c r="S137" s="27">
        <f t="shared" si="29"/>
        <v>2833.333333333333</v>
      </c>
      <c r="T137" s="25">
        <f t="shared" si="30"/>
        <v>34000</v>
      </c>
      <c r="U137" s="25">
        <f>IF(T137&lt;=40000,0,
IF(T137&lt;=55000,(T137-40000)*10%,
IF(T137&lt;=70000,(T137-55000)*15%+1500,
IF(T137&lt;=200000,(T137-70000)*20%+1500+2250,
IF(T137&lt;=400000,(T137-200000)*22.5%+1500+2250+26000,
IF(T137&lt;=600000,(T137-400000)*25%+1500+2250+26000+45000,
IF(AND(T137&gt;600000,T137&lt;=1200000),(T137-400000)*25%+1500+2250+26000+45000
+IFERROR(LOOKUP(T137,{600001;700001;800001;900001},{4000;6750;10250;15250}),0),IF(T137&gt;1200000,((T137-1200000)*27.5%)+300000,0)
)))))))</f>
        <v>0</v>
      </c>
      <c r="V137" s="25">
        <f t="shared" si="31"/>
        <v>0</v>
      </c>
      <c r="W137" s="28">
        <f>+'11-2025'!$S137-'11-2025'!$V137+'11-2025'!$R137</f>
        <v>4500</v>
      </c>
      <c r="X137" s="28">
        <f t="shared" si="32"/>
        <v>150</v>
      </c>
      <c r="Y137" s="29">
        <v>0</v>
      </c>
      <c r="Z137" s="29">
        <f>IFERROR(+'11-2025'!$X137*'11-2025'!$Y137,"")</f>
        <v>0</v>
      </c>
      <c r="AA137" s="29">
        <v>0</v>
      </c>
      <c r="AB137" s="29">
        <f>IFERROR(+'11-2025'!$X137*'11-2025'!$AA137,"")</f>
        <v>0</v>
      </c>
      <c r="AC137" s="29">
        <v>3.5</v>
      </c>
      <c r="AD137" s="29">
        <f>IFERROR(+'11-2025'!$X137*'11-2025'!$AC137,"")</f>
        <v>525</v>
      </c>
      <c r="AE137" s="29">
        <v>0</v>
      </c>
      <c r="AF137" s="29">
        <f>IFERROR(+'11-2025'!$X137*'11-2025'!$AE137,"")</f>
        <v>0</v>
      </c>
      <c r="AG137" s="29">
        <v>0</v>
      </c>
      <c r="AH137" s="29">
        <f>IFERROR(+'11-2025'!$X137*'11-2025'!$AG137,"")</f>
        <v>0</v>
      </c>
      <c r="AI137" s="29">
        <v>1500</v>
      </c>
      <c r="AJ137" s="29">
        <f>IFERROR('11-2025'!$Z137+'11-2025'!$AB137+'11-2025'!$AD137+'11-2025'!$AF137+'11-2025'!$AH137+'11-2025'!$AI137,"")</f>
        <v>2025</v>
      </c>
      <c r="AK137" s="30">
        <f>IFERROR('11-2025'!$W137-'11-2025'!$AJ137,"")</f>
        <v>2475</v>
      </c>
      <c r="AL137" s="31"/>
      <c r="AM137" s="31">
        <v>2500</v>
      </c>
      <c r="AN137" s="31"/>
      <c r="AO137" s="31">
        <v>100</v>
      </c>
      <c r="AP137" s="31"/>
      <c r="AQ137" s="31"/>
      <c r="AR137" s="31">
        <v>0</v>
      </c>
      <c r="AS137" s="31">
        <v>0</v>
      </c>
      <c r="AT137" s="31">
        <v>0</v>
      </c>
      <c r="AU137" s="31">
        <v>0</v>
      </c>
      <c r="AV137" s="31">
        <v>5496.183</v>
      </c>
      <c r="AW137" s="31">
        <v>0</v>
      </c>
      <c r="AX137" s="31">
        <v>0</v>
      </c>
      <c r="AY137" s="31">
        <v>0</v>
      </c>
      <c r="AZ137" s="31">
        <v>0</v>
      </c>
      <c r="BA137" s="31">
        <v>0</v>
      </c>
      <c r="BB137" s="31">
        <v>0</v>
      </c>
      <c r="BC137" s="31">
        <v>0</v>
      </c>
      <c r="BD137" s="31">
        <v>0</v>
      </c>
      <c r="BE137" s="31">
        <v>0</v>
      </c>
      <c r="BF137" s="31">
        <v>0</v>
      </c>
      <c r="BG137" s="31">
        <v>0</v>
      </c>
      <c r="BH137" s="31">
        <v>0</v>
      </c>
      <c r="BI137" s="31">
        <v>0</v>
      </c>
      <c r="BJ137" s="32">
        <f t="shared" si="35"/>
        <v>5496.183</v>
      </c>
      <c r="BK137" s="41">
        <f>BJ137+AM137+AL137+'11-2025'!$N137+AN137+AO137</f>
        <v>12596.183000000001</v>
      </c>
      <c r="BL137" s="34">
        <f>'11-2025'!$O137</f>
        <v>0</v>
      </c>
      <c r="BM137" s="34">
        <f t="shared" si="24"/>
        <v>0</v>
      </c>
      <c r="BN137" s="34">
        <f t="shared" si="25"/>
        <v>0</v>
      </c>
      <c r="BO137" s="34">
        <f t="shared" si="33"/>
        <v>1666.6666666666667</v>
      </c>
      <c r="BP137" s="35">
        <f t="shared" si="26"/>
        <v>10929.516333333335</v>
      </c>
      <c r="BQ137" s="34">
        <f>IFERROR(BP137/'11-2025'!$J137,0)*12</f>
        <v>131154.19600000003</v>
      </c>
      <c r="BR137" s="34">
        <f>IF(BQ137&lt;=40000,0,
IF(BQ137&lt;=55000,(BQ137-40000)*10%,
IF(BQ137&lt;=70000,(BQ137-55000)*15%+1500,
IF(BQ137&lt;=200000,(BQ137-70000)*20%+1500+2250,
IF(BQ137&lt;=400000,(BQ137-200000)*22.5%+1500+2250+26000,
IF(BQ137&lt;=600000,(BQ137-400000)*25%+1500+2250+26000+45000,
IF(AND(BQ137&gt;600000,BQ137&lt;=1200000),(BQ137-400000)*25%+1500+2250+26000+45000
+IFERROR(LOOKUP(BQ137,{600001;700001;800001;900001},{4000;6750;10250;15250}),0),IF(BQ137&gt;1200000,((BQ137-1200000)*27.5%)+300000,0)
)))))))</f>
        <v>15980.839200000006</v>
      </c>
      <c r="BS137" s="32">
        <f>(BR137/12*'11-2025'!$J137)</f>
        <v>1331.7366000000004</v>
      </c>
      <c r="BT137" s="33">
        <f>BS137-'11-2025'!$V137</f>
        <v>1331.7366000000004</v>
      </c>
      <c r="BU137" s="32">
        <f>IFERROR(+'11-2025'!$W137+AL137+AM137+BJ137-'11-2025'!$AJ137-BT137+AN137+AO137,"")-AL137+AP137+AQ137</f>
        <v>9239.4464000000007</v>
      </c>
      <c r="BV137" s="36" t="s">
        <v>426</v>
      </c>
      <c r="BW137" s="37"/>
      <c r="BX137" s="37">
        <f t="shared" si="34"/>
        <v>9239.4464000000007</v>
      </c>
      <c r="BY137" s="37"/>
    </row>
    <row r="138" spans="1:77" x14ac:dyDescent="0.25">
      <c r="A138" s="43">
        <v>732</v>
      </c>
      <c r="B138" s="22" t="s">
        <v>245</v>
      </c>
      <c r="C138" s="22" t="s">
        <v>81</v>
      </c>
      <c r="D138" s="22" t="s">
        <v>72</v>
      </c>
      <c r="E138" s="22" t="s">
        <v>91</v>
      </c>
      <c r="F138" s="22" t="s">
        <v>102</v>
      </c>
      <c r="G138" s="23">
        <v>45881</v>
      </c>
      <c r="H138" s="22"/>
      <c r="I138" s="24"/>
      <c r="J138" s="25">
        <v>1</v>
      </c>
      <c r="K138" s="25">
        <v>2500</v>
      </c>
      <c r="L138" s="25"/>
      <c r="M138" s="26"/>
      <c r="N138" s="25">
        <f>SUM('11-2025'!$K138:$M138)</f>
        <v>2500</v>
      </c>
      <c r="O138" s="25"/>
      <c r="P138" s="25">
        <f t="shared" si="27"/>
        <v>0</v>
      </c>
      <c r="Q138" s="25">
        <f t="shared" si="28"/>
        <v>0</v>
      </c>
      <c r="R138" s="25">
        <v>1666.6666666666667</v>
      </c>
      <c r="S138" s="27">
        <f t="shared" si="29"/>
        <v>833.33333333333326</v>
      </c>
      <c r="T138" s="25">
        <f t="shared" si="30"/>
        <v>10000</v>
      </c>
      <c r="U138" s="25">
        <f>IF(T138&lt;=40000,0,
IF(T138&lt;=55000,(T138-40000)*10%,
IF(T138&lt;=70000,(T138-55000)*15%+1500,
IF(T138&lt;=200000,(T138-70000)*20%+1500+2250,
IF(T138&lt;=400000,(T138-200000)*22.5%+1500+2250+26000,
IF(T138&lt;=600000,(T138-400000)*25%+1500+2250+26000+45000,
IF(AND(T138&gt;600000,T138&lt;=1200000),(T138-400000)*25%+1500+2250+26000+45000
+IFERROR(LOOKUP(T138,{600001;700001;800001;900001},{4000;6750;10250;15250}),0),IF(T138&gt;1200000,((T138-1200000)*27.5%)+300000,0)
)))))))</f>
        <v>0</v>
      </c>
      <c r="V138" s="25">
        <f t="shared" si="31"/>
        <v>0</v>
      </c>
      <c r="W138" s="28">
        <f>+'11-2025'!$S138-'11-2025'!$V138+'11-2025'!$R138</f>
        <v>2500</v>
      </c>
      <c r="X138" s="28">
        <f t="shared" si="32"/>
        <v>83.333333333333329</v>
      </c>
      <c r="Y138" s="29">
        <v>0</v>
      </c>
      <c r="Z138" s="29">
        <f>IFERROR(+'11-2025'!$X138*'11-2025'!$Y138,"")</f>
        <v>0</v>
      </c>
      <c r="AA138" s="29">
        <v>1</v>
      </c>
      <c r="AB138" s="29">
        <f>IFERROR(+'11-2025'!$X138*'11-2025'!$AA138,"")</f>
        <v>83.333333333333329</v>
      </c>
      <c r="AC138" s="29">
        <v>0</v>
      </c>
      <c r="AD138" s="29">
        <f>IFERROR(+'11-2025'!$X138*'11-2025'!$AC138,"")</f>
        <v>0</v>
      </c>
      <c r="AE138" s="29">
        <v>0</v>
      </c>
      <c r="AF138" s="29">
        <f>IFERROR(+'11-2025'!$X138*'11-2025'!$AE138,"")</f>
        <v>0</v>
      </c>
      <c r="AG138" s="29">
        <v>0</v>
      </c>
      <c r="AH138" s="29">
        <f>IFERROR(+'11-2025'!$X138*'11-2025'!$AG138,"")</f>
        <v>0</v>
      </c>
      <c r="AI138" s="29">
        <v>0</v>
      </c>
      <c r="AJ138" s="29">
        <f>IFERROR('11-2025'!$Z138+'11-2025'!$AB138+'11-2025'!$AD138+'11-2025'!$AF138+'11-2025'!$AH138+'11-2025'!$AI138,"")</f>
        <v>83.333333333333329</v>
      </c>
      <c r="AK138" s="30">
        <f>IFERROR('11-2025'!$W138-'11-2025'!$AJ138,"")</f>
        <v>2416.6666666666665</v>
      </c>
      <c r="AL138" s="31"/>
      <c r="AM138" s="31"/>
      <c r="AN138" s="31"/>
      <c r="AO138" s="31">
        <v>60</v>
      </c>
      <c r="AP138" s="31"/>
      <c r="AQ138" s="31"/>
      <c r="AR138" s="31">
        <v>0</v>
      </c>
      <c r="AS138" s="31">
        <v>0</v>
      </c>
      <c r="AT138" s="31">
        <v>0</v>
      </c>
      <c r="AU138" s="31">
        <v>0</v>
      </c>
      <c r="AV138" s="31">
        <v>540.24</v>
      </c>
      <c r="AW138" s="31">
        <v>0</v>
      </c>
      <c r="AX138" s="31">
        <v>0</v>
      </c>
      <c r="AY138" s="31">
        <v>0</v>
      </c>
      <c r="AZ138" s="31">
        <v>0</v>
      </c>
      <c r="BA138" s="31">
        <v>0</v>
      </c>
      <c r="BB138" s="31">
        <v>0</v>
      </c>
      <c r="BC138" s="31">
        <v>2475.3049999999998</v>
      </c>
      <c r="BD138" s="31">
        <v>1226</v>
      </c>
      <c r="BE138" s="31">
        <v>0</v>
      </c>
      <c r="BF138" s="31">
        <v>0</v>
      </c>
      <c r="BG138" s="31">
        <v>0</v>
      </c>
      <c r="BH138" s="31">
        <v>0</v>
      </c>
      <c r="BI138" s="31">
        <v>0</v>
      </c>
      <c r="BJ138" s="32">
        <f t="shared" si="35"/>
        <v>4241.5450000000001</v>
      </c>
      <c r="BK138" s="41">
        <f>BJ138+AM138+AL138+'11-2025'!$N138+AN138+AO138</f>
        <v>6801.5450000000001</v>
      </c>
      <c r="BL138" s="34">
        <f>'11-2025'!$O138</f>
        <v>0</v>
      </c>
      <c r="BM138" s="34">
        <f t="shared" si="24"/>
        <v>0</v>
      </c>
      <c r="BN138" s="34">
        <f t="shared" si="25"/>
        <v>0</v>
      </c>
      <c r="BO138" s="34">
        <f t="shared" si="33"/>
        <v>1666.6666666666667</v>
      </c>
      <c r="BP138" s="35">
        <f t="shared" si="26"/>
        <v>5134.8783333333331</v>
      </c>
      <c r="BQ138" s="34">
        <f>IFERROR(BP138/'11-2025'!$J138,0)*12</f>
        <v>61618.539999999994</v>
      </c>
      <c r="BR138" s="34">
        <f>IF(BQ138&lt;=40000,0,
IF(BQ138&lt;=55000,(BQ138-40000)*10%,
IF(BQ138&lt;=70000,(BQ138-55000)*15%+1500,
IF(BQ138&lt;=200000,(BQ138-70000)*20%+1500+2250,
IF(BQ138&lt;=400000,(BQ138-200000)*22.5%+1500+2250+26000,
IF(BQ138&lt;=600000,(BQ138-400000)*25%+1500+2250+26000+45000,
IF(AND(BQ138&gt;600000,BQ138&lt;=1200000),(BQ138-400000)*25%+1500+2250+26000+45000
+IFERROR(LOOKUP(BQ138,{600001;700001;800001;900001},{4000;6750;10250;15250}),0),IF(BQ138&gt;1200000,((BQ138-1200000)*27.5%)+300000,0)
)))))))</f>
        <v>2492.780999999999</v>
      </c>
      <c r="BS138" s="32">
        <f>(BR138/12*'11-2025'!$J138)</f>
        <v>207.73174999999992</v>
      </c>
      <c r="BT138" s="33">
        <f>BS138-'11-2025'!$V138</f>
        <v>207.73174999999992</v>
      </c>
      <c r="BU138" s="32">
        <f>IFERROR(+'11-2025'!$W138+AL138+AM138+BJ138-'11-2025'!$AJ138-BT138+AN138+AO138,"")-AL138+AP138+AQ138</f>
        <v>6510.4799166666671</v>
      </c>
      <c r="BV138" s="36"/>
      <c r="BW138" s="37"/>
      <c r="BX138" s="37">
        <f t="shared" si="34"/>
        <v>6510.4799166666671</v>
      </c>
      <c r="BY138" s="37"/>
    </row>
    <row r="139" spans="1:77" s="75" customFormat="1" x14ac:dyDescent="0.25">
      <c r="A139" s="44">
        <v>733</v>
      </c>
      <c r="B139" s="40" t="s">
        <v>246</v>
      </c>
      <c r="C139" s="40" t="s">
        <v>71</v>
      </c>
      <c r="D139" s="40" t="s">
        <v>72</v>
      </c>
      <c r="E139" s="40" t="s">
        <v>99</v>
      </c>
      <c r="F139" s="40" t="s">
        <v>102</v>
      </c>
      <c r="G139" s="61">
        <v>45882</v>
      </c>
      <c r="H139" s="61">
        <v>45900</v>
      </c>
      <c r="I139" s="62"/>
      <c r="J139" s="63">
        <v>1</v>
      </c>
      <c r="K139" s="63">
        <v>2500</v>
      </c>
      <c r="L139" s="63"/>
      <c r="M139" s="64"/>
      <c r="N139" s="63">
        <f>SUM('11-2025'!$K139:$M139)</f>
        <v>2500</v>
      </c>
      <c r="O139" s="63"/>
      <c r="P139" s="63">
        <f t="shared" si="27"/>
        <v>0</v>
      </c>
      <c r="Q139" s="63">
        <f t="shared" si="28"/>
        <v>0</v>
      </c>
      <c r="R139" s="63">
        <v>1666.6666666666667</v>
      </c>
      <c r="S139" s="65">
        <f t="shared" si="29"/>
        <v>833.33333333333326</v>
      </c>
      <c r="T139" s="63">
        <f t="shared" si="30"/>
        <v>10000</v>
      </c>
      <c r="U139" s="63">
        <f>IF(T139&lt;=40000,0,
IF(T139&lt;=55000,(T139-40000)*10%,
IF(T139&lt;=70000,(T139-55000)*15%+1500,
IF(T139&lt;=200000,(T139-70000)*20%+1500+2250,
IF(T139&lt;=400000,(T139-200000)*22.5%+1500+2250+26000,
IF(T139&lt;=600000,(T139-400000)*25%+1500+2250+26000+45000,
IF(AND(T139&gt;600000,T139&lt;=1200000),(T139-400000)*25%+1500+2250+26000+45000
+IFERROR(LOOKUP(T139,{600001;700001;800001;900001},{4000;6750;10250;15250}),0),IF(T139&gt;1200000,((T139-1200000)*27.5%)+300000,0)
)))))))</f>
        <v>0</v>
      </c>
      <c r="V139" s="63">
        <f t="shared" si="31"/>
        <v>0</v>
      </c>
      <c r="W139" s="66">
        <f>+'11-2025'!$S139-'11-2025'!$V139+'11-2025'!$R139</f>
        <v>2500</v>
      </c>
      <c r="X139" s="66">
        <f t="shared" si="32"/>
        <v>83.333333333333329</v>
      </c>
      <c r="Y139" s="67"/>
      <c r="Z139" s="67">
        <f>IFERROR(+'11-2025'!$X139*'11-2025'!$Y139,"")</f>
        <v>0</v>
      </c>
      <c r="AA139" s="67"/>
      <c r="AB139" s="67">
        <f>IFERROR(+'11-2025'!$X139*'11-2025'!$AA139,"")</f>
        <v>0</v>
      </c>
      <c r="AC139" s="67">
        <v>30</v>
      </c>
      <c r="AD139" s="67">
        <f>IFERROR(+'11-2025'!$X139*'11-2025'!$AC139,"")</f>
        <v>2500</v>
      </c>
      <c r="AE139" s="67"/>
      <c r="AF139" s="67">
        <f>IFERROR(+'11-2025'!$X139*'11-2025'!$AE139,"")</f>
        <v>0</v>
      </c>
      <c r="AG139" s="67"/>
      <c r="AH139" s="67">
        <f>IFERROR(+'11-2025'!$X139*'11-2025'!$AG139,"")</f>
        <v>0</v>
      </c>
      <c r="AI139" s="29">
        <v>0</v>
      </c>
      <c r="AJ139" s="67">
        <f>IFERROR('11-2025'!$Z139+'11-2025'!$AB139+'11-2025'!$AD139+'11-2025'!$AF139+'11-2025'!$AH139+'11-2025'!$AI139,"")</f>
        <v>2500</v>
      </c>
      <c r="AK139" s="68">
        <f>IFERROR('11-2025'!$W139-'11-2025'!$AJ139,"")</f>
        <v>0</v>
      </c>
      <c r="AL139" s="69"/>
      <c r="AM139" s="69"/>
      <c r="AN139" s="69"/>
      <c r="AO139" s="69"/>
      <c r="AP139" s="69"/>
      <c r="AQ139" s="69"/>
      <c r="AR139" s="31">
        <v>0</v>
      </c>
      <c r="AS139" s="31">
        <v>0</v>
      </c>
      <c r="AT139" s="31">
        <v>0</v>
      </c>
      <c r="AU139" s="31">
        <v>0</v>
      </c>
      <c r="AV139" s="31">
        <v>0</v>
      </c>
      <c r="AW139" s="31">
        <v>0</v>
      </c>
      <c r="AX139" s="31">
        <v>0</v>
      </c>
      <c r="AY139" s="31">
        <v>0</v>
      </c>
      <c r="AZ139" s="31">
        <v>0</v>
      </c>
      <c r="BA139" s="31">
        <v>0</v>
      </c>
      <c r="BB139" s="31">
        <v>0</v>
      </c>
      <c r="BC139" s="31">
        <v>0</v>
      </c>
      <c r="BD139" s="31">
        <v>0</v>
      </c>
      <c r="BE139" s="31">
        <v>0</v>
      </c>
      <c r="BF139" s="31">
        <v>0</v>
      </c>
      <c r="BG139" s="31">
        <v>0</v>
      </c>
      <c r="BH139" s="31">
        <v>0</v>
      </c>
      <c r="BI139" s="31">
        <v>0</v>
      </c>
      <c r="BJ139" s="39">
        <f t="shared" si="35"/>
        <v>0</v>
      </c>
      <c r="BK139" s="77">
        <f>BJ139+AM139+AL139+'11-2025'!$N139+AN139+AO139</f>
        <v>2500</v>
      </c>
      <c r="BL139" s="71">
        <f>'11-2025'!$O139</f>
        <v>0</v>
      </c>
      <c r="BM139" s="71">
        <f t="shared" si="24"/>
        <v>0</v>
      </c>
      <c r="BN139" s="71">
        <f t="shared" si="25"/>
        <v>0</v>
      </c>
      <c r="BO139" s="71">
        <f t="shared" si="33"/>
        <v>1666.6666666666667</v>
      </c>
      <c r="BP139" s="72">
        <f t="shared" si="26"/>
        <v>833.33333333333326</v>
      </c>
      <c r="BQ139" s="71">
        <f>IFERROR(BP139/'11-2025'!$J139,0)*12</f>
        <v>10000</v>
      </c>
      <c r="BR139" s="71">
        <f>IF(BQ139&lt;=40000,0,
IF(BQ139&lt;=55000,(BQ139-40000)*10%,
IF(BQ139&lt;=70000,(BQ139-55000)*15%+1500,
IF(BQ139&lt;=200000,(BQ139-70000)*20%+1500+2250,
IF(BQ139&lt;=400000,(BQ139-200000)*22.5%+1500+2250+26000,
IF(BQ139&lt;=600000,(BQ139-400000)*25%+1500+2250+26000+45000,
IF(AND(BQ139&gt;600000,BQ139&lt;=1200000),(BQ139-400000)*25%+1500+2250+26000+45000
+IFERROR(LOOKUP(BQ139,{600001;700001;800001;900001},{4000;6750;10250;15250}),0),IF(BQ139&gt;1200000,((BQ139-1200000)*27.5%)+300000,0)
)))))))</f>
        <v>0</v>
      </c>
      <c r="BS139" s="39">
        <f>(BR139/12*'11-2025'!$J139)</f>
        <v>0</v>
      </c>
      <c r="BT139" s="70">
        <f>BS139-'11-2025'!$V139</f>
        <v>0</v>
      </c>
      <c r="BU139" s="39">
        <f>IFERROR(+'11-2025'!$W139+AL139+AM139+BJ139-'11-2025'!$AJ139-BT139+AN139+AO139,"")-AL139+AP139+AQ139</f>
        <v>0</v>
      </c>
      <c r="BV139" s="73"/>
      <c r="BW139" s="74"/>
      <c r="BX139" s="74">
        <f t="shared" si="34"/>
        <v>0</v>
      </c>
      <c r="BY139" s="74"/>
    </row>
    <row r="140" spans="1:77" x14ac:dyDescent="0.25">
      <c r="A140" s="44">
        <v>734</v>
      </c>
      <c r="B140" s="22" t="s">
        <v>247</v>
      </c>
      <c r="C140" s="22" t="s">
        <v>81</v>
      </c>
      <c r="D140" s="22" t="s">
        <v>72</v>
      </c>
      <c r="E140" s="22" t="s">
        <v>93</v>
      </c>
      <c r="F140" s="22" t="s">
        <v>102</v>
      </c>
      <c r="G140" s="23">
        <v>45882</v>
      </c>
      <c r="H140" s="23">
        <v>45962</v>
      </c>
      <c r="I140" s="24"/>
      <c r="J140" s="25">
        <v>1</v>
      </c>
      <c r="K140" s="25">
        <v>2500</v>
      </c>
      <c r="L140" s="25"/>
      <c r="M140" s="26"/>
      <c r="N140" s="25">
        <f>SUM('11-2025'!$K140:$M140)</f>
        <v>2500</v>
      </c>
      <c r="O140" s="25"/>
      <c r="P140" s="25">
        <f t="shared" si="27"/>
        <v>0</v>
      </c>
      <c r="Q140" s="25">
        <f t="shared" si="28"/>
        <v>0</v>
      </c>
      <c r="R140" s="25">
        <v>1666.6666666666667</v>
      </c>
      <c r="S140" s="27">
        <f t="shared" si="29"/>
        <v>833.33333333333326</v>
      </c>
      <c r="T140" s="25">
        <f t="shared" si="30"/>
        <v>10000</v>
      </c>
      <c r="U140" s="25">
        <f>IF(T140&lt;=40000,0,
IF(T140&lt;=55000,(T140-40000)*10%,
IF(T140&lt;=70000,(T140-55000)*15%+1500,
IF(T140&lt;=200000,(T140-70000)*20%+1500+2250,
IF(T140&lt;=400000,(T140-200000)*22.5%+1500+2250+26000,
IF(T140&lt;=600000,(T140-400000)*25%+1500+2250+26000+45000,
IF(AND(T140&gt;600000,T140&lt;=1200000),(T140-400000)*25%+1500+2250+26000+45000
+IFERROR(LOOKUP(T140,{600001;700001;800001;900001},{4000;6750;10250;15250}),0),IF(T140&gt;1200000,((T140-1200000)*27.5%)+300000,0)
)))))))</f>
        <v>0</v>
      </c>
      <c r="V140" s="25">
        <f t="shared" si="31"/>
        <v>0</v>
      </c>
      <c r="W140" s="28">
        <f>+'11-2025'!$S140-'11-2025'!$V140+'11-2025'!$R140</f>
        <v>2500</v>
      </c>
      <c r="X140" s="28">
        <f t="shared" si="32"/>
        <v>83.333333333333329</v>
      </c>
      <c r="Y140" s="29"/>
      <c r="Z140" s="29">
        <f>IFERROR(+'11-2025'!$X140*'11-2025'!$Y140,"")</f>
        <v>0</v>
      </c>
      <c r="AA140" s="29">
        <v>2</v>
      </c>
      <c r="AB140" s="29">
        <f>IFERROR(+'11-2025'!$X140*'11-2025'!$AA140,"")</f>
        <v>166.66666666666666</v>
      </c>
      <c r="AC140" s="29">
        <v>22</v>
      </c>
      <c r="AD140" s="29">
        <f>IFERROR(+'11-2025'!$X140*'11-2025'!$AC140,"")</f>
        <v>1833.3333333333333</v>
      </c>
      <c r="AE140" s="29">
        <v>4</v>
      </c>
      <c r="AF140" s="29">
        <f>IFERROR(+'11-2025'!$X140*'11-2025'!$AE140,"")</f>
        <v>333.33333333333331</v>
      </c>
      <c r="AG140" s="29"/>
      <c r="AH140" s="29">
        <f>IFERROR(+'11-2025'!$X140*'11-2025'!$AG140,"")</f>
        <v>0</v>
      </c>
      <c r="AI140" s="29">
        <v>0</v>
      </c>
      <c r="AJ140" s="29">
        <f>IFERROR('11-2025'!$Z140+'11-2025'!$AB140+'11-2025'!$AD140+'11-2025'!$AF140+'11-2025'!$AH140+'11-2025'!$AI140,"")</f>
        <v>2333.3333333333335</v>
      </c>
      <c r="AK140" s="30">
        <f>IFERROR('11-2025'!$W140-'11-2025'!$AJ140,"")</f>
        <v>166.66666666666652</v>
      </c>
      <c r="AL140" s="31"/>
      <c r="AM140" s="31"/>
      <c r="AN140" s="31"/>
      <c r="AO140" s="31"/>
      <c r="AP140" s="31"/>
      <c r="AQ140" s="31"/>
      <c r="AR140" s="31">
        <v>0</v>
      </c>
      <c r="AS140" s="31">
        <v>0</v>
      </c>
      <c r="AT140" s="31">
        <v>0</v>
      </c>
      <c r="AU140" s="31">
        <v>0</v>
      </c>
      <c r="AV140" s="31">
        <v>0</v>
      </c>
      <c r="AW140" s="31">
        <v>0</v>
      </c>
      <c r="AX140" s="31">
        <v>0</v>
      </c>
      <c r="AY140" s="31">
        <v>0</v>
      </c>
      <c r="AZ140" s="31">
        <v>0</v>
      </c>
      <c r="BA140" s="31">
        <v>0</v>
      </c>
      <c r="BB140" s="31">
        <v>0</v>
      </c>
      <c r="BC140" s="31">
        <v>0</v>
      </c>
      <c r="BD140" s="31">
        <v>0</v>
      </c>
      <c r="BE140" s="31">
        <v>0</v>
      </c>
      <c r="BF140" s="31">
        <v>0</v>
      </c>
      <c r="BG140" s="31">
        <v>0</v>
      </c>
      <c r="BH140" s="31">
        <v>0</v>
      </c>
      <c r="BI140" s="31">
        <v>0</v>
      </c>
      <c r="BJ140" s="32">
        <f t="shared" si="35"/>
        <v>0</v>
      </c>
      <c r="BK140" s="41">
        <f>BJ140+AM140+AL140+'11-2025'!$N140+AN140+AO140</f>
        <v>2500</v>
      </c>
      <c r="BL140" s="34">
        <f>'11-2025'!$O140</f>
        <v>0</v>
      </c>
      <c r="BM140" s="34">
        <f t="shared" si="24"/>
        <v>0</v>
      </c>
      <c r="BN140" s="34">
        <f t="shared" si="25"/>
        <v>0</v>
      </c>
      <c r="BO140" s="34">
        <f t="shared" si="33"/>
        <v>1666.6666666666667</v>
      </c>
      <c r="BP140" s="35">
        <f t="shared" si="26"/>
        <v>833.33333333333326</v>
      </c>
      <c r="BQ140" s="34">
        <f>IFERROR(BP140/'11-2025'!$J140,0)*12</f>
        <v>10000</v>
      </c>
      <c r="BR140" s="34">
        <f>IF(BQ140&lt;=40000,0,
IF(BQ140&lt;=55000,(BQ140-40000)*10%,
IF(BQ140&lt;=70000,(BQ140-55000)*15%+1500,
IF(BQ140&lt;=200000,(BQ140-70000)*20%+1500+2250,
IF(BQ140&lt;=400000,(BQ140-200000)*22.5%+1500+2250+26000,
IF(BQ140&lt;=600000,(BQ140-400000)*25%+1500+2250+26000+45000,
IF(AND(BQ140&gt;600000,BQ140&lt;=1200000),(BQ140-400000)*25%+1500+2250+26000+45000
+IFERROR(LOOKUP(BQ140,{600001;700001;800001;900001},{4000;6750;10250;15250}),0),IF(BQ140&gt;1200000,((BQ140-1200000)*27.5%)+300000,0)
)))))))</f>
        <v>0</v>
      </c>
      <c r="BS140" s="32">
        <f>(BR140/12*'11-2025'!$J140)</f>
        <v>0</v>
      </c>
      <c r="BT140" s="33">
        <f>BS140-'11-2025'!$V140</f>
        <v>0</v>
      </c>
      <c r="BU140" s="32">
        <f>IFERROR(+'11-2025'!$W140+AL140+AM140+BJ140-'11-2025'!$AJ140-BT140+AN140+AO140,"")-AL140+AP140+AQ140</f>
        <v>166.66666666666652</v>
      </c>
      <c r="BV140" s="36"/>
      <c r="BW140" s="37"/>
      <c r="BX140" s="37">
        <f t="shared" si="34"/>
        <v>166.66666666666652</v>
      </c>
      <c r="BY140" s="37"/>
    </row>
    <row r="141" spans="1:77" s="75" customFormat="1" x14ac:dyDescent="0.25">
      <c r="A141" s="44">
        <v>735</v>
      </c>
      <c r="B141" s="40" t="s">
        <v>248</v>
      </c>
      <c r="C141" s="40" t="s">
        <v>71</v>
      </c>
      <c r="D141" s="40" t="s">
        <v>72</v>
      </c>
      <c r="E141" s="40" t="s">
        <v>88</v>
      </c>
      <c r="F141" s="40" t="s">
        <v>139</v>
      </c>
      <c r="G141" s="61">
        <v>45883</v>
      </c>
      <c r="H141" s="61" t="s">
        <v>249</v>
      </c>
      <c r="I141" s="62"/>
      <c r="J141" s="63">
        <v>1</v>
      </c>
      <c r="K141" s="63">
        <v>3000</v>
      </c>
      <c r="L141" s="63"/>
      <c r="M141" s="64"/>
      <c r="N141" s="63">
        <f>SUM('11-2025'!$K141:$M141)</f>
        <v>3000</v>
      </c>
      <c r="O141" s="63"/>
      <c r="P141" s="63">
        <f t="shared" si="27"/>
        <v>0</v>
      </c>
      <c r="Q141" s="63">
        <f t="shared" si="28"/>
        <v>0</v>
      </c>
      <c r="R141" s="63">
        <v>1666.6666666666667</v>
      </c>
      <c r="S141" s="65">
        <f t="shared" si="29"/>
        <v>1333.3333333333333</v>
      </c>
      <c r="T141" s="63">
        <f t="shared" si="30"/>
        <v>16000</v>
      </c>
      <c r="U141" s="63">
        <f>IF(T141&lt;=40000,0,
IF(T141&lt;=55000,(T141-40000)*10%,
IF(T141&lt;=70000,(T141-55000)*15%+1500,
IF(T141&lt;=200000,(T141-70000)*20%+1500+2250,
IF(T141&lt;=400000,(T141-200000)*22.5%+1500+2250+26000,
IF(T141&lt;=600000,(T141-400000)*25%+1500+2250+26000+45000,
IF(AND(T141&gt;600000,T141&lt;=1200000),(T141-400000)*25%+1500+2250+26000+45000
+IFERROR(LOOKUP(T141,{600001;700001;800001;900001},{4000;6750;10250;15250}),0),IF(T141&gt;1200000,((T141-1200000)*27.5%)+300000,0)
)))))))</f>
        <v>0</v>
      </c>
      <c r="V141" s="63">
        <f t="shared" si="31"/>
        <v>0</v>
      </c>
      <c r="W141" s="66">
        <f>+'11-2025'!$S141-'11-2025'!$V141+'11-2025'!$R141</f>
        <v>3000</v>
      </c>
      <c r="X141" s="66">
        <f t="shared" si="32"/>
        <v>100</v>
      </c>
      <c r="Y141" s="67"/>
      <c r="Z141" s="67">
        <f>IFERROR(+'11-2025'!$X141*'11-2025'!$Y141,"")</f>
        <v>0</v>
      </c>
      <c r="AA141" s="67"/>
      <c r="AB141" s="67">
        <f>IFERROR(+'11-2025'!$X141*'11-2025'!$AA141,"")</f>
        <v>0</v>
      </c>
      <c r="AC141" s="67">
        <v>30</v>
      </c>
      <c r="AD141" s="67">
        <f>IFERROR(+'11-2025'!$X141*'11-2025'!$AC141,"")</f>
        <v>3000</v>
      </c>
      <c r="AE141" s="67"/>
      <c r="AF141" s="67">
        <f>IFERROR(+'11-2025'!$X141*'11-2025'!$AE141,"")</f>
        <v>0</v>
      </c>
      <c r="AG141" s="67"/>
      <c r="AH141" s="67">
        <f>IFERROR(+'11-2025'!$X141*'11-2025'!$AG141,"")</f>
        <v>0</v>
      </c>
      <c r="AI141" s="29">
        <v>0</v>
      </c>
      <c r="AJ141" s="67">
        <f>IFERROR('11-2025'!$Z141+'11-2025'!$AB141+'11-2025'!$AD141+'11-2025'!$AF141+'11-2025'!$AH141+'11-2025'!$AI141,"")</f>
        <v>3000</v>
      </c>
      <c r="AK141" s="68">
        <f>IFERROR('11-2025'!$W141-'11-2025'!$AJ141,"")</f>
        <v>0</v>
      </c>
      <c r="AL141" s="69"/>
      <c r="AM141" s="69"/>
      <c r="AN141" s="69"/>
      <c r="AO141" s="69"/>
      <c r="AP141" s="69"/>
      <c r="AQ141" s="69"/>
      <c r="AR141" s="31">
        <v>0</v>
      </c>
      <c r="AS141" s="31">
        <v>0</v>
      </c>
      <c r="AT141" s="31">
        <v>0</v>
      </c>
      <c r="AU141" s="31">
        <v>0</v>
      </c>
      <c r="AV141" s="31">
        <v>0</v>
      </c>
      <c r="AW141" s="31">
        <v>0</v>
      </c>
      <c r="AX141" s="31">
        <v>0</v>
      </c>
      <c r="AY141" s="31">
        <v>0</v>
      </c>
      <c r="AZ141" s="31">
        <v>0</v>
      </c>
      <c r="BA141" s="31">
        <v>0</v>
      </c>
      <c r="BB141" s="31">
        <v>0</v>
      </c>
      <c r="BC141" s="31">
        <v>0</v>
      </c>
      <c r="BD141" s="31">
        <v>0</v>
      </c>
      <c r="BE141" s="31">
        <v>0</v>
      </c>
      <c r="BF141" s="31">
        <v>0</v>
      </c>
      <c r="BG141" s="31">
        <v>0</v>
      </c>
      <c r="BH141" s="31">
        <v>0</v>
      </c>
      <c r="BI141" s="31">
        <v>0</v>
      </c>
      <c r="BJ141" s="39">
        <f t="shared" si="35"/>
        <v>0</v>
      </c>
      <c r="BK141" s="77">
        <f>BJ141+AM141+AL141+'11-2025'!$N141+AN141+AO141</f>
        <v>3000</v>
      </c>
      <c r="BL141" s="71">
        <f>'11-2025'!$O141</f>
        <v>0</v>
      </c>
      <c r="BM141" s="71">
        <f t="shared" si="24"/>
        <v>0</v>
      </c>
      <c r="BN141" s="71">
        <f t="shared" si="25"/>
        <v>0</v>
      </c>
      <c r="BO141" s="71">
        <f t="shared" si="33"/>
        <v>1666.6666666666667</v>
      </c>
      <c r="BP141" s="72">
        <f t="shared" si="26"/>
        <v>1333.3333333333333</v>
      </c>
      <c r="BQ141" s="71">
        <f>IFERROR(BP141/'11-2025'!$J141,0)*12</f>
        <v>16000</v>
      </c>
      <c r="BR141" s="71">
        <f>IF(BQ141&lt;=40000,0,
IF(BQ141&lt;=55000,(BQ141-40000)*10%,
IF(BQ141&lt;=70000,(BQ141-55000)*15%+1500,
IF(BQ141&lt;=200000,(BQ141-70000)*20%+1500+2250,
IF(BQ141&lt;=400000,(BQ141-200000)*22.5%+1500+2250+26000,
IF(BQ141&lt;=600000,(BQ141-400000)*25%+1500+2250+26000+45000,
IF(AND(BQ141&gt;600000,BQ141&lt;=1200000),(BQ141-400000)*25%+1500+2250+26000+45000
+IFERROR(LOOKUP(BQ141,{600001;700001;800001;900001},{4000;6750;10250;15250}),0),IF(BQ141&gt;1200000,((BQ141-1200000)*27.5%)+300000,0)
)))))))</f>
        <v>0</v>
      </c>
      <c r="BS141" s="39">
        <f>(BR141/12*'11-2025'!$J141)</f>
        <v>0</v>
      </c>
      <c r="BT141" s="70">
        <f>BS141-'11-2025'!$V141</f>
        <v>0</v>
      </c>
      <c r="BU141" s="39">
        <f>IFERROR(+'11-2025'!$W141+AL141+AM141+BJ141-'11-2025'!$AJ141-BT141+AN141+AO141,"")-AL141+AP141+AQ141</f>
        <v>0</v>
      </c>
      <c r="BV141" s="73"/>
      <c r="BW141" s="74"/>
      <c r="BX141" s="74">
        <f t="shared" si="34"/>
        <v>0</v>
      </c>
      <c r="BY141" s="74"/>
    </row>
    <row r="142" spans="1:77" x14ac:dyDescent="0.25">
      <c r="A142" s="43">
        <v>738</v>
      </c>
      <c r="B142" s="22" t="s">
        <v>250</v>
      </c>
      <c r="C142" s="22" t="s">
        <v>71</v>
      </c>
      <c r="D142" s="22" t="s">
        <v>77</v>
      </c>
      <c r="E142" s="22" t="s">
        <v>78</v>
      </c>
      <c r="F142" s="22" t="s">
        <v>160</v>
      </c>
      <c r="G142" s="23">
        <v>45888</v>
      </c>
      <c r="H142" s="22"/>
      <c r="I142" s="24"/>
      <c r="J142" s="25">
        <v>1</v>
      </c>
      <c r="K142" s="25">
        <v>4000</v>
      </c>
      <c r="L142" s="25"/>
      <c r="M142" s="26"/>
      <c r="N142" s="25">
        <f>SUM('11-2025'!$K142:$M142)</f>
        <v>4000</v>
      </c>
      <c r="O142" s="25"/>
      <c r="P142" s="25">
        <f t="shared" si="27"/>
        <v>0</v>
      </c>
      <c r="Q142" s="25">
        <f t="shared" si="28"/>
        <v>0</v>
      </c>
      <c r="R142" s="25">
        <v>1666.6666666666667</v>
      </c>
      <c r="S142" s="27">
        <f t="shared" si="29"/>
        <v>2333.333333333333</v>
      </c>
      <c r="T142" s="25">
        <f t="shared" si="30"/>
        <v>27999.999999999996</v>
      </c>
      <c r="U142" s="25">
        <f>IF(T142&lt;=40000,0,
IF(T142&lt;=55000,(T142-40000)*10%,
IF(T142&lt;=70000,(T142-55000)*15%+1500,
IF(T142&lt;=200000,(T142-70000)*20%+1500+2250,
IF(T142&lt;=400000,(T142-200000)*22.5%+1500+2250+26000,
IF(T142&lt;=600000,(T142-400000)*25%+1500+2250+26000+45000,
IF(AND(T142&gt;600000,T142&lt;=1200000),(T142-400000)*25%+1500+2250+26000+45000
+IFERROR(LOOKUP(T142,{600001;700001;800001;900001},{4000;6750;10250;15250}),0),IF(T142&gt;1200000,((T142-1200000)*27.5%)+300000,0)
)))))))</f>
        <v>0</v>
      </c>
      <c r="V142" s="25">
        <f t="shared" si="31"/>
        <v>0</v>
      </c>
      <c r="W142" s="28">
        <f>+'11-2025'!$S142-'11-2025'!$V142+'11-2025'!$R142</f>
        <v>4000</v>
      </c>
      <c r="X142" s="28">
        <f t="shared" si="32"/>
        <v>133.33333333333334</v>
      </c>
      <c r="Y142" s="29">
        <v>0</v>
      </c>
      <c r="Z142" s="29">
        <f>IFERROR(+'11-2025'!$X142*'11-2025'!$Y142,"")</f>
        <v>0</v>
      </c>
      <c r="AA142" s="29">
        <v>0</v>
      </c>
      <c r="AB142" s="29">
        <f>IFERROR(+'11-2025'!$X142*'11-2025'!$AA142,"")</f>
        <v>0</v>
      </c>
      <c r="AC142" s="29">
        <v>0</v>
      </c>
      <c r="AD142" s="29">
        <f>IFERROR(+'11-2025'!$X142*'11-2025'!$AC142,"")</f>
        <v>0</v>
      </c>
      <c r="AE142" s="29">
        <v>0</v>
      </c>
      <c r="AF142" s="29">
        <f>IFERROR(+'11-2025'!$X142*'11-2025'!$AE142,"")</f>
        <v>0</v>
      </c>
      <c r="AG142" s="29">
        <v>0.25</v>
      </c>
      <c r="AH142" s="29">
        <f>IFERROR(+'11-2025'!$X142*'11-2025'!$AG142,"")</f>
        <v>33.333333333333336</v>
      </c>
      <c r="AI142" s="29">
        <v>0</v>
      </c>
      <c r="AJ142" s="29">
        <f>IFERROR('11-2025'!$Z142+'11-2025'!$AB142+'11-2025'!$AD142+'11-2025'!$AF142+'11-2025'!$AH142+'11-2025'!$AI142,"")</f>
        <v>33.333333333333336</v>
      </c>
      <c r="AK142" s="30">
        <f>IFERROR('11-2025'!$W142-'11-2025'!$AJ142,"")</f>
        <v>3966.6666666666665</v>
      </c>
      <c r="AL142" s="31"/>
      <c r="AM142" s="31"/>
      <c r="AN142" s="31"/>
      <c r="AO142" s="31">
        <v>120</v>
      </c>
      <c r="AP142" s="31"/>
      <c r="AQ142" s="31"/>
      <c r="AR142" s="31">
        <v>0</v>
      </c>
      <c r="AS142" s="31">
        <v>0</v>
      </c>
      <c r="AT142" s="31">
        <v>0</v>
      </c>
      <c r="AU142" s="31">
        <v>0</v>
      </c>
      <c r="AV142" s="31">
        <v>0</v>
      </c>
      <c r="AW142" s="31">
        <v>0</v>
      </c>
      <c r="AX142" s="31">
        <v>300</v>
      </c>
      <c r="AY142" s="31">
        <v>0</v>
      </c>
      <c r="AZ142" s="31">
        <v>0</v>
      </c>
      <c r="BA142" s="31">
        <v>0</v>
      </c>
      <c r="BB142" s="31">
        <v>0</v>
      </c>
      <c r="BC142" s="31">
        <v>0</v>
      </c>
      <c r="BD142" s="31">
        <v>0</v>
      </c>
      <c r="BE142" s="31">
        <v>0</v>
      </c>
      <c r="BF142" s="31">
        <v>0</v>
      </c>
      <c r="BG142" s="31">
        <v>0</v>
      </c>
      <c r="BH142" s="31">
        <v>0</v>
      </c>
      <c r="BI142" s="31">
        <v>0</v>
      </c>
      <c r="BJ142" s="32">
        <f t="shared" si="35"/>
        <v>300</v>
      </c>
      <c r="BK142" s="41">
        <f>BJ142+AM142+AL142+'11-2025'!$N142+AN142+AO142</f>
        <v>4420</v>
      </c>
      <c r="BL142" s="34">
        <f>'11-2025'!$O142</f>
        <v>0</v>
      </c>
      <c r="BM142" s="34">
        <f t="shared" si="24"/>
        <v>0</v>
      </c>
      <c r="BN142" s="34">
        <f t="shared" si="25"/>
        <v>0</v>
      </c>
      <c r="BO142" s="34">
        <f t="shared" si="33"/>
        <v>1666.6666666666667</v>
      </c>
      <c r="BP142" s="35">
        <f t="shared" si="26"/>
        <v>2753.333333333333</v>
      </c>
      <c r="BQ142" s="34">
        <f>IFERROR(BP142/'11-2025'!$J142,0)*12</f>
        <v>33040</v>
      </c>
      <c r="BR142" s="34">
        <f>IF(BQ142&lt;=40000,0,
IF(BQ142&lt;=55000,(BQ142-40000)*10%,
IF(BQ142&lt;=70000,(BQ142-55000)*15%+1500,
IF(BQ142&lt;=200000,(BQ142-70000)*20%+1500+2250,
IF(BQ142&lt;=400000,(BQ142-200000)*22.5%+1500+2250+26000,
IF(BQ142&lt;=600000,(BQ142-400000)*25%+1500+2250+26000+45000,
IF(AND(BQ142&gt;600000,BQ142&lt;=1200000),(BQ142-400000)*25%+1500+2250+26000+45000
+IFERROR(LOOKUP(BQ142,{600001;700001;800001;900001},{4000;6750;10250;15250}),0),IF(BQ142&gt;1200000,((BQ142-1200000)*27.5%)+300000,0)
)))))))</f>
        <v>0</v>
      </c>
      <c r="BS142" s="32">
        <f>(BR142/12*'11-2025'!$J142)</f>
        <v>0</v>
      </c>
      <c r="BT142" s="33">
        <f>BS142-'11-2025'!$V142</f>
        <v>0</v>
      </c>
      <c r="BU142" s="32">
        <f>IFERROR(+'11-2025'!$W142+AL142+AM142+BJ142-'11-2025'!$AJ142-BT142+AN142+AO142,"")-AL142+AP142+AQ142</f>
        <v>4386.666666666667</v>
      </c>
      <c r="BV142" s="36"/>
      <c r="BW142" s="37"/>
      <c r="BX142" s="37">
        <f t="shared" si="34"/>
        <v>4386.666666666667</v>
      </c>
      <c r="BY142" s="37"/>
    </row>
    <row r="143" spans="1:77" x14ac:dyDescent="0.25">
      <c r="A143" s="43">
        <v>739</v>
      </c>
      <c r="B143" s="22" t="s">
        <v>251</v>
      </c>
      <c r="C143" s="22" t="s">
        <v>106</v>
      </c>
      <c r="D143" s="22" t="s">
        <v>72</v>
      </c>
      <c r="E143" s="22" t="s">
        <v>82</v>
      </c>
      <c r="F143" s="22" t="s">
        <v>139</v>
      </c>
      <c r="G143" s="23">
        <v>45888</v>
      </c>
      <c r="H143" s="22"/>
      <c r="I143" s="24"/>
      <c r="J143" s="25">
        <v>1</v>
      </c>
      <c r="K143" s="25">
        <v>3000</v>
      </c>
      <c r="L143" s="25"/>
      <c r="M143" s="26"/>
      <c r="N143" s="25">
        <f>SUM('11-2025'!$K143:$M143)</f>
        <v>3000</v>
      </c>
      <c r="O143" s="25"/>
      <c r="P143" s="25">
        <f t="shared" si="27"/>
        <v>0</v>
      </c>
      <c r="Q143" s="25">
        <f t="shared" si="28"/>
        <v>0</v>
      </c>
      <c r="R143" s="25">
        <v>1666.6666666666667</v>
      </c>
      <c r="S143" s="27">
        <f t="shared" si="29"/>
        <v>1333.3333333333333</v>
      </c>
      <c r="T143" s="25">
        <f t="shared" si="30"/>
        <v>16000</v>
      </c>
      <c r="U143" s="25">
        <f>IF(T143&lt;=40000,0,
IF(T143&lt;=55000,(T143-40000)*10%,
IF(T143&lt;=70000,(T143-55000)*15%+1500,
IF(T143&lt;=200000,(T143-70000)*20%+1500+2250,
IF(T143&lt;=400000,(T143-200000)*22.5%+1500+2250+26000,
IF(T143&lt;=600000,(T143-400000)*25%+1500+2250+26000+45000,
IF(AND(T143&gt;600000,T143&lt;=1200000),(T143-400000)*25%+1500+2250+26000+45000
+IFERROR(LOOKUP(T143,{600001;700001;800001;900001},{4000;6750;10250;15250}),0),IF(T143&gt;1200000,((T143-1200000)*27.5%)+300000,0)
)))))))</f>
        <v>0</v>
      </c>
      <c r="V143" s="25">
        <f t="shared" si="31"/>
        <v>0</v>
      </c>
      <c r="W143" s="28">
        <f>+'11-2025'!$S143-'11-2025'!$V143+'11-2025'!$R143</f>
        <v>3000</v>
      </c>
      <c r="X143" s="28">
        <f t="shared" si="32"/>
        <v>100</v>
      </c>
      <c r="Y143" s="29">
        <v>0</v>
      </c>
      <c r="Z143" s="29">
        <f>IFERROR(+'11-2025'!$X143*'11-2025'!$Y143,"")</f>
        <v>0</v>
      </c>
      <c r="AA143" s="29">
        <v>0</v>
      </c>
      <c r="AB143" s="29">
        <f>IFERROR(+'11-2025'!$X143*'11-2025'!$AA143,"")</f>
        <v>0</v>
      </c>
      <c r="AC143" s="29">
        <v>0</v>
      </c>
      <c r="AD143" s="29">
        <f>IFERROR(+'11-2025'!$X143*'11-2025'!$AC143,"")</f>
        <v>0</v>
      </c>
      <c r="AE143" s="29">
        <v>0</v>
      </c>
      <c r="AF143" s="29">
        <f>IFERROR(+'11-2025'!$X143*'11-2025'!$AE143,"")</f>
        <v>0</v>
      </c>
      <c r="AG143" s="29">
        <v>0</v>
      </c>
      <c r="AH143" s="29">
        <f>IFERROR(+'11-2025'!$X143*'11-2025'!$AG143,"")</f>
        <v>0</v>
      </c>
      <c r="AI143" s="29">
        <v>0</v>
      </c>
      <c r="AJ143" s="29">
        <f>IFERROR('11-2025'!$Z143+'11-2025'!$AB143+'11-2025'!$AD143+'11-2025'!$AF143+'11-2025'!$AH143+'11-2025'!$AI143,"")</f>
        <v>0</v>
      </c>
      <c r="AK143" s="30">
        <f>IFERROR('11-2025'!$W143-'11-2025'!$AJ143,"")</f>
        <v>3000</v>
      </c>
      <c r="AL143" s="31"/>
      <c r="AM143" s="31"/>
      <c r="AN143" s="31"/>
      <c r="AO143" s="31">
        <v>0</v>
      </c>
      <c r="AP143" s="31"/>
      <c r="AQ143" s="31"/>
      <c r="AR143" s="31">
        <v>0</v>
      </c>
      <c r="AS143" s="31">
        <v>0</v>
      </c>
      <c r="AT143" s="31">
        <v>0</v>
      </c>
      <c r="AU143" s="31">
        <v>0</v>
      </c>
      <c r="AV143" s="31">
        <v>0</v>
      </c>
      <c r="AW143" s="31">
        <v>0</v>
      </c>
      <c r="AX143" s="31">
        <v>0</v>
      </c>
      <c r="AY143" s="31">
        <v>0</v>
      </c>
      <c r="AZ143" s="31">
        <v>0</v>
      </c>
      <c r="BA143" s="31">
        <v>0</v>
      </c>
      <c r="BB143" s="31">
        <v>0</v>
      </c>
      <c r="BC143" s="31">
        <v>0</v>
      </c>
      <c r="BD143" s="31">
        <v>0</v>
      </c>
      <c r="BE143" s="31">
        <v>1200.48</v>
      </c>
      <c r="BF143" s="31">
        <v>0</v>
      </c>
      <c r="BG143" s="31">
        <v>0</v>
      </c>
      <c r="BH143" s="31">
        <v>533.25</v>
      </c>
      <c r="BI143" s="31">
        <v>0</v>
      </c>
      <c r="BJ143" s="32">
        <f t="shared" si="35"/>
        <v>1733.73</v>
      </c>
      <c r="BK143" s="41">
        <f>BJ143+AM143+AL143+'11-2025'!$N143+AN143+AO143</f>
        <v>4733.7299999999996</v>
      </c>
      <c r="BL143" s="34">
        <f>'11-2025'!$O143</f>
        <v>0</v>
      </c>
      <c r="BM143" s="34">
        <f t="shared" si="24"/>
        <v>0</v>
      </c>
      <c r="BN143" s="34">
        <f t="shared" si="25"/>
        <v>0</v>
      </c>
      <c r="BO143" s="34">
        <f t="shared" si="33"/>
        <v>1666.6666666666667</v>
      </c>
      <c r="BP143" s="35">
        <f t="shared" si="26"/>
        <v>3067.0633333333326</v>
      </c>
      <c r="BQ143" s="34">
        <f>IFERROR(BP143/'11-2025'!$J143,0)*12</f>
        <v>36804.759999999995</v>
      </c>
      <c r="BR143" s="34">
        <f>IF(BQ143&lt;=40000,0,
IF(BQ143&lt;=55000,(BQ143-40000)*10%,
IF(BQ143&lt;=70000,(BQ143-55000)*15%+1500,
IF(BQ143&lt;=200000,(BQ143-70000)*20%+1500+2250,
IF(BQ143&lt;=400000,(BQ143-200000)*22.5%+1500+2250+26000,
IF(BQ143&lt;=600000,(BQ143-400000)*25%+1500+2250+26000+45000,
IF(AND(BQ143&gt;600000,BQ143&lt;=1200000),(BQ143-400000)*25%+1500+2250+26000+45000
+IFERROR(LOOKUP(BQ143,{600001;700001;800001;900001},{4000;6750;10250;15250}),0),IF(BQ143&gt;1200000,((BQ143-1200000)*27.5%)+300000,0)
)))))))</f>
        <v>0</v>
      </c>
      <c r="BS143" s="32">
        <f>(BR143/12*'11-2025'!$J143)</f>
        <v>0</v>
      </c>
      <c r="BT143" s="33">
        <f>BS143-'11-2025'!$V143</f>
        <v>0</v>
      </c>
      <c r="BU143" s="32">
        <f>IFERROR(+'11-2025'!$W143+AL143+AM143+BJ143-'11-2025'!$AJ143-BT143+AN143+AO143,"")-AL143+AP143+AQ143</f>
        <v>4733.7299999999996</v>
      </c>
      <c r="BV143" s="36"/>
      <c r="BW143" s="37"/>
      <c r="BX143" s="37">
        <f t="shared" si="34"/>
        <v>4733.7299999999996</v>
      </c>
      <c r="BY143" s="37"/>
    </row>
    <row r="144" spans="1:77" s="75" customFormat="1" x14ac:dyDescent="0.25">
      <c r="A144" s="44">
        <v>740</v>
      </c>
      <c r="B144" s="40" t="s">
        <v>252</v>
      </c>
      <c r="C144" s="40" t="s">
        <v>253</v>
      </c>
      <c r="D144" s="40" t="s">
        <v>77</v>
      </c>
      <c r="E144" s="40" t="s">
        <v>78</v>
      </c>
      <c r="F144" s="40" t="s">
        <v>160</v>
      </c>
      <c r="G144" s="61">
        <v>45893</v>
      </c>
      <c r="H144" s="61">
        <v>45915</v>
      </c>
      <c r="I144" s="62"/>
      <c r="J144" s="63">
        <v>1</v>
      </c>
      <c r="K144" s="63">
        <v>4000</v>
      </c>
      <c r="L144" s="63"/>
      <c r="M144" s="64"/>
      <c r="N144" s="63">
        <f>SUM('11-2025'!$K144:$M144)</f>
        <v>4000</v>
      </c>
      <c r="O144" s="63"/>
      <c r="P144" s="63">
        <f t="shared" si="27"/>
        <v>0</v>
      </c>
      <c r="Q144" s="63">
        <f t="shared" si="28"/>
        <v>0</v>
      </c>
      <c r="R144" s="63">
        <v>1666.6666666666667</v>
      </c>
      <c r="S144" s="65">
        <f t="shared" si="29"/>
        <v>2333.333333333333</v>
      </c>
      <c r="T144" s="63">
        <f t="shared" si="30"/>
        <v>27999.999999999996</v>
      </c>
      <c r="U144" s="63">
        <f>IF(T144&lt;=40000,0,
IF(T144&lt;=55000,(T144-40000)*10%,
IF(T144&lt;=70000,(T144-55000)*15%+1500,
IF(T144&lt;=200000,(T144-70000)*20%+1500+2250,
IF(T144&lt;=400000,(T144-200000)*22.5%+1500+2250+26000,
IF(T144&lt;=600000,(T144-400000)*25%+1500+2250+26000+45000,
IF(AND(T144&gt;600000,T144&lt;=1200000),(T144-400000)*25%+1500+2250+26000+45000
+IFERROR(LOOKUP(T144,{600001;700001;800001;900001},{4000;6750;10250;15250}),0),IF(T144&gt;1200000,((T144-1200000)*27.5%)+300000,0)
)))))))</f>
        <v>0</v>
      </c>
      <c r="V144" s="63">
        <f t="shared" si="31"/>
        <v>0</v>
      </c>
      <c r="W144" s="66">
        <f>+'11-2025'!$S144-'11-2025'!$V144+'11-2025'!$R144</f>
        <v>4000</v>
      </c>
      <c r="X144" s="66">
        <f t="shared" si="32"/>
        <v>133.33333333333334</v>
      </c>
      <c r="Y144" s="67"/>
      <c r="Z144" s="67">
        <f>IFERROR(+'11-2025'!$X144*'11-2025'!$Y144,"")</f>
        <v>0</v>
      </c>
      <c r="AA144" s="67"/>
      <c r="AB144" s="67">
        <f>IFERROR(+'11-2025'!$X144*'11-2025'!$AA144,"")</f>
        <v>0</v>
      </c>
      <c r="AC144" s="67">
        <v>30</v>
      </c>
      <c r="AD144" s="67">
        <f>IFERROR(+'11-2025'!$X144*'11-2025'!$AC144,"")</f>
        <v>4000.0000000000005</v>
      </c>
      <c r="AE144" s="67"/>
      <c r="AF144" s="67">
        <f>IFERROR(+'11-2025'!$X144*'11-2025'!$AE144,"")</f>
        <v>0</v>
      </c>
      <c r="AG144" s="67"/>
      <c r="AH144" s="67">
        <f>IFERROR(+'11-2025'!$X144*'11-2025'!$AG144,"")</f>
        <v>0</v>
      </c>
      <c r="AI144" s="29">
        <v>0</v>
      </c>
      <c r="AJ144" s="67">
        <f>IFERROR('11-2025'!$Z144+'11-2025'!$AB144+'11-2025'!$AD144+'11-2025'!$AF144+'11-2025'!$AH144+'11-2025'!$AI144,"")</f>
        <v>4000.0000000000005</v>
      </c>
      <c r="AK144" s="68">
        <f>IFERROR('11-2025'!$W144-'11-2025'!$AJ144,"")</f>
        <v>-4.5474735088646412E-13</v>
      </c>
      <c r="AL144" s="69"/>
      <c r="AM144" s="69"/>
      <c r="AN144" s="69"/>
      <c r="AO144" s="69"/>
      <c r="AP144" s="69"/>
      <c r="AQ144" s="69"/>
      <c r="AR144" s="31">
        <v>0</v>
      </c>
      <c r="AS144" s="31">
        <v>0</v>
      </c>
      <c r="AT144" s="31">
        <v>0</v>
      </c>
      <c r="AU144" s="31">
        <v>0</v>
      </c>
      <c r="AV144" s="31">
        <v>0</v>
      </c>
      <c r="AW144" s="31">
        <v>0</v>
      </c>
      <c r="AX144" s="31">
        <v>0</v>
      </c>
      <c r="AY144" s="31">
        <v>0</v>
      </c>
      <c r="AZ144" s="31">
        <v>0</v>
      </c>
      <c r="BA144" s="31">
        <v>0</v>
      </c>
      <c r="BB144" s="31">
        <v>0</v>
      </c>
      <c r="BC144" s="31">
        <v>0</v>
      </c>
      <c r="BD144" s="31">
        <v>0</v>
      </c>
      <c r="BE144" s="31">
        <v>0</v>
      </c>
      <c r="BF144" s="31">
        <v>0</v>
      </c>
      <c r="BG144" s="31">
        <v>0</v>
      </c>
      <c r="BH144" s="31">
        <v>0</v>
      </c>
      <c r="BI144" s="31">
        <v>0</v>
      </c>
      <c r="BJ144" s="39">
        <f t="shared" si="35"/>
        <v>0</v>
      </c>
      <c r="BK144" s="77">
        <f>BJ144+AM144+AL144+'11-2025'!$N144+AN144+AO144</f>
        <v>4000</v>
      </c>
      <c r="BL144" s="71">
        <f>'11-2025'!$O144</f>
        <v>0</v>
      </c>
      <c r="BM144" s="71">
        <f t="shared" si="24"/>
        <v>0</v>
      </c>
      <c r="BN144" s="71">
        <f t="shared" si="25"/>
        <v>0</v>
      </c>
      <c r="BO144" s="71">
        <f t="shared" si="33"/>
        <v>1666.6666666666667</v>
      </c>
      <c r="BP144" s="72">
        <f t="shared" si="26"/>
        <v>2333.333333333333</v>
      </c>
      <c r="BQ144" s="71">
        <f>IFERROR(BP144/'11-2025'!$J144,0)*12</f>
        <v>27999.999999999996</v>
      </c>
      <c r="BR144" s="71">
        <f>IF(BQ144&lt;=40000,0,
IF(BQ144&lt;=55000,(BQ144-40000)*10%,
IF(BQ144&lt;=70000,(BQ144-55000)*15%+1500,
IF(BQ144&lt;=200000,(BQ144-70000)*20%+1500+2250,
IF(BQ144&lt;=400000,(BQ144-200000)*22.5%+1500+2250+26000,
IF(BQ144&lt;=600000,(BQ144-400000)*25%+1500+2250+26000+45000,
IF(AND(BQ144&gt;600000,BQ144&lt;=1200000),(BQ144-400000)*25%+1500+2250+26000+45000
+IFERROR(LOOKUP(BQ144,{600001;700001;800001;900001},{4000;6750;10250;15250}),0),IF(BQ144&gt;1200000,((BQ144-1200000)*27.5%)+300000,0)
)))))))</f>
        <v>0</v>
      </c>
      <c r="BS144" s="39">
        <f>(BR144/12*'11-2025'!$J144)</f>
        <v>0</v>
      </c>
      <c r="BT144" s="70">
        <f>BS144-'11-2025'!$V144</f>
        <v>0</v>
      </c>
      <c r="BU144" s="39">
        <f>IFERROR(+'11-2025'!$W144+AL144+AM144+BJ144-'11-2025'!$AJ144-BT144+AN144+AO144,"")-AL144+AP144+AQ144</f>
        <v>-4.5474735088646412E-13</v>
      </c>
      <c r="BV144" s="73"/>
      <c r="BW144" s="74"/>
      <c r="BX144" s="74">
        <f t="shared" si="34"/>
        <v>-4.5474735088646412E-13</v>
      </c>
      <c r="BY144" s="74"/>
    </row>
    <row r="145" spans="1:77" x14ac:dyDescent="0.25">
      <c r="A145" s="43">
        <v>741</v>
      </c>
      <c r="B145" s="22" t="s">
        <v>254</v>
      </c>
      <c r="C145" s="22" t="s">
        <v>71</v>
      </c>
      <c r="D145" s="22" t="s">
        <v>77</v>
      </c>
      <c r="E145" s="22" t="s">
        <v>85</v>
      </c>
      <c r="F145" s="22" t="s">
        <v>180</v>
      </c>
      <c r="G145" s="23">
        <v>45895</v>
      </c>
      <c r="H145" s="23"/>
      <c r="I145" s="24"/>
      <c r="J145" s="25">
        <v>1</v>
      </c>
      <c r="K145" s="25">
        <v>4000</v>
      </c>
      <c r="L145" s="25"/>
      <c r="M145" s="26"/>
      <c r="N145" s="25">
        <f>SUM('11-2025'!$K145:$M145)</f>
        <v>4000</v>
      </c>
      <c r="O145" s="25"/>
      <c r="P145" s="25">
        <f t="shared" si="27"/>
        <v>0</v>
      </c>
      <c r="Q145" s="25">
        <f t="shared" si="28"/>
        <v>0</v>
      </c>
      <c r="R145" s="25">
        <v>1666.6666666666667</v>
      </c>
      <c r="S145" s="27">
        <f t="shared" si="29"/>
        <v>2333.333333333333</v>
      </c>
      <c r="T145" s="25">
        <f t="shared" si="30"/>
        <v>27999.999999999996</v>
      </c>
      <c r="U145" s="25">
        <f>IF(T145&lt;=40000,0,
IF(T145&lt;=55000,(T145-40000)*10%,
IF(T145&lt;=70000,(T145-55000)*15%+1500,
IF(T145&lt;=200000,(T145-70000)*20%+1500+2250,
IF(T145&lt;=400000,(T145-200000)*22.5%+1500+2250+26000,
IF(T145&lt;=600000,(T145-400000)*25%+1500+2250+26000+45000,
IF(AND(T145&gt;600000,T145&lt;=1200000),(T145-400000)*25%+1500+2250+26000+45000
+IFERROR(LOOKUP(T145,{600001;700001;800001;900001},{4000;6750;10250;15250}),0),IF(T145&gt;1200000,((T145-1200000)*27.5%)+300000,0)
)))))))</f>
        <v>0</v>
      </c>
      <c r="V145" s="25">
        <f t="shared" si="31"/>
        <v>0</v>
      </c>
      <c r="W145" s="28">
        <f>+'11-2025'!$S145-'11-2025'!$V145+'11-2025'!$R145</f>
        <v>4000</v>
      </c>
      <c r="X145" s="28">
        <f t="shared" si="32"/>
        <v>133.33333333333334</v>
      </c>
      <c r="Y145" s="29">
        <v>0</v>
      </c>
      <c r="Z145" s="29">
        <f>IFERROR(+'11-2025'!$X145*'11-2025'!$Y145,"")</f>
        <v>0</v>
      </c>
      <c r="AA145" s="29">
        <v>0</v>
      </c>
      <c r="AB145" s="29">
        <f>IFERROR(+'11-2025'!$X145*'11-2025'!$AA145,"")</f>
        <v>0</v>
      </c>
      <c r="AC145" s="29">
        <v>4</v>
      </c>
      <c r="AD145" s="29">
        <f>IFERROR(+'11-2025'!$X145*'11-2025'!$AC145,"")</f>
        <v>533.33333333333337</v>
      </c>
      <c r="AE145" s="29">
        <v>0</v>
      </c>
      <c r="AF145" s="29">
        <f>IFERROR(+'11-2025'!$X145*'11-2025'!$AE145,"")</f>
        <v>0</v>
      </c>
      <c r="AG145" s="29">
        <v>0</v>
      </c>
      <c r="AH145" s="29">
        <f>IFERROR(+'11-2025'!$X145*'11-2025'!$AG145,"")</f>
        <v>0</v>
      </c>
      <c r="AI145" s="29">
        <v>0</v>
      </c>
      <c r="AJ145" s="29">
        <f>IFERROR('11-2025'!$Z145+'11-2025'!$AB145+'11-2025'!$AD145+'11-2025'!$AF145+'11-2025'!$AH145+'11-2025'!$AI145,"")</f>
        <v>533.33333333333337</v>
      </c>
      <c r="AK145" s="30">
        <f>IFERROR('11-2025'!$W145-'11-2025'!$AJ145,"")</f>
        <v>3466.6666666666665</v>
      </c>
      <c r="AL145" s="31"/>
      <c r="AM145" s="31"/>
      <c r="AN145" s="31"/>
      <c r="AO145" s="31">
        <v>0</v>
      </c>
      <c r="AP145" s="31"/>
      <c r="AQ145" s="31"/>
      <c r="AR145" s="31">
        <v>0</v>
      </c>
      <c r="AS145" s="31">
        <v>0</v>
      </c>
      <c r="AT145" s="31">
        <v>0</v>
      </c>
      <c r="AU145" s="31">
        <v>0</v>
      </c>
      <c r="AV145" s="31">
        <v>0</v>
      </c>
      <c r="AW145" s="31">
        <v>0</v>
      </c>
      <c r="AX145" s="31">
        <v>0</v>
      </c>
      <c r="AY145" s="31">
        <v>0</v>
      </c>
      <c r="AZ145" s="31">
        <v>0</v>
      </c>
      <c r="BA145" s="31">
        <v>0</v>
      </c>
      <c r="BB145" s="31">
        <v>0</v>
      </c>
      <c r="BC145" s="31">
        <v>0</v>
      </c>
      <c r="BD145" s="31">
        <v>0</v>
      </c>
      <c r="BE145" s="31">
        <v>0</v>
      </c>
      <c r="BF145" s="31">
        <v>0</v>
      </c>
      <c r="BG145" s="31">
        <v>0</v>
      </c>
      <c r="BH145" s="31">
        <v>0</v>
      </c>
      <c r="BI145" s="31">
        <v>0</v>
      </c>
      <c r="BJ145" s="32">
        <f t="shared" si="35"/>
        <v>0</v>
      </c>
      <c r="BK145" s="41">
        <f>BJ145+AM145+AL145+'11-2025'!$N145+AN145+AO145</f>
        <v>4000</v>
      </c>
      <c r="BL145" s="34">
        <f>'11-2025'!$O145</f>
        <v>0</v>
      </c>
      <c r="BM145" s="34">
        <f t="shared" si="24"/>
        <v>0</v>
      </c>
      <c r="BN145" s="34">
        <f t="shared" si="25"/>
        <v>0</v>
      </c>
      <c r="BO145" s="34">
        <f t="shared" si="33"/>
        <v>1666.6666666666667</v>
      </c>
      <c r="BP145" s="35">
        <f t="shared" si="26"/>
        <v>2333.333333333333</v>
      </c>
      <c r="BQ145" s="34">
        <f>IFERROR(BP145/'11-2025'!$J145,0)*12</f>
        <v>27999.999999999996</v>
      </c>
      <c r="BR145" s="34">
        <f>IF(BQ145&lt;=40000,0,
IF(BQ145&lt;=55000,(BQ145-40000)*10%,
IF(BQ145&lt;=70000,(BQ145-55000)*15%+1500,
IF(BQ145&lt;=200000,(BQ145-70000)*20%+1500+2250,
IF(BQ145&lt;=400000,(BQ145-200000)*22.5%+1500+2250+26000,
IF(BQ145&lt;=600000,(BQ145-400000)*25%+1500+2250+26000+45000,
IF(AND(BQ145&gt;600000,BQ145&lt;=1200000),(BQ145-400000)*25%+1500+2250+26000+45000
+IFERROR(LOOKUP(BQ145,{600001;700001;800001;900001},{4000;6750;10250;15250}),0),IF(BQ145&gt;1200000,((BQ145-1200000)*27.5%)+300000,0)
)))))))</f>
        <v>0</v>
      </c>
      <c r="BS145" s="32">
        <f>(BR145/12*'11-2025'!$J145)</f>
        <v>0</v>
      </c>
      <c r="BT145" s="33">
        <f>BS145-'11-2025'!$V145</f>
        <v>0</v>
      </c>
      <c r="BU145" s="32">
        <f>IFERROR(+'11-2025'!$W145+AL145+AM145+BJ145-'11-2025'!$AJ145-BT145+AN145+AO145,"")-AL145+AP145+AQ145</f>
        <v>3466.6666666666665</v>
      </c>
      <c r="BV145" s="36"/>
      <c r="BW145" s="37"/>
      <c r="BX145" s="37">
        <f t="shared" si="34"/>
        <v>3466.6666666666665</v>
      </c>
      <c r="BY145" s="37"/>
    </row>
    <row r="146" spans="1:77" x14ac:dyDescent="0.25">
      <c r="A146" s="43">
        <v>742</v>
      </c>
      <c r="B146" s="22" t="s">
        <v>255</v>
      </c>
      <c r="C146" s="22" t="s">
        <v>106</v>
      </c>
      <c r="D146" s="22" t="s">
        <v>72</v>
      </c>
      <c r="E146" s="22" t="s">
        <v>82</v>
      </c>
      <c r="F146" s="22" t="s">
        <v>139</v>
      </c>
      <c r="G146" s="23">
        <v>45897</v>
      </c>
      <c r="H146" s="23"/>
      <c r="I146" s="24"/>
      <c r="J146" s="25">
        <v>1</v>
      </c>
      <c r="K146" s="25">
        <v>3000</v>
      </c>
      <c r="L146" s="25"/>
      <c r="M146" s="26"/>
      <c r="N146" s="25">
        <f>SUM('11-2025'!$K146:$M146)</f>
        <v>3000</v>
      </c>
      <c r="O146" s="25"/>
      <c r="P146" s="25">
        <f t="shared" si="27"/>
        <v>0</v>
      </c>
      <c r="Q146" s="25">
        <f t="shared" si="28"/>
        <v>0</v>
      </c>
      <c r="R146" s="25">
        <v>1666.6666666666667</v>
      </c>
      <c r="S146" s="27">
        <f t="shared" si="29"/>
        <v>1333.3333333333333</v>
      </c>
      <c r="T146" s="25">
        <f t="shared" si="30"/>
        <v>16000</v>
      </c>
      <c r="U146" s="25">
        <f>IF(T146&lt;=40000,0,
IF(T146&lt;=55000,(T146-40000)*10%,
IF(T146&lt;=70000,(T146-55000)*15%+1500,
IF(T146&lt;=200000,(T146-70000)*20%+1500+2250,
IF(T146&lt;=400000,(T146-200000)*22.5%+1500+2250+26000,
IF(T146&lt;=600000,(T146-400000)*25%+1500+2250+26000+45000,
IF(AND(T146&gt;600000,T146&lt;=1200000),(T146-400000)*25%+1500+2250+26000+45000
+IFERROR(LOOKUP(T146,{600001;700001;800001;900001},{4000;6750;10250;15250}),0),IF(T146&gt;1200000,((T146-1200000)*27.5%)+300000,0)
)))))))</f>
        <v>0</v>
      </c>
      <c r="V146" s="25">
        <f t="shared" si="31"/>
        <v>0</v>
      </c>
      <c r="W146" s="28">
        <f>+'11-2025'!$S146-'11-2025'!$V146+'11-2025'!$R146</f>
        <v>3000</v>
      </c>
      <c r="X146" s="28">
        <f t="shared" si="32"/>
        <v>100</v>
      </c>
      <c r="Y146" s="29">
        <v>0</v>
      </c>
      <c r="Z146" s="29">
        <f>IFERROR(+'11-2025'!$X146*'11-2025'!$Y146,"")</f>
        <v>0</v>
      </c>
      <c r="AA146" s="29">
        <v>6</v>
      </c>
      <c r="AB146" s="29">
        <f>IFERROR(+'11-2025'!$X146*'11-2025'!$AA146,"")</f>
        <v>600</v>
      </c>
      <c r="AC146" s="29">
        <v>2</v>
      </c>
      <c r="AD146" s="29">
        <f>IFERROR(+'11-2025'!$X146*'11-2025'!$AC146,"")</f>
        <v>200</v>
      </c>
      <c r="AE146" s="29">
        <v>0</v>
      </c>
      <c r="AF146" s="29">
        <f>IFERROR(+'11-2025'!$X146*'11-2025'!$AE146,"")</f>
        <v>0</v>
      </c>
      <c r="AG146" s="29">
        <v>0</v>
      </c>
      <c r="AH146" s="29">
        <f>IFERROR(+'11-2025'!$X146*'11-2025'!$AG146,"")</f>
        <v>0</v>
      </c>
      <c r="AI146" s="29">
        <v>0</v>
      </c>
      <c r="AJ146" s="29">
        <f>IFERROR('11-2025'!$Z146+'11-2025'!$AB146+'11-2025'!$AD146+'11-2025'!$AF146+'11-2025'!$AH146+'11-2025'!$AI146,"")</f>
        <v>800</v>
      </c>
      <c r="AK146" s="30">
        <f>IFERROR('11-2025'!$W146-'11-2025'!$AJ146,"")</f>
        <v>2200</v>
      </c>
      <c r="AL146" s="31"/>
      <c r="AM146" s="31"/>
      <c r="AN146" s="31"/>
      <c r="AO146" s="31">
        <v>0</v>
      </c>
      <c r="AP146" s="31"/>
      <c r="AQ146" s="31"/>
      <c r="AR146" s="31">
        <v>0</v>
      </c>
      <c r="AS146" s="31">
        <v>0</v>
      </c>
      <c r="AT146" s="31">
        <v>0</v>
      </c>
      <c r="AU146" s="31">
        <v>0</v>
      </c>
      <c r="AV146" s="31">
        <v>0</v>
      </c>
      <c r="AW146" s="31">
        <v>0</v>
      </c>
      <c r="AX146" s="31">
        <v>0</v>
      </c>
      <c r="AY146" s="31">
        <v>0</v>
      </c>
      <c r="AZ146" s="31">
        <v>0</v>
      </c>
      <c r="BA146" s="31">
        <v>0</v>
      </c>
      <c r="BB146" s="31">
        <v>0</v>
      </c>
      <c r="BC146" s="31">
        <v>0</v>
      </c>
      <c r="BD146" s="31">
        <v>0</v>
      </c>
      <c r="BE146" s="31">
        <v>528.56999999999994</v>
      </c>
      <c r="BF146" s="31">
        <v>0</v>
      </c>
      <c r="BG146" s="31">
        <v>0</v>
      </c>
      <c r="BH146" s="31">
        <v>0</v>
      </c>
      <c r="BI146" s="31">
        <v>0</v>
      </c>
      <c r="BJ146" s="32">
        <f t="shared" si="35"/>
        <v>528.56999999999994</v>
      </c>
      <c r="BK146" s="41">
        <f>BJ146+AM146+AL146+'11-2025'!$N146+AN146+AO146</f>
        <v>3528.5699999999997</v>
      </c>
      <c r="BL146" s="34">
        <f>'11-2025'!$O146</f>
        <v>0</v>
      </c>
      <c r="BM146" s="34">
        <f t="shared" si="24"/>
        <v>0</v>
      </c>
      <c r="BN146" s="34">
        <f t="shared" si="25"/>
        <v>0</v>
      </c>
      <c r="BO146" s="34">
        <f t="shared" si="33"/>
        <v>1666.6666666666667</v>
      </c>
      <c r="BP146" s="35">
        <f t="shared" si="26"/>
        <v>1861.903333333333</v>
      </c>
      <c r="BQ146" s="34">
        <f>IFERROR(BP146/'11-2025'!$J146,0)*12</f>
        <v>22342.839999999997</v>
      </c>
      <c r="BR146" s="34">
        <f>IF(BQ146&lt;=40000,0,
IF(BQ146&lt;=55000,(BQ146-40000)*10%,
IF(BQ146&lt;=70000,(BQ146-55000)*15%+1500,
IF(BQ146&lt;=200000,(BQ146-70000)*20%+1500+2250,
IF(BQ146&lt;=400000,(BQ146-200000)*22.5%+1500+2250+26000,
IF(BQ146&lt;=600000,(BQ146-400000)*25%+1500+2250+26000+45000,
IF(AND(BQ146&gt;600000,BQ146&lt;=1200000),(BQ146-400000)*25%+1500+2250+26000+45000
+IFERROR(LOOKUP(BQ146,{600001;700001;800001;900001},{4000;6750;10250;15250}),0),IF(BQ146&gt;1200000,((BQ146-1200000)*27.5%)+300000,0)
)))))))</f>
        <v>0</v>
      </c>
      <c r="BS146" s="32">
        <f>(BR146/12*'11-2025'!$J146)</f>
        <v>0</v>
      </c>
      <c r="BT146" s="33">
        <f>BS146-'11-2025'!$V146</f>
        <v>0</v>
      </c>
      <c r="BU146" s="32">
        <f>IFERROR(+'11-2025'!$W146+AL146+AM146+BJ146-'11-2025'!$AJ146-BT146+AN146+AO146,"")-AL146+AP146+AQ146</f>
        <v>2728.5699999999997</v>
      </c>
      <c r="BV146" s="36"/>
      <c r="BW146" s="37"/>
      <c r="BX146" s="37">
        <f t="shared" si="34"/>
        <v>2728.5699999999997</v>
      </c>
      <c r="BY146" s="37"/>
    </row>
    <row r="147" spans="1:77" x14ac:dyDescent="0.25">
      <c r="A147" s="43">
        <v>743</v>
      </c>
      <c r="B147" s="22" t="s">
        <v>256</v>
      </c>
      <c r="C147" s="22" t="s">
        <v>71</v>
      </c>
      <c r="D147" s="22" t="s">
        <v>77</v>
      </c>
      <c r="E147" s="22" t="s">
        <v>132</v>
      </c>
      <c r="F147" s="22" t="s">
        <v>133</v>
      </c>
      <c r="G147" s="23">
        <v>45902</v>
      </c>
      <c r="H147" s="23"/>
      <c r="I147" s="24"/>
      <c r="J147" s="25">
        <v>1</v>
      </c>
      <c r="K147" s="25">
        <v>4000</v>
      </c>
      <c r="L147" s="25"/>
      <c r="M147" s="26"/>
      <c r="N147" s="25">
        <f>SUM('11-2025'!$K147:$M147)</f>
        <v>4000</v>
      </c>
      <c r="O147" s="25"/>
      <c r="P147" s="25">
        <f t="shared" si="27"/>
        <v>0</v>
      </c>
      <c r="Q147" s="25">
        <f t="shared" si="28"/>
        <v>0</v>
      </c>
      <c r="R147" s="25">
        <v>1666.6666666666667</v>
      </c>
      <c r="S147" s="27">
        <f t="shared" si="29"/>
        <v>2333.333333333333</v>
      </c>
      <c r="T147" s="25">
        <f t="shared" si="30"/>
        <v>27999.999999999996</v>
      </c>
      <c r="U147" s="25">
        <f>IF(T147&lt;=40000,0,
IF(T147&lt;=55000,(T147-40000)*10%,
IF(T147&lt;=70000,(T147-55000)*15%+1500,
IF(T147&lt;=200000,(T147-70000)*20%+1500+2250,
IF(T147&lt;=400000,(T147-200000)*22.5%+1500+2250+26000,
IF(T147&lt;=600000,(T147-400000)*25%+1500+2250+26000+45000,
IF(AND(T147&gt;600000,T147&lt;=1200000),(T147-400000)*25%+1500+2250+26000+45000
+IFERROR(LOOKUP(T147,{600001;700001;800001;900001},{4000;6750;10250;15250}),0),IF(T147&gt;1200000,((T147-1200000)*27.5%)+300000,0)
)))))))</f>
        <v>0</v>
      </c>
      <c r="V147" s="25">
        <f t="shared" si="31"/>
        <v>0</v>
      </c>
      <c r="W147" s="28">
        <f>+'11-2025'!$S147-'11-2025'!$V147+'11-2025'!$R147</f>
        <v>4000</v>
      </c>
      <c r="X147" s="28">
        <f t="shared" si="32"/>
        <v>133.33333333333334</v>
      </c>
      <c r="Y147" s="29">
        <v>0</v>
      </c>
      <c r="Z147" s="29">
        <f>IFERROR(+'11-2025'!$X147*'11-2025'!$Y147,"")</f>
        <v>0</v>
      </c>
      <c r="AA147" s="29">
        <v>0</v>
      </c>
      <c r="AB147" s="29">
        <f>IFERROR(+'11-2025'!$X147*'11-2025'!$AA147,"")</f>
        <v>0</v>
      </c>
      <c r="AC147" s="29">
        <v>0</v>
      </c>
      <c r="AD147" s="29">
        <f>IFERROR(+'11-2025'!$X147*'11-2025'!$AC147,"")</f>
        <v>0</v>
      </c>
      <c r="AE147" s="29">
        <v>0</v>
      </c>
      <c r="AF147" s="29">
        <f>IFERROR(+'11-2025'!$X147*'11-2025'!$AE147,"")</f>
        <v>0</v>
      </c>
      <c r="AG147" s="29">
        <v>0</v>
      </c>
      <c r="AH147" s="29">
        <f>IFERROR(+'11-2025'!$X147*'11-2025'!$AG147,"")</f>
        <v>0</v>
      </c>
      <c r="AI147" s="29">
        <v>0</v>
      </c>
      <c r="AJ147" s="29">
        <f>IFERROR('11-2025'!$Z147+'11-2025'!$AB147+'11-2025'!$AD147+'11-2025'!$AF147+'11-2025'!$AH147+'11-2025'!$AI147,"")</f>
        <v>0</v>
      </c>
      <c r="AK147" s="30">
        <f>IFERROR('11-2025'!$W147-'11-2025'!$AJ147,"")</f>
        <v>4000</v>
      </c>
      <c r="AL147" s="31"/>
      <c r="AM147" s="31"/>
      <c r="AN147" s="31"/>
      <c r="AO147" s="31">
        <v>0</v>
      </c>
      <c r="AP147" s="31">
        <v>1066.6666666666667</v>
      </c>
      <c r="AQ147" s="31"/>
      <c r="AR147" s="31">
        <v>0</v>
      </c>
      <c r="AS147" s="31">
        <v>0</v>
      </c>
      <c r="AT147" s="31">
        <v>0</v>
      </c>
      <c r="AU147" s="31">
        <v>0</v>
      </c>
      <c r="AV147" s="31">
        <v>0</v>
      </c>
      <c r="AW147" s="31">
        <v>0</v>
      </c>
      <c r="AX147" s="31">
        <v>0</v>
      </c>
      <c r="AY147" s="31">
        <v>0</v>
      </c>
      <c r="AZ147" s="31">
        <v>0</v>
      </c>
      <c r="BA147" s="31">
        <v>0</v>
      </c>
      <c r="BB147" s="31">
        <v>0</v>
      </c>
      <c r="BC147" s="31">
        <v>0</v>
      </c>
      <c r="BD147" s="31">
        <v>0</v>
      </c>
      <c r="BE147" s="31">
        <v>0</v>
      </c>
      <c r="BF147" s="31">
        <v>0</v>
      </c>
      <c r="BG147" s="31">
        <v>0</v>
      </c>
      <c r="BH147" s="31">
        <v>0</v>
      </c>
      <c r="BI147" s="31">
        <v>0</v>
      </c>
      <c r="BJ147" s="32">
        <f t="shared" si="35"/>
        <v>0</v>
      </c>
      <c r="BK147" s="41">
        <f>BJ147+AM147+AL147+'11-2025'!$N147+AN147+AO147</f>
        <v>4000</v>
      </c>
      <c r="BL147" s="34">
        <f>'11-2025'!$O147</f>
        <v>0</v>
      </c>
      <c r="BM147" s="34">
        <f t="shared" si="24"/>
        <v>0</v>
      </c>
      <c r="BN147" s="34">
        <f t="shared" si="25"/>
        <v>0</v>
      </c>
      <c r="BO147" s="34">
        <f t="shared" si="33"/>
        <v>1666.6666666666667</v>
      </c>
      <c r="BP147" s="35">
        <f t="shared" si="26"/>
        <v>2333.333333333333</v>
      </c>
      <c r="BQ147" s="34">
        <f>IFERROR(BP147/'11-2025'!$J147,0)*12</f>
        <v>27999.999999999996</v>
      </c>
      <c r="BR147" s="34">
        <f>IF(BQ147&lt;=40000,0,
IF(BQ147&lt;=55000,(BQ147-40000)*10%,
IF(BQ147&lt;=70000,(BQ147-55000)*15%+1500,
IF(BQ147&lt;=200000,(BQ147-70000)*20%+1500+2250,
IF(BQ147&lt;=400000,(BQ147-200000)*22.5%+1500+2250+26000,
IF(BQ147&lt;=600000,(BQ147-400000)*25%+1500+2250+26000+45000,
IF(AND(BQ147&gt;600000,BQ147&lt;=1200000),(BQ147-400000)*25%+1500+2250+26000+45000
+IFERROR(LOOKUP(BQ147,{600001;700001;800001;900001},{4000;6750;10250;15250}),0),IF(BQ147&gt;1200000,((BQ147-1200000)*27.5%)+300000,0)
)))))))</f>
        <v>0</v>
      </c>
      <c r="BS147" s="32">
        <f>(BR147/12*'11-2025'!$J147)</f>
        <v>0</v>
      </c>
      <c r="BT147" s="33">
        <f>BS147-'11-2025'!$V147</f>
        <v>0</v>
      </c>
      <c r="BU147" s="32">
        <f>IFERROR(+'11-2025'!$W147+AL147+AM147+BJ147-'11-2025'!$AJ147-BT147+AN147+AO147,"")-AL147+AP147+AQ147</f>
        <v>5066.666666666667</v>
      </c>
      <c r="BV147" s="36" t="s">
        <v>352</v>
      </c>
      <c r="BW147" s="37"/>
      <c r="BX147" s="37">
        <f t="shared" si="34"/>
        <v>5066.666666666667</v>
      </c>
      <c r="BY147" s="37"/>
    </row>
    <row r="148" spans="1:77" x14ac:dyDescent="0.25">
      <c r="A148" s="43">
        <v>744</v>
      </c>
      <c r="B148" s="22" t="s">
        <v>257</v>
      </c>
      <c r="C148" s="22" t="s">
        <v>71</v>
      </c>
      <c r="D148" s="22" t="s">
        <v>77</v>
      </c>
      <c r="E148" s="22" t="s">
        <v>78</v>
      </c>
      <c r="F148" s="22" t="s">
        <v>160</v>
      </c>
      <c r="G148" s="23">
        <v>45902</v>
      </c>
      <c r="H148" s="23"/>
      <c r="I148" s="24"/>
      <c r="J148" s="25">
        <v>1</v>
      </c>
      <c r="K148" s="25">
        <v>4000</v>
      </c>
      <c r="L148" s="25"/>
      <c r="M148" s="26"/>
      <c r="N148" s="25">
        <f>SUM('11-2025'!$K148:$M148)</f>
        <v>4000</v>
      </c>
      <c r="O148" s="25"/>
      <c r="P148" s="25">
        <f t="shared" si="27"/>
        <v>0</v>
      </c>
      <c r="Q148" s="25">
        <f t="shared" si="28"/>
        <v>0</v>
      </c>
      <c r="R148" s="25">
        <v>1666.6666666666667</v>
      </c>
      <c r="S148" s="27">
        <f t="shared" si="29"/>
        <v>2333.333333333333</v>
      </c>
      <c r="T148" s="25">
        <f t="shared" si="30"/>
        <v>27999.999999999996</v>
      </c>
      <c r="U148" s="25">
        <f>IF(T148&lt;=40000,0,
IF(T148&lt;=55000,(T148-40000)*10%,
IF(T148&lt;=70000,(T148-55000)*15%+1500,
IF(T148&lt;=200000,(T148-70000)*20%+1500+2250,
IF(T148&lt;=400000,(T148-200000)*22.5%+1500+2250+26000,
IF(T148&lt;=600000,(T148-400000)*25%+1500+2250+26000+45000,
IF(AND(T148&gt;600000,T148&lt;=1200000),(T148-400000)*25%+1500+2250+26000+45000
+IFERROR(LOOKUP(T148,{600001;700001;800001;900001},{4000;6750;10250;15250}),0),IF(T148&gt;1200000,((T148-1200000)*27.5%)+300000,0)
)))))))</f>
        <v>0</v>
      </c>
      <c r="V148" s="25">
        <f t="shared" si="31"/>
        <v>0</v>
      </c>
      <c r="W148" s="28">
        <f>+'11-2025'!$S148-'11-2025'!$V148+'11-2025'!$R148</f>
        <v>4000</v>
      </c>
      <c r="X148" s="28">
        <f t="shared" si="32"/>
        <v>133.33333333333334</v>
      </c>
      <c r="Y148" s="29">
        <v>0.5</v>
      </c>
      <c r="Z148" s="29">
        <f>IFERROR(+'11-2025'!$X148*'11-2025'!$Y148,"")</f>
        <v>66.666666666666671</v>
      </c>
      <c r="AA148" s="29">
        <v>0</v>
      </c>
      <c r="AB148" s="29">
        <f>IFERROR(+'11-2025'!$X148*'11-2025'!$AA148,"")</f>
        <v>0</v>
      </c>
      <c r="AC148" s="29">
        <v>0</v>
      </c>
      <c r="AD148" s="29">
        <f>IFERROR(+'11-2025'!$X148*'11-2025'!$AC148,"")</f>
        <v>0</v>
      </c>
      <c r="AE148" s="29">
        <v>0</v>
      </c>
      <c r="AF148" s="29">
        <f>IFERROR(+'11-2025'!$X148*'11-2025'!$AE148,"")</f>
        <v>0</v>
      </c>
      <c r="AG148" s="29">
        <v>0.5</v>
      </c>
      <c r="AH148" s="29">
        <f>IFERROR(+'11-2025'!$X148*'11-2025'!$AG148,"")</f>
        <v>66.666666666666671</v>
      </c>
      <c r="AI148" s="29">
        <v>500</v>
      </c>
      <c r="AJ148" s="29">
        <f>IFERROR('11-2025'!$Z148+'11-2025'!$AB148+'11-2025'!$AD148+'11-2025'!$AF148+'11-2025'!$AH148+'11-2025'!$AI148,"")</f>
        <v>633.33333333333337</v>
      </c>
      <c r="AK148" s="30">
        <f>IFERROR('11-2025'!$W148-'11-2025'!$AJ148,"")</f>
        <v>3366.6666666666665</v>
      </c>
      <c r="AL148" s="31"/>
      <c r="AM148" s="31"/>
      <c r="AN148" s="31"/>
      <c r="AO148" s="31">
        <v>20</v>
      </c>
      <c r="AP148" s="31"/>
      <c r="AQ148" s="31"/>
      <c r="AR148" s="31">
        <v>0</v>
      </c>
      <c r="AS148" s="31">
        <v>0</v>
      </c>
      <c r="AT148" s="31">
        <v>0</v>
      </c>
      <c r="AU148" s="31">
        <v>0</v>
      </c>
      <c r="AV148" s="31">
        <v>0</v>
      </c>
      <c r="AW148" s="31">
        <v>0</v>
      </c>
      <c r="AX148" s="31">
        <v>275</v>
      </c>
      <c r="AY148" s="31">
        <v>135</v>
      </c>
      <c r="AZ148" s="31">
        <v>0</v>
      </c>
      <c r="BA148" s="31">
        <v>20</v>
      </c>
      <c r="BB148" s="31">
        <v>250</v>
      </c>
      <c r="BC148" s="31">
        <v>0</v>
      </c>
      <c r="BD148" s="31">
        <v>0</v>
      </c>
      <c r="BE148" s="31">
        <v>0</v>
      </c>
      <c r="BF148" s="31">
        <v>0</v>
      </c>
      <c r="BG148" s="31">
        <v>0</v>
      </c>
      <c r="BH148" s="31">
        <v>0</v>
      </c>
      <c r="BI148" s="31">
        <v>200</v>
      </c>
      <c r="BJ148" s="32">
        <f t="shared" si="35"/>
        <v>880</v>
      </c>
      <c r="BK148" s="41">
        <f>BJ148+AM148+AL148+'11-2025'!$N148+AN148+AO148</f>
        <v>4900</v>
      </c>
      <c r="BL148" s="34">
        <f>'11-2025'!$O148</f>
        <v>0</v>
      </c>
      <c r="BM148" s="34">
        <f t="shared" si="24"/>
        <v>0</v>
      </c>
      <c r="BN148" s="34">
        <f t="shared" si="25"/>
        <v>0</v>
      </c>
      <c r="BO148" s="34">
        <f t="shared" si="33"/>
        <v>1666.6666666666667</v>
      </c>
      <c r="BP148" s="35">
        <f t="shared" si="26"/>
        <v>3233.333333333333</v>
      </c>
      <c r="BQ148" s="34">
        <f>IFERROR(BP148/'11-2025'!$J148,0)*12</f>
        <v>38800</v>
      </c>
      <c r="BR148" s="34">
        <f>IF(BQ148&lt;=40000,0,
IF(BQ148&lt;=55000,(BQ148-40000)*10%,
IF(BQ148&lt;=70000,(BQ148-55000)*15%+1500,
IF(BQ148&lt;=200000,(BQ148-70000)*20%+1500+2250,
IF(BQ148&lt;=400000,(BQ148-200000)*22.5%+1500+2250+26000,
IF(BQ148&lt;=600000,(BQ148-400000)*25%+1500+2250+26000+45000,
IF(AND(BQ148&gt;600000,BQ148&lt;=1200000),(BQ148-400000)*25%+1500+2250+26000+45000
+IFERROR(LOOKUP(BQ148,{600001;700001;800001;900001},{4000;6750;10250;15250}),0),IF(BQ148&gt;1200000,((BQ148-1200000)*27.5%)+300000,0)
)))))))</f>
        <v>0</v>
      </c>
      <c r="BS148" s="32">
        <f>(BR148/12*'11-2025'!$J148)</f>
        <v>0</v>
      </c>
      <c r="BT148" s="33">
        <f>BS148-'11-2025'!$V148</f>
        <v>0</v>
      </c>
      <c r="BU148" s="32">
        <f>IFERROR(+'11-2025'!$W148+AL148+AM148+BJ148-'11-2025'!$AJ148-BT148+AN148+AO148,"")-AL148+AP148+AQ148</f>
        <v>4266.666666666667</v>
      </c>
      <c r="BV148" s="36"/>
      <c r="BW148" s="37"/>
      <c r="BX148" s="37">
        <f t="shared" si="34"/>
        <v>4266.666666666667</v>
      </c>
      <c r="BY148" s="37"/>
    </row>
    <row r="149" spans="1:77" s="75" customFormat="1" x14ac:dyDescent="0.25">
      <c r="A149" s="44">
        <v>745</v>
      </c>
      <c r="B149" s="40" t="s">
        <v>258</v>
      </c>
      <c r="C149" s="40" t="s">
        <v>71</v>
      </c>
      <c r="D149" s="40" t="s">
        <v>72</v>
      </c>
      <c r="E149" s="40" t="s">
        <v>60</v>
      </c>
      <c r="F149" s="40" t="s">
        <v>74</v>
      </c>
      <c r="G149" s="61">
        <v>45903</v>
      </c>
      <c r="H149" s="61" t="s">
        <v>259</v>
      </c>
      <c r="I149" s="62"/>
      <c r="J149" s="63">
        <v>1</v>
      </c>
      <c r="K149" s="63">
        <v>6000</v>
      </c>
      <c r="L149" s="63"/>
      <c r="M149" s="64"/>
      <c r="N149" s="63">
        <f>SUM('11-2025'!$K149:$M149)</f>
        <v>6000</v>
      </c>
      <c r="O149" s="63"/>
      <c r="P149" s="63">
        <f t="shared" si="27"/>
        <v>0</v>
      </c>
      <c r="Q149" s="63">
        <f t="shared" si="28"/>
        <v>0</v>
      </c>
      <c r="R149" s="63">
        <v>1666.6666666666667</v>
      </c>
      <c r="S149" s="65">
        <f t="shared" si="29"/>
        <v>4333.333333333333</v>
      </c>
      <c r="T149" s="63">
        <f t="shared" si="30"/>
        <v>52000</v>
      </c>
      <c r="U149" s="63">
        <f>IF(T149&lt;=40000,0,
IF(T149&lt;=55000,(T149-40000)*10%,
IF(T149&lt;=70000,(T149-55000)*15%+1500,
IF(T149&lt;=200000,(T149-70000)*20%+1500+2250,
IF(T149&lt;=400000,(T149-200000)*22.5%+1500+2250+26000,
IF(T149&lt;=600000,(T149-400000)*25%+1500+2250+26000+45000,
IF(AND(T149&gt;600000,T149&lt;=1200000),(T149-400000)*25%+1500+2250+26000+45000
+IFERROR(LOOKUP(T149,{600001;700001;800001;900001},{4000;6750;10250;15250}),0),IF(T149&gt;1200000,((T149-1200000)*27.5%)+300000,0)
)))))))</f>
        <v>1200</v>
      </c>
      <c r="V149" s="63">
        <f t="shared" si="31"/>
        <v>100</v>
      </c>
      <c r="W149" s="66">
        <f>+'11-2025'!$S149-'11-2025'!$V149+'11-2025'!$R149</f>
        <v>5900</v>
      </c>
      <c r="X149" s="66">
        <f t="shared" si="32"/>
        <v>196.66666666666666</v>
      </c>
      <c r="Y149" s="67"/>
      <c r="Z149" s="67">
        <f>IFERROR(+'11-2025'!$X149*'11-2025'!$Y149,"")</f>
        <v>0</v>
      </c>
      <c r="AA149" s="67"/>
      <c r="AB149" s="67">
        <f>IFERROR(+'11-2025'!$X149*'11-2025'!$AA149,"")</f>
        <v>0</v>
      </c>
      <c r="AC149" s="67">
        <v>30</v>
      </c>
      <c r="AD149" s="67">
        <f>IFERROR(+'11-2025'!$X149*'11-2025'!$AC149,"")</f>
        <v>5900</v>
      </c>
      <c r="AE149" s="67"/>
      <c r="AF149" s="67">
        <f>IFERROR(+'11-2025'!$X149*'11-2025'!$AE149,"")</f>
        <v>0</v>
      </c>
      <c r="AG149" s="67"/>
      <c r="AH149" s="67">
        <f>IFERROR(+'11-2025'!$X149*'11-2025'!$AG149,"")</f>
        <v>0</v>
      </c>
      <c r="AI149" s="29">
        <v>0</v>
      </c>
      <c r="AJ149" s="67">
        <f>IFERROR('11-2025'!$Z149+'11-2025'!$AB149+'11-2025'!$AD149+'11-2025'!$AF149+'11-2025'!$AH149+'11-2025'!$AI149,"")</f>
        <v>5900</v>
      </c>
      <c r="AK149" s="68">
        <f>IFERROR('11-2025'!$W149-'11-2025'!$AJ149,"")</f>
        <v>0</v>
      </c>
      <c r="AL149" s="69"/>
      <c r="AM149" s="69"/>
      <c r="AN149" s="69"/>
      <c r="AO149" s="69"/>
      <c r="AP149" s="69"/>
      <c r="AQ149" s="69"/>
      <c r="AR149" s="31">
        <v>0</v>
      </c>
      <c r="AS149" s="31">
        <v>0</v>
      </c>
      <c r="AT149" s="31">
        <v>0</v>
      </c>
      <c r="AU149" s="31">
        <v>0</v>
      </c>
      <c r="AV149" s="31">
        <v>0</v>
      </c>
      <c r="AW149" s="31">
        <v>0</v>
      </c>
      <c r="AX149" s="31">
        <v>0</v>
      </c>
      <c r="AY149" s="31">
        <v>0</v>
      </c>
      <c r="AZ149" s="31">
        <v>0</v>
      </c>
      <c r="BA149" s="31">
        <v>0</v>
      </c>
      <c r="BB149" s="31">
        <v>0</v>
      </c>
      <c r="BC149" s="31">
        <v>0</v>
      </c>
      <c r="BD149" s="31">
        <v>0</v>
      </c>
      <c r="BE149" s="31">
        <v>0</v>
      </c>
      <c r="BF149" s="31">
        <v>0</v>
      </c>
      <c r="BG149" s="31">
        <v>0</v>
      </c>
      <c r="BH149" s="31">
        <v>0</v>
      </c>
      <c r="BI149" s="31">
        <v>0</v>
      </c>
      <c r="BJ149" s="39">
        <f t="shared" si="35"/>
        <v>0</v>
      </c>
      <c r="BK149" s="77">
        <f>BJ149+AM149+AL149+'11-2025'!$N149+AN149+AO149</f>
        <v>6000</v>
      </c>
      <c r="BL149" s="71">
        <f>'11-2025'!$O149</f>
        <v>0</v>
      </c>
      <c r="BM149" s="71">
        <f t="shared" si="24"/>
        <v>0</v>
      </c>
      <c r="BN149" s="71">
        <f t="shared" si="25"/>
        <v>0</v>
      </c>
      <c r="BO149" s="71">
        <f t="shared" si="33"/>
        <v>1666.6666666666667</v>
      </c>
      <c r="BP149" s="72">
        <f t="shared" si="26"/>
        <v>4333.333333333333</v>
      </c>
      <c r="BQ149" s="71">
        <f>IFERROR(BP149/'11-2025'!$J149,0)*12</f>
        <v>52000</v>
      </c>
      <c r="BR149" s="71">
        <f>IF(BQ149&lt;=40000,0,
IF(BQ149&lt;=55000,(BQ149-40000)*10%,
IF(BQ149&lt;=70000,(BQ149-55000)*15%+1500,
IF(BQ149&lt;=200000,(BQ149-70000)*20%+1500+2250,
IF(BQ149&lt;=400000,(BQ149-200000)*22.5%+1500+2250+26000,
IF(BQ149&lt;=600000,(BQ149-400000)*25%+1500+2250+26000+45000,
IF(AND(BQ149&gt;600000,BQ149&lt;=1200000),(BQ149-400000)*25%+1500+2250+26000+45000
+IFERROR(LOOKUP(BQ149,{600001;700001;800001;900001},{4000;6750;10250;15250}),0),IF(BQ149&gt;1200000,((BQ149-1200000)*27.5%)+300000,0)
)))))))</f>
        <v>1200</v>
      </c>
      <c r="BS149" s="39">
        <f>(BR149/12*'11-2025'!$J149)</f>
        <v>100</v>
      </c>
      <c r="BT149" s="70">
        <f>BS149-'11-2025'!$V149</f>
        <v>0</v>
      </c>
      <c r="BU149" s="39">
        <f>IFERROR(+'11-2025'!$W149+AL149+AM149+BJ149-'11-2025'!$AJ149-BT149+AN149+AO149,"")-AL149+AP149+AQ149</f>
        <v>0</v>
      </c>
      <c r="BV149" s="73"/>
      <c r="BW149" s="74"/>
      <c r="BX149" s="74">
        <f t="shared" si="34"/>
        <v>0</v>
      </c>
      <c r="BY149" s="74"/>
    </row>
    <row r="150" spans="1:77" x14ac:dyDescent="0.25">
      <c r="A150" s="44">
        <v>746</v>
      </c>
      <c r="B150" s="22" t="s">
        <v>260</v>
      </c>
      <c r="C150" s="22" t="s">
        <v>71</v>
      </c>
      <c r="D150" s="22" t="s">
        <v>72</v>
      </c>
      <c r="E150" s="22" t="s">
        <v>99</v>
      </c>
      <c r="F150" s="22" t="s">
        <v>102</v>
      </c>
      <c r="G150" s="23">
        <v>45903</v>
      </c>
      <c r="H150" s="23">
        <v>45961</v>
      </c>
      <c r="I150" s="24"/>
      <c r="J150" s="25">
        <v>1</v>
      </c>
      <c r="K150" s="25">
        <v>2500</v>
      </c>
      <c r="L150" s="25"/>
      <c r="M150" s="26"/>
      <c r="N150" s="25">
        <f>SUM('11-2025'!$K150:$M150)</f>
        <v>2500</v>
      </c>
      <c r="O150" s="25"/>
      <c r="P150" s="25">
        <f t="shared" si="27"/>
        <v>0</v>
      </c>
      <c r="Q150" s="25">
        <f t="shared" si="28"/>
        <v>0</v>
      </c>
      <c r="R150" s="25">
        <v>1666.6666666666667</v>
      </c>
      <c r="S150" s="27">
        <f t="shared" si="29"/>
        <v>833.33333333333326</v>
      </c>
      <c r="T150" s="25">
        <f t="shared" si="30"/>
        <v>10000</v>
      </c>
      <c r="U150" s="25">
        <f>IF(T150&lt;=40000,0,
IF(T150&lt;=55000,(T150-40000)*10%,
IF(T150&lt;=70000,(T150-55000)*15%+1500,
IF(T150&lt;=200000,(T150-70000)*20%+1500+2250,
IF(T150&lt;=400000,(T150-200000)*22.5%+1500+2250+26000,
IF(T150&lt;=600000,(T150-400000)*25%+1500+2250+26000+45000,
IF(AND(T150&gt;600000,T150&lt;=1200000),(T150-400000)*25%+1500+2250+26000+45000
+IFERROR(LOOKUP(T150,{600001;700001;800001;900001},{4000;6750;10250;15250}),0),IF(T150&gt;1200000,((T150-1200000)*27.5%)+300000,0)
)))))))</f>
        <v>0</v>
      </c>
      <c r="V150" s="25">
        <f t="shared" si="31"/>
        <v>0</v>
      </c>
      <c r="W150" s="28">
        <f>+'11-2025'!$S150-'11-2025'!$V150+'11-2025'!$R150</f>
        <v>2500</v>
      </c>
      <c r="X150" s="28">
        <f t="shared" si="32"/>
        <v>83.333333333333329</v>
      </c>
      <c r="Y150" s="29"/>
      <c r="Z150" s="29">
        <f>IFERROR(+'11-2025'!$X150*'11-2025'!$Y150,"")</f>
        <v>0</v>
      </c>
      <c r="AA150" s="29">
        <v>0</v>
      </c>
      <c r="AB150" s="29">
        <f>IFERROR(+'11-2025'!$X150*'11-2025'!$AA150,"")</f>
        <v>0</v>
      </c>
      <c r="AC150" s="29">
        <v>23</v>
      </c>
      <c r="AD150" s="29">
        <f>IFERROR(+'11-2025'!$X150*'11-2025'!$AC150,"")</f>
        <v>1916.6666666666665</v>
      </c>
      <c r="AE150" s="29">
        <v>3</v>
      </c>
      <c r="AF150" s="29">
        <f>IFERROR(+'11-2025'!$X150*'11-2025'!$AE150,"")</f>
        <v>250</v>
      </c>
      <c r="AG150" s="29"/>
      <c r="AH150" s="29">
        <f>IFERROR(+'11-2025'!$X150*'11-2025'!$AG150,"")</f>
        <v>0</v>
      </c>
      <c r="AI150" s="29">
        <v>0</v>
      </c>
      <c r="AJ150" s="29">
        <f>IFERROR('11-2025'!$Z150+'11-2025'!$AB150+'11-2025'!$AD150+'11-2025'!$AF150+'11-2025'!$AH150+'11-2025'!$AI150,"")</f>
        <v>2166.6666666666665</v>
      </c>
      <c r="AK150" s="30">
        <f>IFERROR('11-2025'!$W150-'11-2025'!$AJ150,"")</f>
        <v>333.33333333333348</v>
      </c>
      <c r="AL150" s="31"/>
      <c r="AM150" s="31"/>
      <c r="AN150" s="31"/>
      <c r="AO150" s="31"/>
      <c r="AP150" s="31"/>
      <c r="AQ150" s="31"/>
      <c r="AR150" s="31">
        <v>0</v>
      </c>
      <c r="AS150" s="31">
        <v>1463.31</v>
      </c>
      <c r="AT150" s="31">
        <v>0</v>
      </c>
      <c r="AU150" s="31">
        <v>0</v>
      </c>
      <c r="AV150" s="31">
        <v>0</v>
      </c>
      <c r="AW150" s="31">
        <v>0</v>
      </c>
      <c r="AX150" s="31">
        <v>0</v>
      </c>
      <c r="AY150" s="31">
        <v>0</v>
      </c>
      <c r="AZ150" s="31">
        <v>0</v>
      </c>
      <c r="BA150" s="31">
        <v>0</v>
      </c>
      <c r="BB150" s="31">
        <v>0</v>
      </c>
      <c r="BC150" s="31">
        <v>0</v>
      </c>
      <c r="BD150" s="31">
        <v>0</v>
      </c>
      <c r="BE150" s="31">
        <v>0</v>
      </c>
      <c r="BF150" s="31">
        <v>0</v>
      </c>
      <c r="BG150" s="31">
        <v>0</v>
      </c>
      <c r="BH150" s="31">
        <v>0</v>
      </c>
      <c r="BI150" s="31">
        <v>0</v>
      </c>
      <c r="BJ150" s="32">
        <f t="shared" si="35"/>
        <v>1463.31</v>
      </c>
      <c r="BK150" s="41">
        <f>BJ150+AM150+AL150+'11-2025'!$N150+AN150+AO150</f>
        <v>3963.31</v>
      </c>
      <c r="BL150" s="34">
        <f>'11-2025'!$O150</f>
        <v>0</v>
      </c>
      <c r="BM150" s="34">
        <f t="shared" si="24"/>
        <v>0</v>
      </c>
      <c r="BN150" s="34">
        <f t="shared" si="25"/>
        <v>0</v>
      </c>
      <c r="BO150" s="34">
        <f t="shared" si="33"/>
        <v>1666.6666666666667</v>
      </c>
      <c r="BP150" s="35">
        <f t="shared" si="26"/>
        <v>2296.6433333333334</v>
      </c>
      <c r="BQ150" s="34">
        <f>IFERROR(BP150/'11-2025'!$J150,0)*12</f>
        <v>27559.72</v>
      </c>
      <c r="BR150" s="34">
        <f>IF(BQ150&lt;=40000,0,
IF(BQ150&lt;=55000,(BQ150-40000)*10%,
IF(BQ150&lt;=70000,(BQ150-55000)*15%+1500,
IF(BQ150&lt;=200000,(BQ150-70000)*20%+1500+2250,
IF(BQ150&lt;=400000,(BQ150-200000)*22.5%+1500+2250+26000,
IF(BQ150&lt;=600000,(BQ150-400000)*25%+1500+2250+26000+45000,
IF(AND(BQ150&gt;600000,BQ150&lt;=1200000),(BQ150-400000)*25%+1500+2250+26000+45000
+IFERROR(LOOKUP(BQ150,{600001;700001;800001;900001},{4000;6750;10250;15250}),0),IF(BQ150&gt;1200000,((BQ150-1200000)*27.5%)+300000,0)
)))))))</f>
        <v>0</v>
      </c>
      <c r="BS150" s="32">
        <f>(BR150/12*'11-2025'!$J150)</f>
        <v>0</v>
      </c>
      <c r="BT150" s="33">
        <f>BS150-'11-2025'!$V150</f>
        <v>0</v>
      </c>
      <c r="BU150" s="32">
        <f>IFERROR(+'11-2025'!$W150+AL150+AM150+BJ150-'11-2025'!$AJ150-BT150+AN150+AO150,"")-AL150+AP150+AQ150</f>
        <v>1796.6433333333334</v>
      </c>
      <c r="BV150" s="36"/>
      <c r="BW150" s="37"/>
      <c r="BX150" s="37">
        <f t="shared" si="34"/>
        <v>1796.6433333333334</v>
      </c>
      <c r="BY150" s="37"/>
    </row>
    <row r="151" spans="1:77" x14ac:dyDescent="0.25">
      <c r="A151" s="43">
        <v>747</v>
      </c>
      <c r="B151" s="22" t="s">
        <v>261</v>
      </c>
      <c r="C151" s="22" t="s">
        <v>71</v>
      </c>
      <c r="D151" s="22" t="s">
        <v>77</v>
      </c>
      <c r="E151" s="22" t="s">
        <v>132</v>
      </c>
      <c r="F151" s="22" t="s">
        <v>133</v>
      </c>
      <c r="G151" s="23">
        <v>45903</v>
      </c>
      <c r="H151" s="23"/>
      <c r="I151" s="24"/>
      <c r="J151" s="25">
        <v>1</v>
      </c>
      <c r="K151" s="25">
        <v>4000</v>
      </c>
      <c r="L151" s="25"/>
      <c r="M151" s="26"/>
      <c r="N151" s="25">
        <f>SUM('11-2025'!$K151:$M151)</f>
        <v>4000</v>
      </c>
      <c r="O151" s="25"/>
      <c r="P151" s="25">
        <f t="shared" si="27"/>
        <v>0</v>
      </c>
      <c r="Q151" s="25">
        <f t="shared" si="28"/>
        <v>0</v>
      </c>
      <c r="R151" s="25">
        <v>1666.6666666666667</v>
      </c>
      <c r="S151" s="27">
        <f t="shared" si="29"/>
        <v>2333.333333333333</v>
      </c>
      <c r="T151" s="25">
        <f t="shared" si="30"/>
        <v>27999.999999999996</v>
      </c>
      <c r="U151" s="25">
        <f>IF(T151&lt;=40000,0,
IF(T151&lt;=55000,(T151-40000)*10%,
IF(T151&lt;=70000,(T151-55000)*15%+1500,
IF(T151&lt;=200000,(T151-70000)*20%+1500+2250,
IF(T151&lt;=400000,(T151-200000)*22.5%+1500+2250+26000,
IF(T151&lt;=600000,(T151-400000)*25%+1500+2250+26000+45000,
IF(AND(T151&gt;600000,T151&lt;=1200000),(T151-400000)*25%+1500+2250+26000+45000
+IFERROR(LOOKUP(T151,{600001;700001;800001;900001},{4000;6750;10250;15250}),0),IF(T151&gt;1200000,((T151-1200000)*27.5%)+300000,0)
)))))))</f>
        <v>0</v>
      </c>
      <c r="V151" s="25">
        <f t="shared" si="31"/>
        <v>0</v>
      </c>
      <c r="W151" s="28">
        <f>+'11-2025'!$S151-'11-2025'!$V151+'11-2025'!$R151</f>
        <v>4000</v>
      </c>
      <c r="X151" s="28">
        <f t="shared" si="32"/>
        <v>133.33333333333334</v>
      </c>
      <c r="Y151" s="29">
        <v>0</v>
      </c>
      <c r="Z151" s="29">
        <f>IFERROR(+'11-2025'!$X151*'11-2025'!$Y151,"")</f>
        <v>0</v>
      </c>
      <c r="AA151" s="29">
        <v>0</v>
      </c>
      <c r="AB151" s="29">
        <f>IFERROR(+'11-2025'!$X151*'11-2025'!$AA151,"")</f>
        <v>0</v>
      </c>
      <c r="AC151" s="29">
        <v>0</v>
      </c>
      <c r="AD151" s="29">
        <f>IFERROR(+'11-2025'!$X151*'11-2025'!$AC151,"")</f>
        <v>0</v>
      </c>
      <c r="AE151" s="29">
        <v>0</v>
      </c>
      <c r="AF151" s="29">
        <f>IFERROR(+'11-2025'!$X151*'11-2025'!$AE151,"")</f>
        <v>0</v>
      </c>
      <c r="AG151" s="29">
        <v>0</v>
      </c>
      <c r="AH151" s="29">
        <f>IFERROR(+'11-2025'!$X151*'11-2025'!$AG151,"")</f>
        <v>0</v>
      </c>
      <c r="AI151" s="29">
        <v>500</v>
      </c>
      <c r="AJ151" s="29">
        <f>IFERROR('11-2025'!$Z151+'11-2025'!$AB151+'11-2025'!$AD151+'11-2025'!$AF151+'11-2025'!$AH151+'11-2025'!$AI151,"")</f>
        <v>500</v>
      </c>
      <c r="AK151" s="30">
        <f>IFERROR('11-2025'!$W151-'11-2025'!$AJ151,"")</f>
        <v>3500</v>
      </c>
      <c r="AL151" s="31"/>
      <c r="AM151" s="31"/>
      <c r="AN151" s="31"/>
      <c r="AO151" s="31">
        <v>0</v>
      </c>
      <c r="AP151" s="31"/>
      <c r="AQ151" s="31"/>
      <c r="AR151" s="31">
        <v>0</v>
      </c>
      <c r="AS151" s="31">
        <v>0</v>
      </c>
      <c r="AT151" s="31">
        <v>0</v>
      </c>
      <c r="AU151" s="31">
        <v>0</v>
      </c>
      <c r="AV151" s="31">
        <v>0</v>
      </c>
      <c r="AW151" s="31">
        <v>0</v>
      </c>
      <c r="AX151" s="31">
        <v>0</v>
      </c>
      <c r="AY151" s="31">
        <v>0</v>
      </c>
      <c r="AZ151" s="31">
        <v>0</v>
      </c>
      <c r="BA151" s="31">
        <v>0</v>
      </c>
      <c r="BB151" s="31">
        <v>0</v>
      </c>
      <c r="BC151" s="31">
        <v>0</v>
      </c>
      <c r="BD151" s="31">
        <v>0</v>
      </c>
      <c r="BE151" s="31">
        <v>0</v>
      </c>
      <c r="BF151" s="31">
        <v>0</v>
      </c>
      <c r="BG151" s="31">
        <v>0</v>
      </c>
      <c r="BH151" s="31">
        <v>0</v>
      </c>
      <c r="BI151" s="31">
        <v>0</v>
      </c>
      <c r="BJ151" s="32">
        <f t="shared" si="35"/>
        <v>0</v>
      </c>
      <c r="BK151" s="41">
        <f>BJ151+AM151+AL151+'11-2025'!$N151+AN151+AO151</f>
        <v>4000</v>
      </c>
      <c r="BL151" s="34">
        <f>'11-2025'!$O151</f>
        <v>0</v>
      </c>
      <c r="BM151" s="34">
        <f t="shared" si="24"/>
        <v>0</v>
      </c>
      <c r="BN151" s="34">
        <f t="shared" si="25"/>
        <v>0</v>
      </c>
      <c r="BO151" s="34">
        <f t="shared" si="33"/>
        <v>1666.6666666666667</v>
      </c>
      <c r="BP151" s="35">
        <f t="shared" si="26"/>
        <v>2333.333333333333</v>
      </c>
      <c r="BQ151" s="34">
        <f>IFERROR(BP151/'11-2025'!$J151,0)*12</f>
        <v>27999.999999999996</v>
      </c>
      <c r="BR151" s="34">
        <f>IF(BQ151&lt;=40000,0,
IF(BQ151&lt;=55000,(BQ151-40000)*10%,
IF(BQ151&lt;=70000,(BQ151-55000)*15%+1500,
IF(BQ151&lt;=200000,(BQ151-70000)*20%+1500+2250,
IF(BQ151&lt;=400000,(BQ151-200000)*22.5%+1500+2250+26000,
IF(BQ151&lt;=600000,(BQ151-400000)*25%+1500+2250+26000+45000,
IF(AND(BQ151&gt;600000,BQ151&lt;=1200000),(BQ151-400000)*25%+1500+2250+26000+45000
+IFERROR(LOOKUP(BQ151,{600001;700001;800001;900001},{4000;6750;10250;15250}),0),IF(BQ151&gt;1200000,((BQ151-1200000)*27.5%)+300000,0)
)))))))</f>
        <v>0</v>
      </c>
      <c r="BS151" s="32">
        <f>(BR151/12*'11-2025'!$J151)</f>
        <v>0</v>
      </c>
      <c r="BT151" s="33">
        <f>BS151-'11-2025'!$V151</f>
        <v>0</v>
      </c>
      <c r="BU151" s="32">
        <f>IFERROR(+'11-2025'!$W151+AL151+AM151+BJ151-'11-2025'!$AJ151-BT151+AN151+AO151,"")-AL151+AP151+AQ151</f>
        <v>3500</v>
      </c>
      <c r="BV151" s="36"/>
      <c r="BW151" s="37"/>
      <c r="BX151" s="37">
        <f t="shared" si="34"/>
        <v>3500</v>
      </c>
      <c r="BY151" s="37"/>
    </row>
    <row r="152" spans="1:77" x14ac:dyDescent="0.25">
      <c r="A152" s="43">
        <v>748</v>
      </c>
      <c r="B152" s="22" t="s">
        <v>262</v>
      </c>
      <c r="C152" s="22" t="s">
        <v>106</v>
      </c>
      <c r="D152" s="22" t="s">
        <v>72</v>
      </c>
      <c r="E152" s="22" t="s">
        <v>110</v>
      </c>
      <c r="F152" s="22" t="s">
        <v>102</v>
      </c>
      <c r="G152" s="23">
        <v>45936</v>
      </c>
      <c r="H152" s="23"/>
      <c r="I152" s="24"/>
      <c r="J152" s="25">
        <v>1</v>
      </c>
      <c r="K152" s="25">
        <v>4500</v>
      </c>
      <c r="L152" s="25"/>
      <c r="M152" s="26"/>
      <c r="N152" s="25">
        <f>SUM('11-2025'!$K152:$M152)</f>
        <v>4500</v>
      </c>
      <c r="O152" s="25"/>
      <c r="P152" s="25">
        <f t="shared" si="27"/>
        <v>0</v>
      </c>
      <c r="Q152" s="25">
        <f t="shared" si="28"/>
        <v>0</v>
      </c>
      <c r="R152" s="25">
        <v>1666.6666666666667</v>
      </c>
      <c r="S152" s="27">
        <f t="shared" si="29"/>
        <v>2833.333333333333</v>
      </c>
      <c r="T152" s="25">
        <f t="shared" si="30"/>
        <v>34000</v>
      </c>
      <c r="U152" s="25">
        <f>IF(T152&lt;=40000,0,
IF(T152&lt;=55000,(T152-40000)*10%,
IF(T152&lt;=70000,(T152-55000)*15%+1500,
IF(T152&lt;=200000,(T152-70000)*20%+1500+2250,
IF(T152&lt;=400000,(T152-200000)*22.5%+1500+2250+26000,
IF(T152&lt;=600000,(T152-400000)*25%+1500+2250+26000+45000,
IF(AND(T152&gt;600000,T152&lt;=1200000),(T152-400000)*25%+1500+2250+26000+45000
+IFERROR(LOOKUP(T152,{600001;700001;800001;900001},{4000;6750;10250;15250}),0),IF(T152&gt;1200000,((T152-1200000)*27.5%)+300000,0)
)))))))</f>
        <v>0</v>
      </c>
      <c r="V152" s="25">
        <f t="shared" si="31"/>
        <v>0</v>
      </c>
      <c r="W152" s="28">
        <f>+'11-2025'!$S152-'11-2025'!$V152+'11-2025'!$R152</f>
        <v>4500</v>
      </c>
      <c r="X152" s="28">
        <f t="shared" si="32"/>
        <v>150</v>
      </c>
      <c r="Y152" s="29">
        <v>0</v>
      </c>
      <c r="Z152" s="29">
        <f>IFERROR(+'11-2025'!$X152*'11-2025'!$Y152,"")</f>
        <v>0</v>
      </c>
      <c r="AA152" s="29">
        <v>0</v>
      </c>
      <c r="AB152" s="29">
        <f>IFERROR(+'11-2025'!$X152*'11-2025'!$AA152,"")</f>
        <v>0</v>
      </c>
      <c r="AC152" s="29">
        <v>0</v>
      </c>
      <c r="AD152" s="29">
        <f>IFERROR(+'11-2025'!$X152*'11-2025'!$AC152,"")</f>
        <v>0</v>
      </c>
      <c r="AE152" s="29">
        <v>0</v>
      </c>
      <c r="AF152" s="29">
        <f>IFERROR(+'11-2025'!$X152*'11-2025'!$AE152,"")</f>
        <v>0</v>
      </c>
      <c r="AG152" s="29">
        <v>0</v>
      </c>
      <c r="AH152" s="29">
        <f>IFERROR(+'11-2025'!$X152*'11-2025'!$AG152,"")</f>
        <v>0</v>
      </c>
      <c r="AI152" s="29">
        <v>0</v>
      </c>
      <c r="AJ152" s="29">
        <f>IFERROR('11-2025'!$Z152+'11-2025'!$AB152+'11-2025'!$AD152+'11-2025'!$AF152+'11-2025'!$AH152+'11-2025'!$AI152,"")</f>
        <v>0</v>
      </c>
      <c r="AK152" s="30">
        <f>IFERROR('11-2025'!$W152-'11-2025'!$AJ152,"")</f>
        <v>4500</v>
      </c>
      <c r="AL152" s="31"/>
      <c r="AM152" s="31"/>
      <c r="AN152" s="31"/>
      <c r="AO152" s="31">
        <v>180</v>
      </c>
      <c r="AP152" s="31"/>
      <c r="AQ152" s="31"/>
      <c r="AR152" s="31">
        <v>0</v>
      </c>
      <c r="AS152" s="31">
        <v>0</v>
      </c>
      <c r="AT152" s="31">
        <v>0</v>
      </c>
      <c r="AU152" s="31">
        <v>0</v>
      </c>
      <c r="AV152" s="31">
        <v>0</v>
      </c>
      <c r="AW152" s="31">
        <v>0</v>
      </c>
      <c r="AX152" s="31">
        <v>0</v>
      </c>
      <c r="AY152" s="31">
        <v>0</v>
      </c>
      <c r="AZ152" s="31">
        <v>0</v>
      </c>
      <c r="BA152" s="31">
        <v>0</v>
      </c>
      <c r="BB152" s="31">
        <v>0</v>
      </c>
      <c r="BC152" s="31">
        <v>0</v>
      </c>
      <c r="BD152" s="31">
        <v>0</v>
      </c>
      <c r="BE152" s="31">
        <v>876.63</v>
      </c>
      <c r="BF152" s="31">
        <v>0</v>
      </c>
      <c r="BG152" s="31">
        <v>0</v>
      </c>
      <c r="BH152" s="31">
        <v>0</v>
      </c>
      <c r="BI152" s="31">
        <v>0</v>
      </c>
      <c r="BJ152" s="32">
        <f t="shared" si="35"/>
        <v>876.63</v>
      </c>
      <c r="BK152" s="41">
        <f>BJ152+AM152+AL152+'11-2025'!$N152+AN152+AO152</f>
        <v>5556.63</v>
      </c>
      <c r="BL152" s="34">
        <f>'11-2025'!$O152</f>
        <v>0</v>
      </c>
      <c r="BM152" s="34">
        <f t="shared" si="24"/>
        <v>0</v>
      </c>
      <c r="BN152" s="34">
        <f t="shared" si="25"/>
        <v>0</v>
      </c>
      <c r="BO152" s="34">
        <f t="shared" si="33"/>
        <v>1666.6666666666667</v>
      </c>
      <c r="BP152" s="35">
        <f t="shared" si="26"/>
        <v>3889.9633333333331</v>
      </c>
      <c r="BQ152" s="34">
        <f>IFERROR(BP152/'11-2025'!$J152,0)*12</f>
        <v>46679.56</v>
      </c>
      <c r="BR152" s="34">
        <f>IF(BQ152&lt;=40000,0,
IF(BQ152&lt;=55000,(BQ152-40000)*10%,
IF(BQ152&lt;=70000,(BQ152-55000)*15%+1500,
IF(BQ152&lt;=200000,(BQ152-70000)*20%+1500+2250,
IF(BQ152&lt;=400000,(BQ152-200000)*22.5%+1500+2250+26000,
IF(BQ152&lt;=600000,(BQ152-400000)*25%+1500+2250+26000+45000,
IF(AND(BQ152&gt;600000,BQ152&lt;=1200000),(BQ152-400000)*25%+1500+2250+26000+45000
+IFERROR(LOOKUP(BQ152,{600001;700001;800001;900001},{4000;6750;10250;15250}),0),IF(BQ152&gt;1200000,((BQ152-1200000)*27.5%)+300000,0)
)))))))</f>
        <v>667.95599999999979</v>
      </c>
      <c r="BS152" s="32">
        <f>(BR152/12*'11-2025'!$J152)</f>
        <v>55.662999999999982</v>
      </c>
      <c r="BT152" s="33">
        <f>BS152-'11-2025'!$V152</f>
        <v>55.662999999999982</v>
      </c>
      <c r="BU152" s="32">
        <f>IFERROR(+'11-2025'!$W152+AL152+AM152+BJ152-'11-2025'!$AJ152-BT152+AN152+AO152,"")-AL152+AP152+AQ152</f>
        <v>5500.9670000000006</v>
      </c>
      <c r="BV152" s="36"/>
      <c r="BW152" s="37"/>
      <c r="BX152" s="37">
        <f t="shared" si="34"/>
        <v>5500.9670000000006</v>
      </c>
      <c r="BY152" s="37"/>
    </row>
    <row r="153" spans="1:77" x14ac:dyDescent="0.25">
      <c r="A153" s="43">
        <v>749</v>
      </c>
      <c r="B153" s="22" t="s">
        <v>263</v>
      </c>
      <c r="C153" s="22" t="s">
        <v>81</v>
      </c>
      <c r="D153" s="22" t="s">
        <v>72</v>
      </c>
      <c r="E153" s="22" t="s">
        <v>321</v>
      </c>
      <c r="F153" s="22" t="s">
        <v>83</v>
      </c>
      <c r="G153" s="23">
        <v>45903</v>
      </c>
      <c r="H153" s="23"/>
      <c r="I153" s="24"/>
      <c r="J153" s="25">
        <v>1</v>
      </c>
      <c r="K153" s="25">
        <v>17265.63</v>
      </c>
      <c r="L153" s="25"/>
      <c r="M153" s="26"/>
      <c r="N153" s="25">
        <f>SUM('11-2025'!$K153:$M153)</f>
        <v>17265.63</v>
      </c>
      <c r="O153" s="25"/>
      <c r="P153" s="25">
        <f t="shared" si="27"/>
        <v>0</v>
      </c>
      <c r="Q153" s="25">
        <f t="shared" si="28"/>
        <v>0</v>
      </c>
      <c r="R153" s="25">
        <v>1666.6666666666667</v>
      </c>
      <c r="S153" s="27">
        <f t="shared" si="29"/>
        <v>15598.963333333335</v>
      </c>
      <c r="T153" s="25">
        <f t="shared" si="30"/>
        <v>187187.56000000003</v>
      </c>
      <c r="U153" s="25">
        <f>IF(T153&lt;=40000,0,
IF(T153&lt;=55000,(T153-40000)*10%,
IF(T153&lt;=70000,(T153-55000)*15%+1500,
IF(T153&lt;=200000,(T153-70000)*20%+1500+2250,
IF(T153&lt;=400000,(T153-200000)*22.5%+1500+2250+26000,
IF(T153&lt;=600000,(T153-400000)*25%+1500+2250+26000+45000,
IF(AND(T153&gt;600000,T153&lt;=1200000),(T153-400000)*25%+1500+2250+26000+45000
+IFERROR(LOOKUP(T153,{600001;700001;800001;900001},{4000;6750;10250;15250}),0),IF(T153&gt;1200000,((T153-1200000)*27.5%)+300000,0)
)))))))</f>
        <v>27187.512000000006</v>
      </c>
      <c r="V153" s="25">
        <f t="shared" si="31"/>
        <v>2265.6260000000007</v>
      </c>
      <c r="W153" s="28">
        <f>+'11-2025'!$S153-'11-2025'!$V153+'11-2025'!$R153</f>
        <v>15000.004000000001</v>
      </c>
      <c r="X153" s="28">
        <f t="shared" si="32"/>
        <v>500.00013333333334</v>
      </c>
      <c r="Y153" s="29">
        <v>0</v>
      </c>
      <c r="Z153" s="29">
        <f>IFERROR(+'11-2025'!$X153*'11-2025'!$Y153,"")</f>
        <v>0</v>
      </c>
      <c r="AA153" s="29">
        <v>0</v>
      </c>
      <c r="AB153" s="29">
        <f>IFERROR(+'11-2025'!$X153*'11-2025'!$AA153,"")</f>
        <v>0</v>
      </c>
      <c r="AC153" s="29">
        <v>0</v>
      </c>
      <c r="AD153" s="29">
        <f>IFERROR(+'11-2025'!$X153*'11-2025'!$AC153,"")</f>
        <v>0</v>
      </c>
      <c r="AE153" s="29">
        <v>0</v>
      </c>
      <c r="AF153" s="29">
        <f>IFERROR(+'11-2025'!$X153*'11-2025'!$AE153,"")</f>
        <v>0</v>
      </c>
      <c r="AG153" s="29">
        <v>0</v>
      </c>
      <c r="AH153" s="29">
        <f>IFERROR(+'11-2025'!$X153*'11-2025'!$AG153,"")</f>
        <v>0</v>
      </c>
      <c r="AI153" s="29">
        <v>2000</v>
      </c>
      <c r="AJ153" s="29">
        <f>IFERROR('11-2025'!$Z153+'11-2025'!$AB153+'11-2025'!$AD153+'11-2025'!$AF153+'11-2025'!$AH153+'11-2025'!$AI153,"")</f>
        <v>2000</v>
      </c>
      <c r="AK153" s="30">
        <f>IFERROR('11-2025'!$W153-'11-2025'!$AJ153,"")</f>
        <v>13000.004000000001</v>
      </c>
      <c r="AL153" s="31"/>
      <c r="AM153" s="31">
        <v>3200</v>
      </c>
      <c r="AN153" s="31"/>
      <c r="AO153" s="31">
        <v>360</v>
      </c>
      <c r="AP153" s="31"/>
      <c r="AQ153" s="31"/>
      <c r="AR153" s="31">
        <v>1798.1519999999998</v>
      </c>
      <c r="AS153" s="31">
        <v>0</v>
      </c>
      <c r="AT153" s="31">
        <v>0</v>
      </c>
      <c r="AU153" s="31">
        <v>0</v>
      </c>
      <c r="AV153" s="31">
        <v>4281.6081999999997</v>
      </c>
      <c r="AW153" s="31">
        <v>0</v>
      </c>
      <c r="AX153" s="31">
        <v>0</v>
      </c>
      <c r="AY153" s="31">
        <v>0</v>
      </c>
      <c r="AZ153" s="31">
        <v>0</v>
      </c>
      <c r="BA153" s="31">
        <v>0</v>
      </c>
      <c r="BB153" s="31">
        <v>0</v>
      </c>
      <c r="BC153" s="31">
        <v>0</v>
      </c>
      <c r="BD153" s="31">
        <v>0</v>
      </c>
      <c r="BE153" s="31">
        <v>0</v>
      </c>
      <c r="BF153" s="31">
        <v>0</v>
      </c>
      <c r="BG153" s="31">
        <v>0</v>
      </c>
      <c r="BH153" s="31">
        <v>0</v>
      </c>
      <c r="BI153" s="31">
        <v>0</v>
      </c>
      <c r="BJ153" s="32">
        <f t="shared" si="35"/>
        <v>6079.7601999999997</v>
      </c>
      <c r="BK153" s="41">
        <f>BJ153+AM153+AL153+'11-2025'!$N153+AN153+AO153</f>
        <v>26905.390200000002</v>
      </c>
      <c r="BL153" s="34">
        <f>'11-2025'!$O153</f>
        <v>0</v>
      </c>
      <c r="BM153" s="34">
        <f t="shared" si="24"/>
        <v>0</v>
      </c>
      <c r="BN153" s="34">
        <f t="shared" si="25"/>
        <v>0</v>
      </c>
      <c r="BO153" s="34">
        <f t="shared" si="33"/>
        <v>1666.6666666666667</v>
      </c>
      <c r="BP153" s="35">
        <f t="shared" si="26"/>
        <v>25238.723533333334</v>
      </c>
      <c r="BQ153" s="34">
        <f>IFERROR(BP153/'11-2025'!$J153,0)*12</f>
        <v>302864.68239999999</v>
      </c>
      <c r="BR153" s="34">
        <f>IF(BQ153&lt;=40000,0,
IF(BQ153&lt;=55000,(BQ153-40000)*10%,
IF(BQ153&lt;=70000,(BQ153-55000)*15%+1500,
IF(BQ153&lt;=200000,(BQ153-70000)*20%+1500+2250,
IF(BQ153&lt;=400000,(BQ153-200000)*22.5%+1500+2250+26000,
IF(BQ153&lt;=600000,(BQ153-400000)*25%+1500+2250+26000+45000,
IF(AND(BQ153&gt;600000,BQ153&lt;=1200000),(BQ153-400000)*25%+1500+2250+26000+45000
+IFERROR(LOOKUP(BQ153,{600001;700001;800001;900001},{4000;6750;10250;15250}),0),IF(BQ153&gt;1200000,((BQ153-1200000)*27.5%)+300000,0)
)))))))</f>
        <v>52894.553539999994</v>
      </c>
      <c r="BS153" s="32">
        <f>(BR153/12*'11-2025'!$J153)</f>
        <v>4407.8794616666664</v>
      </c>
      <c r="BT153" s="33">
        <f>BS153-'11-2025'!$V153</f>
        <v>2142.2534616666658</v>
      </c>
      <c r="BU153" s="32">
        <f>IFERROR(+'11-2025'!$W153+AL153+AM153+BJ153-'11-2025'!$AJ153-BT153+AN153+AO153,"")-AL153+AP153+AQ153</f>
        <v>20497.510738333334</v>
      </c>
      <c r="BV153" s="36" t="s">
        <v>426</v>
      </c>
      <c r="BW153" s="37"/>
      <c r="BX153" s="37">
        <f t="shared" si="34"/>
        <v>20497.510738333334</v>
      </c>
      <c r="BY153" s="37"/>
    </row>
    <row r="154" spans="1:77" s="75" customFormat="1" x14ac:dyDescent="0.25">
      <c r="A154" s="44">
        <v>750</v>
      </c>
      <c r="B154" s="40" t="s">
        <v>264</v>
      </c>
      <c r="C154" s="40" t="s">
        <v>71</v>
      </c>
      <c r="D154" s="40" t="s">
        <v>72</v>
      </c>
      <c r="E154" s="40" t="s">
        <v>60</v>
      </c>
      <c r="F154" s="40" t="s">
        <v>139</v>
      </c>
      <c r="G154" s="61">
        <v>45906</v>
      </c>
      <c r="H154" s="61">
        <v>45911</v>
      </c>
      <c r="I154" s="62"/>
      <c r="J154" s="63">
        <v>1</v>
      </c>
      <c r="K154" s="63">
        <v>3000</v>
      </c>
      <c r="L154" s="63"/>
      <c r="M154" s="64"/>
      <c r="N154" s="63">
        <f>SUM('11-2025'!$K154:$M154)</f>
        <v>3000</v>
      </c>
      <c r="O154" s="63"/>
      <c r="P154" s="63">
        <f t="shared" si="27"/>
        <v>0</v>
      </c>
      <c r="Q154" s="63">
        <f t="shared" si="28"/>
        <v>0</v>
      </c>
      <c r="R154" s="63">
        <v>1666.6666666666667</v>
      </c>
      <c r="S154" s="65">
        <f t="shared" si="29"/>
        <v>1333.3333333333333</v>
      </c>
      <c r="T154" s="63">
        <f t="shared" si="30"/>
        <v>16000</v>
      </c>
      <c r="U154" s="63">
        <f>IF(T154&lt;=40000,0,
IF(T154&lt;=55000,(T154-40000)*10%,
IF(T154&lt;=70000,(T154-55000)*15%+1500,
IF(T154&lt;=200000,(T154-70000)*20%+1500+2250,
IF(T154&lt;=400000,(T154-200000)*22.5%+1500+2250+26000,
IF(T154&lt;=600000,(T154-400000)*25%+1500+2250+26000+45000,
IF(AND(T154&gt;600000,T154&lt;=1200000),(T154-400000)*25%+1500+2250+26000+45000
+IFERROR(LOOKUP(T154,{600001;700001;800001;900001},{4000;6750;10250;15250}),0),IF(T154&gt;1200000,((T154-1200000)*27.5%)+300000,0)
)))))))</f>
        <v>0</v>
      </c>
      <c r="V154" s="63">
        <f t="shared" si="31"/>
        <v>0</v>
      </c>
      <c r="W154" s="66">
        <f>+'11-2025'!$S154-'11-2025'!$V154+'11-2025'!$R154</f>
        <v>3000</v>
      </c>
      <c r="X154" s="66">
        <f t="shared" si="32"/>
        <v>100</v>
      </c>
      <c r="Y154" s="67"/>
      <c r="Z154" s="67">
        <f>IFERROR(+'11-2025'!$X154*'11-2025'!$Y154,"")</f>
        <v>0</v>
      </c>
      <c r="AA154" s="67"/>
      <c r="AB154" s="67">
        <f>IFERROR(+'11-2025'!$X154*'11-2025'!$AA154,"")</f>
        <v>0</v>
      </c>
      <c r="AC154" s="67">
        <v>30</v>
      </c>
      <c r="AD154" s="67">
        <f>IFERROR(+'11-2025'!$X154*'11-2025'!$AC154,"")</f>
        <v>3000</v>
      </c>
      <c r="AE154" s="67"/>
      <c r="AF154" s="67">
        <f>IFERROR(+'11-2025'!$X154*'11-2025'!$AE154,"")</f>
        <v>0</v>
      </c>
      <c r="AG154" s="67"/>
      <c r="AH154" s="67">
        <f>IFERROR(+'11-2025'!$X154*'11-2025'!$AG154,"")</f>
        <v>0</v>
      </c>
      <c r="AI154" s="29">
        <v>0</v>
      </c>
      <c r="AJ154" s="67">
        <f>IFERROR('11-2025'!$Z154+'11-2025'!$AB154+'11-2025'!$AD154+'11-2025'!$AF154+'11-2025'!$AH154+'11-2025'!$AI154,"")</f>
        <v>3000</v>
      </c>
      <c r="AK154" s="68">
        <f>IFERROR('11-2025'!$W154-'11-2025'!$AJ154,"")</f>
        <v>0</v>
      </c>
      <c r="AL154" s="69"/>
      <c r="AM154" s="69"/>
      <c r="AN154" s="69"/>
      <c r="AO154" s="69"/>
      <c r="AP154" s="69"/>
      <c r="AQ154" s="69"/>
      <c r="AR154" s="31">
        <v>0</v>
      </c>
      <c r="AS154" s="31">
        <v>0</v>
      </c>
      <c r="AT154" s="31">
        <v>0</v>
      </c>
      <c r="AU154" s="31">
        <v>0</v>
      </c>
      <c r="AV154" s="31">
        <v>0</v>
      </c>
      <c r="AW154" s="31">
        <v>0</v>
      </c>
      <c r="AX154" s="31">
        <v>0</v>
      </c>
      <c r="AY154" s="31">
        <v>0</v>
      </c>
      <c r="AZ154" s="31">
        <v>0</v>
      </c>
      <c r="BA154" s="31">
        <v>0</v>
      </c>
      <c r="BB154" s="31">
        <v>0</v>
      </c>
      <c r="BC154" s="31">
        <v>0</v>
      </c>
      <c r="BD154" s="31">
        <v>0</v>
      </c>
      <c r="BE154" s="31">
        <v>0</v>
      </c>
      <c r="BF154" s="31">
        <v>0</v>
      </c>
      <c r="BG154" s="31">
        <v>0</v>
      </c>
      <c r="BH154" s="31">
        <v>0</v>
      </c>
      <c r="BI154" s="31">
        <v>0</v>
      </c>
      <c r="BJ154" s="39">
        <f t="shared" si="35"/>
        <v>0</v>
      </c>
      <c r="BK154" s="77">
        <f>BJ154+AM154+AL154+'11-2025'!$N154+AN154+AO154</f>
        <v>3000</v>
      </c>
      <c r="BL154" s="71">
        <f>'11-2025'!$O154</f>
        <v>0</v>
      </c>
      <c r="BM154" s="71">
        <f t="shared" si="24"/>
        <v>0</v>
      </c>
      <c r="BN154" s="71">
        <f t="shared" si="25"/>
        <v>0</v>
      </c>
      <c r="BO154" s="71">
        <f t="shared" si="33"/>
        <v>1666.6666666666667</v>
      </c>
      <c r="BP154" s="72">
        <f t="shared" si="26"/>
        <v>1333.3333333333333</v>
      </c>
      <c r="BQ154" s="71">
        <f>IFERROR(BP154/'11-2025'!$J154,0)*12</f>
        <v>16000</v>
      </c>
      <c r="BR154" s="71">
        <f>IF(BQ154&lt;=40000,0,
IF(BQ154&lt;=55000,(BQ154-40000)*10%,
IF(BQ154&lt;=70000,(BQ154-55000)*15%+1500,
IF(BQ154&lt;=200000,(BQ154-70000)*20%+1500+2250,
IF(BQ154&lt;=400000,(BQ154-200000)*22.5%+1500+2250+26000,
IF(BQ154&lt;=600000,(BQ154-400000)*25%+1500+2250+26000+45000,
IF(AND(BQ154&gt;600000,BQ154&lt;=1200000),(BQ154-400000)*25%+1500+2250+26000+45000
+IFERROR(LOOKUP(BQ154,{600001;700001;800001;900001},{4000;6750;10250;15250}),0),IF(BQ154&gt;1200000,((BQ154-1200000)*27.5%)+300000,0)
)))))))</f>
        <v>0</v>
      </c>
      <c r="BS154" s="39">
        <f>(BR154/12*'11-2025'!$J154)</f>
        <v>0</v>
      </c>
      <c r="BT154" s="70">
        <f>BS154-'11-2025'!$V154</f>
        <v>0</v>
      </c>
      <c r="BU154" s="39">
        <f>IFERROR(+'11-2025'!$W154+AL154+AM154+BJ154-'11-2025'!$AJ154-BT154+AN154+AO154,"")-AL154+AP154+AQ154</f>
        <v>0</v>
      </c>
      <c r="BV154" s="73"/>
      <c r="BW154" s="74"/>
      <c r="BX154" s="74">
        <f t="shared" si="34"/>
        <v>0</v>
      </c>
      <c r="BY154" s="74"/>
    </row>
    <row r="155" spans="1:77" s="75" customFormat="1" x14ac:dyDescent="0.25">
      <c r="A155" s="44">
        <v>751</v>
      </c>
      <c r="B155" s="40" t="s">
        <v>265</v>
      </c>
      <c r="C155" s="40" t="s">
        <v>106</v>
      </c>
      <c r="D155" s="40" t="s">
        <v>72</v>
      </c>
      <c r="E155" s="40" t="s">
        <v>190</v>
      </c>
      <c r="F155" s="40" t="s">
        <v>139</v>
      </c>
      <c r="G155" s="61">
        <v>45906</v>
      </c>
      <c r="H155" s="61">
        <v>45925</v>
      </c>
      <c r="I155" s="62"/>
      <c r="J155" s="63">
        <v>1</v>
      </c>
      <c r="K155" s="63">
        <v>3000</v>
      </c>
      <c r="L155" s="63"/>
      <c r="M155" s="64"/>
      <c r="N155" s="63">
        <f>SUM('11-2025'!$K155:$M155)</f>
        <v>3000</v>
      </c>
      <c r="O155" s="63"/>
      <c r="P155" s="63">
        <f t="shared" si="27"/>
        <v>0</v>
      </c>
      <c r="Q155" s="63">
        <f t="shared" si="28"/>
        <v>0</v>
      </c>
      <c r="R155" s="63">
        <v>1666.6666666666667</v>
      </c>
      <c r="S155" s="65">
        <f t="shared" si="29"/>
        <v>1333.3333333333333</v>
      </c>
      <c r="T155" s="63">
        <f t="shared" si="30"/>
        <v>16000</v>
      </c>
      <c r="U155" s="63">
        <f>IF(T155&lt;=40000,0,
IF(T155&lt;=55000,(T155-40000)*10%,
IF(T155&lt;=70000,(T155-55000)*15%+1500,
IF(T155&lt;=200000,(T155-70000)*20%+1500+2250,
IF(T155&lt;=400000,(T155-200000)*22.5%+1500+2250+26000,
IF(T155&lt;=600000,(T155-400000)*25%+1500+2250+26000+45000,
IF(AND(T155&gt;600000,T155&lt;=1200000),(T155-400000)*25%+1500+2250+26000+45000
+IFERROR(LOOKUP(T155,{600001;700001;800001;900001},{4000;6750;10250;15250}),0),IF(T155&gt;1200000,((T155-1200000)*27.5%)+300000,0)
)))))))</f>
        <v>0</v>
      </c>
      <c r="V155" s="63">
        <f t="shared" si="31"/>
        <v>0</v>
      </c>
      <c r="W155" s="66">
        <f>+'11-2025'!$S155-'11-2025'!$V155+'11-2025'!$R155</f>
        <v>3000</v>
      </c>
      <c r="X155" s="66">
        <f t="shared" si="32"/>
        <v>100</v>
      </c>
      <c r="Y155" s="67"/>
      <c r="Z155" s="67">
        <f>IFERROR(+'11-2025'!$X155*'11-2025'!$Y155,"")</f>
        <v>0</v>
      </c>
      <c r="AA155" s="67"/>
      <c r="AB155" s="67">
        <f>IFERROR(+'11-2025'!$X155*'11-2025'!$AA155,"")</f>
        <v>0</v>
      </c>
      <c r="AC155" s="67">
        <v>30</v>
      </c>
      <c r="AD155" s="67">
        <f>IFERROR(+'11-2025'!$X155*'11-2025'!$AC155,"")</f>
        <v>3000</v>
      </c>
      <c r="AE155" s="67"/>
      <c r="AF155" s="67">
        <f>IFERROR(+'11-2025'!$X155*'11-2025'!$AE155,"")</f>
        <v>0</v>
      </c>
      <c r="AG155" s="67"/>
      <c r="AH155" s="67">
        <f>IFERROR(+'11-2025'!$X155*'11-2025'!$AG155,"")</f>
        <v>0</v>
      </c>
      <c r="AI155" s="29">
        <v>0</v>
      </c>
      <c r="AJ155" s="67">
        <f>IFERROR('11-2025'!$Z155+'11-2025'!$AB155+'11-2025'!$AD155+'11-2025'!$AF155+'11-2025'!$AH155+'11-2025'!$AI155,"")</f>
        <v>3000</v>
      </c>
      <c r="AK155" s="68">
        <f>IFERROR('11-2025'!$W155-'11-2025'!$AJ155,"")</f>
        <v>0</v>
      </c>
      <c r="AL155" s="69"/>
      <c r="AM155" s="69"/>
      <c r="AN155" s="69"/>
      <c r="AO155" s="69"/>
      <c r="AP155" s="69"/>
      <c r="AQ155" s="69"/>
      <c r="AR155" s="31">
        <v>0</v>
      </c>
      <c r="AS155" s="31">
        <v>0</v>
      </c>
      <c r="AT155" s="31">
        <v>0</v>
      </c>
      <c r="AU155" s="31">
        <v>0</v>
      </c>
      <c r="AV155" s="31">
        <v>0</v>
      </c>
      <c r="AW155" s="31">
        <v>0</v>
      </c>
      <c r="AX155" s="31">
        <v>0</v>
      </c>
      <c r="AY155" s="31">
        <v>0</v>
      </c>
      <c r="AZ155" s="31">
        <v>0</v>
      </c>
      <c r="BA155" s="31">
        <v>0</v>
      </c>
      <c r="BB155" s="31">
        <v>0</v>
      </c>
      <c r="BC155" s="31">
        <v>0</v>
      </c>
      <c r="BD155" s="31">
        <v>0</v>
      </c>
      <c r="BE155" s="31">
        <v>0</v>
      </c>
      <c r="BF155" s="31">
        <v>0</v>
      </c>
      <c r="BG155" s="31">
        <v>0</v>
      </c>
      <c r="BH155" s="31">
        <v>0</v>
      </c>
      <c r="BI155" s="31">
        <v>0</v>
      </c>
      <c r="BJ155" s="39">
        <f t="shared" si="35"/>
        <v>0</v>
      </c>
      <c r="BK155" s="77">
        <f>BJ155+AM155+AL155+'11-2025'!$N155+AN155+AO155</f>
        <v>3000</v>
      </c>
      <c r="BL155" s="71">
        <f>'11-2025'!$O155</f>
        <v>0</v>
      </c>
      <c r="BM155" s="71">
        <f t="shared" si="24"/>
        <v>0</v>
      </c>
      <c r="BN155" s="71">
        <f t="shared" si="25"/>
        <v>0</v>
      </c>
      <c r="BO155" s="71">
        <f t="shared" si="33"/>
        <v>1666.6666666666667</v>
      </c>
      <c r="BP155" s="72">
        <f t="shared" si="26"/>
        <v>1333.3333333333333</v>
      </c>
      <c r="BQ155" s="71">
        <f>IFERROR(BP155/'11-2025'!$J155,0)*12</f>
        <v>16000</v>
      </c>
      <c r="BR155" s="71">
        <f>IF(BQ155&lt;=40000,0,
IF(BQ155&lt;=55000,(BQ155-40000)*10%,
IF(BQ155&lt;=70000,(BQ155-55000)*15%+1500,
IF(BQ155&lt;=200000,(BQ155-70000)*20%+1500+2250,
IF(BQ155&lt;=400000,(BQ155-200000)*22.5%+1500+2250+26000,
IF(BQ155&lt;=600000,(BQ155-400000)*25%+1500+2250+26000+45000,
IF(AND(BQ155&gt;600000,BQ155&lt;=1200000),(BQ155-400000)*25%+1500+2250+26000+45000
+IFERROR(LOOKUP(BQ155,{600001;700001;800001;900001},{4000;6750;10250;15250}),0),IF(BQ155&gt;1200000,((BQ155-1200000)*27.5%)+300000,0)
)))))))</f>
        <v>0</v>
      </c>
      <c r="BS155" s="39">
        <f>(BR155/12*'11-2025'!$J155)</f>
        <v>0</v>
      </c>
      <c r="BT155" s="70">
        <f>BS155-'11-2025'!$V155</f>
        <v>0</v>
      </c>
      <c r="BU155" s="39">
        <f>IFERROR(+'11-2025'!$W155+AL155+AM155+BJ155-'11-2025'!$AJ155-BT155+AN155+AO155,"")-AL155+AP155+AQ155</f>
        <v>0</v>
      </c>
      <c r="BV155" s="73"/>
      <c r="BW155" s="74"/>
      <c r="BX155" s="74">
        <f t="shared" si="34"/>
        <v>0</v>
      </c>
      <c r="BY155" s="74"/>
    </row>
    <row r="156" spans="1:77" s="75" customFormat="1" x14ac:dyDescent="0.25">
      <c r="A156" s="44">
        <v>752</v>
      </c>
      <c r="B156" s="40" t="s">
        <v>266</v>
      </c>
      <c r="C156" s="40" t="s">
        <v>81</v>
      </c>
      <c r="D156" s="40" t="s">
        <v>72</v>
      </c>
      <c r="E156" s="40" t="s">
        <v>124</v>
      </c>
      <c r="F156" s="40" t="s">
        <v>102</v>
      </c>
      <c r="G156" s="61">
        <v>45907</v>
      </c>
      <c r="H156" s="61">
        <v>45912</v>
      </c>
      <c r="I156" s="62"/>
      <c r="J156" s="63">
        <v>1</v>
      </c>
      <c r="K156" s="63">
        <v>2500</v>
      </c>
      <c r="L156" s="63"/>
      <c r="M156" s="64"/>
      <c r="N156" s="63">
        <f>SUM('11-2025'!$K156:$M156)</f>
        <v>2500</v>
      </c>
      <c r="O156" s="63"/>
      <c r="P156" s="63">
        <f t="shared" si="27"/>
        <v>0</v>
      </c>
      <c r="Q156" s="63">
        <f t="shared" si="28"/>
        <v>0</v>
      </c>
      <c r="R156" s="63">
        <v>1666.6666666666667</v>
      </c>
      <c r="S156" s="65">
        <f t="shared" si="29"/>
        <v>833.33333333333326</v>
      </c>
      <c r="T156" s="63">
        <f t="shared" si="30"/>
        <v>10000</v>
      </c>
      <c r="U156" s="63">
        <f>IF(T156&lt;=40000,0,
IF(T156&lt;=55000,(T156-40000)*10%,
IF(T156&lt;=70000,(T156-55000)*15%+1500,
IF(T156&lt;=200000,(T156-70000)*20%+1500+2250,
IF(T156&lt;=400000,(T156-200000)*22.5%+1500+2250+26000,
IF(T156&lt;=600000,(T156-400000)*25%+1500+2250+26000+45000,
IF(AND(T156&gt;600000,T156&lt;=1200000),(T156-400000)*25%+1500+2250+26000+45000
+IFERROR(LOOKUP(T156,{600001;700001;800001;900001},{4000;6750;10250;15250}),0),IF(T156&gt;1200000,((T156-1200000)*27.5%)+300000,0)
)))))))</f>
        <v>0</v>
      </c>
      <c r="V156" s="63">
        <f t="shared" si="31"/>
        <v>0</v>
      </c>
      <c r="W156" s="66">
        <f>+'11-2025'!$S156-'11-2025'!$V156+'11-2025'!$R156</f>
        <v>2500</v>
      </c>
      <c r="X156" s="66">
        <f t="shared" si="32"/>
        <v>83.333333333333329</v>
      </c>
      <c r="Y156" s="67"/>
      <c r="Z156" s="67">
        <f>IFERROR(+'11-2025'!$X156*'11-2025'!$Y156,"")</f>
        <v>0</v>
      </c>
      <c r="AA156" s="67"/>
      <c r="AB156" s="67">
        <f>IFERROR(+'11-2025'!$X156*'11-2025'!$AA156,"")</f>
        <v>0</v>
      </c>
      <c r="AC156" s="67">
        <v>30</v>
      </c>
      <c r="AD156" s="67">
        <f>IFERROR(+'11-2025'!$X156*'11-2025'!$AC156,"")</f>
        <v>2500</v>
      </c>
      <c r="AE156" s="67"/>
      <c r="AF156" s="67">
        <f>IFERROR(+'11-2025'!$X156*'11-2025'!$AE156,"")</f>
        <v>0</v>
      </c>
      <c r="AG156" s="67"/>
      <c r="AH156" s="67">
        <f>IFERROR(+'11-2025'!$X156*'11-2025'!$AG156,"")</f>
        <v>0</v>
      </c>
      <c r="AI156" s="29">
        <v>0</v>
      </c>
      <c r="AJ156" s="67">
        <f>IFERROR('11-2025'!$Z156+'11-2025'!$AB156+'11-2025'!$AD156+'11-2025'!$AF156+'11-2025'!$AH156+'11-2025'!$AI156,"")</f>
        <v>2500</v>
      </c>
      <c r="AK156" s="68">
        <f>IFERROR('11-2025'!$W156-'11-2025'!$AJ156,"")</f>
        <v>0</v>
      </c>
      <c r="AL156" s="69"/>
      <c r="AM156" s="69"/>
      <c r="AN156" s="69"/>
      <c r="AO156" s="69"/>
      <c r="AP156" s="69"/>
      <c r="AQ156" s="69"/>
      <c r="AR156" s="31">
        <v>0</v>
      </c>
      <c r="AS156" s="31">
        <v>0</v>
      </c>
      <c r="AT156" s="31">
        <v>0</v>
      </c>
      <c r="AU156" s="31">
        <v>0</v>
      </c>
      <c r="AV156" s="31">
        <v>0</v>
      </c>
      <c r="AW156" s="31">
        <v>0</v>
      </c>
      <c r="AX156" s="31">
        <v>0</v>
      </c>
      <c r="AY156" s="31">
        <v>0</v>
      </c>
      <c r="AZ156" s="31">
        <v>0</v>
      </c>
      <c r="BA156" s="31">
        <v>0</v>
      </c>
      <c r="BB156" s="31">
        <v>0</v>
      </c>
      <c r="BC156" s="31">
        <v>0</v>
      </c>
      <c r="BD156" s="31">
        <v>0</v>
      </c>
      <c r="BE156" s="31">
        <v>0</v>
      </c>
      <c r="BF156" s="31">
        <v>0</v>
      </c>
      <c r="BG156" s="31">
        <v>0</v>
      </c>
      <c r="BH156" s="31">
        <v>0</v>
      </c>
      <c r="BI156" s="31">
        <v>0</v>
      </c>
      <c r="BJ156" s="39">
        <f t="shared" si="35"/>
        <v>0</v>
      </c>
      <c r="BK156" s="77">
        <f>BJ156+AM156+AL156+'11-2025'!$N156+AN156+AO156</f>
        <v>2500</v>
      </c>
      <c r="BL156" s="71">
        <f>'11-2025'!$O156</f>
        <v>0</v>
      </c>
      <c r="BM156" s="71">
        <f t="shared" si="24"/>
        <v>0</v>
      </c>
      <c r="BN156" s="71">
        <f t="shared" si="25"/>
        <v>0</v>
      </c>
      <c r="BO156" s="71">
        <f t="shared" si="33"/>
        <v>1666.6666666666667</v>
      </c>
      <c r="BP156" s="72">
        <f t="shared" si="26"/>
        <v>833.33333333333326</v>
      </c>
      <c r="BQ156" s="71">
        <f>IFERROR(BP156/'11-2025'!$J156,0)*12</f>
        <v>10000</v>
      </c>
      <c r="BR156" s="71">
        <f>IF(BQ156&lt;=40000,0,
IF(BQ156&lt;=55000,(BQ156-40000)*10%,
IF(BQ156&lt;=70000,(BQ156-55000)*15%+1500,
IF(BQ156&lt;=200000,(BQ156-70000)*20%+1500+2250,
IF(BQ156&lt;=400000,(BQ156-200000)*22.5%+1500+2250+26000,
IF(BQ156&lt;=600000,(BQ156-400000)*25%+1500+2250+26000+45000,
IF(AND(BQ156&gt;600000,BQ156&lt;=1200000),(BQ156-400000)*25%+1500+2250+26000+45000
+IFERROR(LOOKUP(BQ156,{600001;700001;800001;900001},{4000;6750;10250;15250}),0),IF(BQ156&gt;1200000,((BQ156-1200000)*27.5%)+300000,0)
)))))))</f>
        <v>0</v>
      </c>
      <c r="BS156" s="39">
        <f>(BR156/12*'11-2025'!$J156)</f>
        <v>0</v>
      </c>
      <c r="BT156" s="70">
        <f>BS156-'11-2025'!$V156</f>
        <v>0</v>
      </c>
      <c r="BU156" s="39">
        <f>IFERROR(+'11-2025'!$W156+AL156+AM156+BJ156-'11-2025'!$AJ156-BT156+AN156+AO156,"")-AL156+AP156+AQ156</f>
        <v>0</v>
      </c>
      <c r="BV156" s="73"/>
      <c r="BW156" s="74"/>
      <c r="BX156" s="74">
        <f t="shared" si="34"/>
        <v>0</v>
      </c>
      <c r="BY156" s="74"/>
    </row>
    <row r="157" spans="1:77" x14ac:dyDescent="0.25">
      <c r="A157" s="43">
        <v>753</v>
      </c>
      <c r="B157" s="22" t="s">
        <v>267</v>
      </c>
      <c r="C157" s="22" t="s">
        <v>106</v>
      </c>
      <c r="D157" s="22" t="s">
        <v>72</v>
      </c>
      <c r="E157" s="22" t="s">
        <v>82</v>
      </c>
      <c r="F157" s="22" t="s">
        <v>102</v>
      </c>
      <c r="G157" s="23">
        <v>45908</v>
      </c>
      <c r="H157" s="23"/>
      <c r="I157" s="24"/>
      <c r="J157" s="25">
        <v>1</v>
      </c>
      <c r="K157" s="25">
        <v>3000</v>
      </c>
      <c r="L157" s="25"/>
      <c r="M157" s="26"/>
      <c r="N157" s="25">
        <f>SUM('11-2025'!$K157:$M157)</f>
        <v>3000</v>
      </c>
      <c r="O157" s="25"/>
      <c r="P157" s="25">
        <f t="shared" si="27"/>
        <v>0</v>
      </c>
      <c r="Q157" s="25">
        <f t="shared" si="28"/>
        <v>0</v>
      </c>
      <c r="R157" s="25">
        <v>1666.6666666666667</v>
      </c>
      <c r="S157" s="27">
        <f t="shared" si="29"/>
        <v>1333.3333333333333</v>
      </c>
      <c r="T157" s="25">
        <f t="shared" si="30"/>
        <v>16000</v>
      </c>
      <c r="U157" s="25">
        <f>IF(T157&lt;=40000,0,
IF(T157&lt;=55000,(T157-40000)*10%,
IF(T157&lt;=70000,(T157-55000)*15%+1500,
IF(T157&lt;=200000,(T157-70000)*20%+1500+2250,
IF(T157&lt;=400000,(T157-200000)*22.5%+1500+2250+26000,
IF(T157&lt;=600000,(T157-400000)*25%+1500+2250+26000+45000,
IF(AND(T157&gt;600000,T157&lt;=1200000),(T157-400000)*25%+1500+2250+26000+45000
+IFERROR(LOOKUP(T157,{600001;700001;800001;900001},{4000;6750;10250;15250}),0),IF(T157&gt;1200000,((T157-1200000)*27.5%)+300000,0)
)))))))</f>
        <v>0</v>
      </c>
      <c r="V157" s="25">
        <f t="shared" si="31"/>
        <v>0</v>
      </c>
      <c r="W157" s="28">
        <f>+'11-2025'!$S157-'11-2025'!$V157+'11-2025'!$R157</f>
        <v>3000</v>
      </c>
      <c r="X157" s="28">
        <f t="shared" si="32"/>
        <v>100</v>
      </c>
      <c r="Y157" s="29">
        <v>0</v>
      </c>
      <c r="Z157" s="29">
        <f>IFERROR(+'11-2025'!$X157*'11-2025'!$Y157,"")</f>
        <v>0</v>
      </c>
      <c r="AA157" s="29">
        <v>0</v>
      </c>
      <c r="AB157" s="29">
        <f>IFERROR(+'11-2025'!$X157*'11-2025'!$AA157,"")</f>
        <v>0</v>
      </c>
      <c r="AC157" s="29">
        <v>0</v>
      </c>
      <c r="AD157" s="29">
        <f>IFERROR(+'11-2025'!$X157*'11-2025'!$AC157,"")</f>
        <v>0</v>
      </c>
      <c r="AE157" s="29">
        <v>0</v>
      </c>
      <c r="AF157" s="29">
        <f>IFERROR(+'11-2025'!$X157*'11-2025'!$AE157,"")</f>
        <v>0</v>
      </c>
      <c r="AG157" s="29">
        <v>0</v>
      </c>
      <c r="AH157" s="29">
        <f>IFERROR(+'11-2025'!$X157*'11-2025'!$AG157,"")</f>
        <v>0</v>
      </c>
      <c r="AI157" s="29">
        <v>0</v>
      </c>
      <c r="AJ157" s="29">
        <f>IFERROR('11-2025'!$Z157+'11-2025'!$AB157+'11-2025'!$AD157+'11-2025'!$AF157+'11-2025'!$AH157+'11-2025'!$AI157,"")</f>
        <v>0</v>
      </c>
      <c r="AK157" s="30">
        <f>IFERROR('11-2025'!$W157-'11-2025'!$AJ157,"")</f>
        <v>3000</v>
      </c>
      <c r="AL157" s="31"/>
      <c r="AM157" s="31"/>
      <c r="AN157" s="31"/>
      <c r="AO157" s="31">
        <v>0</v>
      </c>
      <c r="AP157" s="31"/>
      <c r="AQ157" s="31"/>
      <c r="AR157" s="31">
        <v>0</v>
      </c>
      <c r="AS157" s="31">
        <v>0</v>
      </c>
      <c r="AT157" s="31">
        <v>0</v>
      </c>
      <c r="AU157" s="31">
        <v>0</v>
      </c>
      <c r="AV157" s="31">
        <v>0</v>
      </c>
      <c r="AW157" s="31">
        <v>0</v>
      </c>
      <c r="AX157" s="31">
        <v>0</v>
      </c>
      <c r="AY157" s="31">
        <v>0</v>
      </c>
      <c r="AZ157" s="31">
        <v>0</v>
      </c>
      <c r="BA157" s="31">
        <v>0</v>
      </c>
      <c r="BB157" s="31">
        <v>0</v>
      </c>
      <c r="BC157" s="31">
        <v>0</v>
      </c>
      <c r="BD157" s="31">
        <v>0</v>
      </c>
      <c r="BE157" s="31">
        <v>1189.96</v>
      </c>
      <c r="BF157" s="31">
        <v>0</v>
      </c>
      <c r="BG157" s="31">
        <v>0</v>
      </c>
      <c r="BH157" s="31">
        <v>0</v>
      </c>
      <c r="BI157" s="31">
        <v>0</v>
      </c>
      <c r="BJ157" s="32">
        <f t="shared" si="35"/>
        <v>1189.96</v>
      </c>
      <c r="BK157" s="41">
        <f>BJ157+AM157+AL157+'11-2025'!$N157+AN157+AO157</f>
        <v>4189.96</v>
      </c>
      <c r="BL157" s="34">
        <f>'11-2025'!$O157</f>
        <v>0</v>
      </c>
      <c r="BM157" s="34">
        <f t="shared" si="24"/>
        <v>0</v>
      </c>
      <c r="BN157" s="34">
        <f t="shared" si="25"/>
        <v>0</v>
      </c>
      <c r="BO157" s="34">
        <f t="shared" si="33"/>
        <v>1666.6666666666667</v>
      </c>
      <c r="BP157" s="35">
        <f t="shared" si="26"/>
        <v>2523.2933333333331</v>
      </c>
      <c r="BQ157" s="34">
        <f>IFERROR(BP157/'11-2025'!$J157,0)*12</f>
        <v>30279.519999999997</v>
      </c>
      <c r="BR157" s="34">
        <f>IF(BQ157&lt;=40000,0,
IF(BQ157&lt;=55000,(BQ157-40000)*10%,
IF(BQ157&lt;=70000,(BQ157-55000)*15%+1500,
IF(BQ157&lt;=200000,(BQ157-70000)*20%+1500+2250,
IF(BQ157&lt;=400000,(BQ157-200000)*22.5%+1500+2250+26000,
IF(BQ157&lt;=600000,(BQ157-400000)*25%+1500+2250+26000+45000,
IF(AND(BQ157&gt;600000,BQ157&lt;=1200000),(BQ157-400000)*25%+1500+2250+26000+45000
+IFERROR(LOOKUP(BQ157,{600001;700001;800001;900001},{4000;6750;10250;15250}),0),IF(BQ157&gt;1200000,((BQ157-1200000)*27.5%)+300000,0)
)))))))</f>
        <v>0</v>
      </c>
      <c r="BS157" s="32">
        <f>(BR157/12*'11-2025'!$J157)</f>
        <v>0</v>
      </c>
      <c r="BT157" s="33">
        <f>BS157-'11-2025'!$V157</f>
        <v>0</v>
      </c>
      <c r="BU157" s="32">
        <f>IFERROR(+'11-2025'!$W157+AL157+AM157+BJ157-'11-2025'!$AJ157-BT157+AN157+AO157,"")-AL157+AP157+AQ157</f>
        <v>4189.96</v>
      </c>
      <c r="BV157" s="36"/>
      <c r="BW157" s="37"/>
      <c r="BX157" s="37">
        <f t="shared" si="34"/>
        <v>4189.96</v>
      </c>
      <c r="BY157" s="37"/>
    </row>
    <row r="158" spans="1:77" s="75" customFormat="1" x14ac:dyDescent="0.25">
      <c r="A158" s="44">
        <v>754</v>
      </c>
      <c r="B158" s="40" t="s">
        <v>268</v>
      </c>
      <c r="C158" s="40" t="s">
        <v>71</v>
      </c>
      <c r="D158" s="40" t="s">
        <v>72</v>
      </c>
      <c r="E158" s="40" t="s">
        <v>60</v>
      </c>
      <c r="F158" s="40" t="s">
        <v>74</v>
      </c>
      <c r="G158" s="61">
        <v>45909</v>
      </c>
      <c r="H158" s="61">
        <v>45931</v>
      </c>
      <c r="I158" s="62" t="s">
        <v>269</v>
      </c>
      <c r="J158" s="63">
        <v>1</v>
      </c>
      <c r="K158" s="63">
        <v>6500</v>
      </c>
      <c r="L158" s="63"/>
      <c r="M158" s="64"/>
      <c r="N158" s="63">
        <f>SUM('11-2025'!$K158:$M158)</f>
        <v>6500</v>
      </c>
      <c r="O158" s="63"/>
      <c r="P158" s="63">
        <f t="shared" si="27"/>
        <v>0</v>
      </c>
      <c r="Q158" s="63">
        <f t="shared" si="28"/>
        <v>0</v>
      </c>
      <c r="R158" s="63">
        <v>1666.6666666666667</v>
      </c>
      <c r="S158" s="65">
        <f t="shared" si="29"/>
        <v>4833.333333333333</v>
      </c>
      <c r="T158" s="63">
        <f t="shared" si="30"/>
        <v>58000</v>
      </c>
      <c r="U158" s="63">
        <f>IF(T158&lt;=40000,0,
IF(T158&lt;=55000,(T158-40000)*10%,
IF(T158&lt;=70000,(T158-55000)*15%+1500,
IF(T158&lt;=200000,(T158-70000)*20%+1500+2250,
IF(T158&lt;=400000,(T158-200000)*22.5%+1500+2250+26000,
IF(T158&lt;=600000,(T158-400000)*25%+1500+2250+26000+45000,
IF(AND(T158&gt;600000,T158&lt;=1200000),(T158-400000)*25%+1500+2250+26000+45000
+IFERROR(LOOKUP(T158,{600001;700001;800001;900001},{4000;6750;10250;15250}),0),IF(T158&gt;1200000,((T158-1200000)*27.5%)+300000,0)
)))))))</f>
        <v>1950</v>
      </c>
      <c r="V158" s="63">
        <f t="shared" si="31"/>
        <v>162.5</v>
      </c>
      <c r="W158" s="66">
        <f>+'11-2025'!$S158-'11-2025'!$V158+'11-2025'!$R158</f>
        <v>6337.5</v>
      </c>
      <c r="X158" s="66">
        <f t="shared" si="32"/>
        <v>211.25</v>
      </c>
      <c r="Y158" s="67"/>
      <c r="Z158" s="67">
        <f>IFERROR(+'11-2025'!$X158*'11-2025'!$Y158,"")</f>
        <v>0</v>
      </c>
      <c r="AA158" s="67"/>
      <c r="AB158" s="67">
        <f>IFERROR(+'11-2025'!$X158*'11-2025'!$AA158,"")</f>
        <v>0</v>
      </c>
      <c r="AC158" s="67">
        <v>30</v>
      </c>
      <c r="AD158" s="67">
        <f>IFERROR(+'11-2025'!$X158*'11-2025'!$AC158,"")</f>
        <v>6337.5</v>
      </c>
      <c r="AE158" s="67"/>
      <c r="AF158" s="67">
        <f>IFERROR(+'11-2025'!$X158*'11-2025'!$AE158,"")</f>
        <v>0</v>
      </c>
      <c r="AG158" s="67"/>
      <c r="AH158" s="67">
        <f>IFERROR(+'11-2025'!$X158*'11-2025'!$AG158,"")</f>
        <v>0</v>
      </c>
      <c r="AI158" s="29">
        <v>0</v>
      </c>
      <c r="AJ158" s="67">
        <f>IFERROR('11-2025'!$Z158+'11-2025'!$AB158+'11-2025'!$AD158+'11-2025'!$AF158+'11-2025'!$AH158+'11-2025'!$AI158,"")</f>
        <v>6337.5</v>
      </c>
      <c r="AK158" s="68">
        <f>IFERROR('11-2025'!$W158-'11-2025'!$AJ158,"")</f>
        <v>0</v>
      </c>
      <c r="AL158" s="69"/>
      <c r="AM158" s="69"/>
      <c r="AN158" s="69"/>
      <c r="AO158" s="69"/>
      <c r="AP158" s="69"/>
      <c r="AQ158" s="69"/>
      <c r="AR158" s="31">
        <v>0</v>
      </c>
      <c r="AS158" s="31">
        <v>0</v>
      </c>
      <c r="AT158" s="31">
        <v>0</v>
      </c>
      <c r="AU158" s="31">
        <v>0</v>
      </c>
      <c r="AV158" s="31">
        <v>0</v>
      </c>
      <c r="AW158" s="31">
        <v>0</v>
      </c>
      <c r="AX158" s="31">
        <v>0</v>
      </c>
      <c r="AY158" s="31">
        <v>0</v>
      </c>
      <c r="AZ158" s="31">
        <v>0</v>
      </c>
      <c r="BA158" s="31">
        <v>0</v>
      </c>
      <c r="BB158" s="31">
        <v>0</v>
      </c>
      <c r="BC158" s="31">
        <v>0</v>
      </c>
      <c r="BD158" s="31">
        <v>0</v>
      </c>
      <c r="BE158" s="31">
        <v>0</v>
      </c>
      <c r="BF158" s="31">
        <v>0</v>
      </c>
      <c r="BG158" s="31">
        <v>0</v>
      </c>
      <c r="BH158" s="31">
        <v>0</v>
      </c>
      <c r="BI158" s="31">
        <v>0</v>
      </c>
      <c r="BJ158" s="39">
        <f t="shared" si="35"/>
        <v>0</v>
      </c>
      <c r="BK158" s="77">
        <f>BJ158+AM158+AL158+'11-2025'!$N158+AN158+AO158</f>
        <v>6500</v>
      </c>
      <c r="BL158" s="71">
        <f>'11-2025'!$O158</f>
        <v>0</v>
      </c>
      <c r="BM158" s="71">
        <f t="shared" si="24"/>
        <v>0</v>
      </c>
      <c r="BN158" s="71">
        <f t="shared" si="25"/>
        <v>0</v>
      </c>
      <c r="BO158" s="71">
        <f t="shared" si="33"/>
        <v>1666.6666666666667</v>
      </c>
      <c r="BP158" s="72">
        <f t="shared" si="26"/>
        <v>4833.333333333333</v>
      </c>
      <c r="BQ158" s="71">
        <f>IFERROR(BP158/'11-2025'!$J158,0)*12</f>
        <v>58000</v>
      </c>
      <c r="BR158" s="71">
        <f>IF(BQ158&lt;=40000,0,
IF(BQ158&lt;=55000,(BQ158-40000)*10%,
IF(BQ158&lt;=70000,(BQ158-55000)*15%+1500,
IF(BQ158&lt;=200000,(BQ158-70000)*20%+1500+2250,
IF(BQ158&lt;=400000,(BQ158-200000)*22.5%+1500+2250+26000,
IF(BQ158&lt;=600000,(BQ158-400000)*25%+1500+2250+26000+45000,
IF(AND(BQ158&gt;600000,BQ158&lt;=1200000),(BQ158-400000)*25%+1500+2250+26000+45000
+IFERROR(LOOKUP(BQ158,{600001;700001;800001;900001},{4000;6750;10250;15250}),0),IF(BQ158&gt;1200000,((BQ158-1200000)*27.5%)+300000,0)
)))))))</f>
        <v>1950</v>
      </c>
      <c r="BS158" s="39">
        <f>(BR158/12*'11-2025'!$J158)</f>
        <v>162.5</v>
      </c>
      <c r="BT158" s="70">
        <f>BS158-'11-2025'!$V158</f>
        <v>0</v>
      </c>
      <c r="BU158" s="39">
        <f>IFERROR(+'11-2025'!$W158+AL158+AM158+BJ158-'11-2025'!$AJ158-BT158+AN158+AO158,"")-AL158+AP158+AQ158</f>
        <v>0</v>
      </c>
      <c r="BV158" s="73"/>
      <c r="BW158" s="74"/>
      <c r="BX158" s="74">
        <f t="shared" si="34"/>
        <v>0</v>
      </c>
      <c r="BY158" s="74"/>
    </row>
    <row r="159" spans="1:77" x14ac:dyDescent="0.25">
      <c r="A159" s="43">
        <v>755</v>
      </c>
      <c r="B159" s="22" t="s">
        <v>270</v>
      </c>
      <c r="C159" s="22" t="s">
        <v>71</v>
      </c>
      <c r="D159" s="22" t="s">
        <v>77</v>
      </c>
      <c r="E159" s="22" t="s">
        <v>85</v>
      </c>
      <c r="F159" s="22" t="s">
        <v>180</v>
      </c>
      <c r="G159" s="23">
        <v>45910</v>
      </c>
      <c r="H159" s="23"/>
      <c r="I159" s="24" t="s">
        <v>269</v>
      </c>
      <c r="J159" s="25">
        <v>1</v>
      </c>
      <c r="K159" s="25">
        <v>4000</v>
      </c>
      <c r="L159" s="25"/>
      <c r="M159" s="26"/>
      <c r="N159" s="25">
        <f>SUM('11-2025'!$K159:$M159)</f>
        <v>4000</v>
      </c>
      <c r="O159" s="25">
        <v>3077</v>
      </c>
      <c r="P159" s="25">
        <f t="shared" si="27"/>
        <v>576.9375</v>
      </c>
      <c r="Q159" s="25">
        <f t="shared" si="28"/>
        <v>338.47</v>
      </c>
      <c r="R159" s="25">
        <v>1666.6666666666667</v>
      </c>
      <c r="S159" s="27">
        <f t="shared" si="29"/>
        <v>1994.863333333333</v>
      </c>
      <c r="T159" s="25">
        <f t="shared" si="30"/>
        <v>23938.359999999997</v>
      </c>
      <c r="U159" s="25">
        <f>IF(T159&lt;=40000,0,
IF(T159&lt;=55000,(T159-40000)*10%,
IF(T159&lt;=70000,(T159-55000)*15%+1500,
IF(T159&lt;=200000,(T159-70000)*20%+1500+2250,
IF(T159&lt;=400000,(T159-200000)*22.5%+1500+2250+26000,
IF(T159&lt;=600000,(T159-400000)*25%+1500+2250+26000+45000,
IF(AND(T159&gt;600000,T159&lt;=1200000),(T159-400000)*25%+1500+2250+26000+45000
+IFERROR(LOOKUP(T159,{600001;700001;800001;900001},{4000;6750;10250;15250}),0),IF(T159&gt;1200000,((T159-1200000)*27.5%)+300000,0)
)))))))</f>
        <v>0</v>
      </c>
      <c r="V159" s="25">
        <f t="shared" si="31"/>
        <v>0</v>
      </c>
      <c r="W159" s="28">
        <f>+'11-2025'!$S159-'11-2025'!$V159+'11-2025'!$R159</f>
        <v>3661.5299999999997</v>
      </c>
      <c r="X159" s="28">
        <f t="shared" si="32"/>
        <v>122.05099999999999</v>
      </c>
      <c r="Y159" s="29">
        <v>0</v>
      </c>
      <c r="Z159" s="29">
        <f>IFERROR(+'11-2025'!$X159*'11-2025'!$Y159,"")</f>
        <v>0</v>
      </c>
      <c r="AA159" s="29">
        <v>0</v>
      </c>
      <c r="AB159" s="29">
        <f>IFERROR(+'11-2025'!$X159*'11-2025'!$AA159,"")</f>
        <v>0</v>
      </c>
      <c r="AC159" s="29">
        <v>0</v>
      </c>
      <c r="AD159" s="29">
        <f>IFERROR(+'11-2025'!$X159*'11-2025'!$AC159,"")</f>
        <v>0</v>
      </c>
      <c r="AE159" s="29">
        <v>0</v>
      </c>
      <c r="AF159" s="29">
        <f>IFERROR(+'11-2025'!$X159*'11-2025'!$AE159,"")</f>
        <v>0</v>
      </c>
      <c r="AG159" s="29">
        <v>0</v>
      </c>
      <c r="AH159" s="29">
        <f>IFERROR(+'11-2025'!$X159*'11-2025'!$AG159,"")</f>
        <v>0</v>
      </c>
      <c r="AI159" s="29">
        <v>0</v>
      </c>
      <c r="AJ159" s="29">
        <f>IFERROR('11-2025'!$Z159+'11-2025'!$AB159+'11-2025'!$AD159+'11-2025'!$AF159+'11-2025'!$AH159+'11-2025'!$AI159,"")</f>
        <v>0</v>
      </c>
      <c r="AK159" s="30">
        <f>IFERROR('11-2025'!$W159-'11-2025'!$AJ159,"")</f>
        <v>3661.5299999999997</v>
      </c>
      <c r="AL159" s="31"/>
      <c r="AM159" s="31"/>
      <c r="AN159" s="31"/>
      <c r="AO159" s="31">
        <v>0</v>
      </c>
      <c r="AP159" s="31"/>
      <c r="AQ159" s="31"/>
      <c r="AR159" s="31">
        <v>0</v>
      </c>
      <c r="AS159" s="31">
        <v>0</v>
      </c>
      <c r="AT159" s="31">
        <v>0</v>
      </c>
      <c r="AU159" s="31">
        <v>0</v>
      </c>
      <c r="AV159" s="31">
        <v>0</v>
      </c>
      <c r="AW159" s="31">
        <v>0</v>
      </c>
      <c r="AX159" s="31">
        <v>0</v>
      </c>
      <c r="AY159" s="31">
        <v>0</v>
      </c>
      <c r="AZ159" s="31">
        <v>0</v>
      </c>
      <c r="BA159" s="31">
        <v>0</v>
      </c>
      <c r="BB159" s="31">
        <v>0</v>
      </c>
      <c r="BC159" s="31">
        <v>0</v>
      </c>
      <c r="BD159" s="31">
        <v>0</v>
      </c>
      <c r="BE159" s="31">
        <v>0</v>
      </c>
      <c r="BF159" s="31">
        <v>0</v>
      </c>
      <c r="BG159" s="31">
        <v>0</v>
      </c>
      <c r="BH159" s="31">
        <v>0</v>
      </c>
      <c r="BI159" s="31">
        <v>0</v>
      </c>
      <c r="BJ159" s="32">
        <f t="shared" si="35"/>
        <v>0</v>
      </c>
      <c r="BK159" s="41">
        <f>BJ159+AM159+AL159+'11-2025'!$N159+AN159+AO159</f>
        <v>4000</v>
      </c>
      <c r="BL159" s="34">
        <f>'11-2025'!$O159</f>
        <v>3077</v>
      </c>
      <c r="BM159" s="34">
        <f t="shared" si="24"/>
        <v>576.9375</v>
      </c>
      <c r="BN159" s="34">
        <f t="shared" si="25"/>
        <v>338.47</v>
      </c>
      <c r="BO159" s="34">
        <f t="shared" si="33"/>
        <v>1666.6666666666667</v>
      </c>
      <c r="BP159" s="35">
        <f t="shared" si="26"/>
        <v>1994.863333333333</v>
      </c>
      <c r="BQ159" s="34">
        <f>IFERROR(BP159/'11-2025'!$J159,0)*12</f>
        <v>23938.359999999997</v>
      </c>
      <c r="BR159" s="34">
        <f>IF(BQ159&lt;=40000,0,
IF(BQ159&lt;=55000,(BQ159-40000)*10%,
IF(BQ159&lt;=70000,(BQ159-55000)*15%+1500,
IF(BQ159&lt;=200000,(BQ159-70000)*20%+1500+2250,
IF(BQ159&lt;=400000,(BQ159-200000)*22.5%+1500+2250+26000,
IF(BQ159&lt;=600000,(BQ159-400000)*25%+1500+2250+26000+45000,
IF(AND(BQ159&gt;600000,BQ159&lt;=1200000),(BQ159-400000)*25%+1500+2250+26000+45000
+IFERROR(LOOKUP(BQ159,{600001;700001;800001;900001},{4000;6750;10250;15250}),0),IF(BQ159&gt;1200000,((BQ159-1200000)*27.5%)+300000,0)
)))))))</f>
        <v>0</v>
      </c>
      <c r="BS159" s="32">
        <f>(BR159/12*'11-2025'!$J159)</f>
        <v>0</v>
      </c>
      <c r="BT159" s="33">
        <f>BS159-'11-2025'!$V159</f>
        <v>0</v>
      </c>
      <c r="BU159" s="32">
        <f>IFERROR(+'11-2025'!$W159+AL159+AM159+BJ159-'11-2025'!$AJ159-BT159+AN159+AO159,"")-AL159+AP159+AQ159</f>
        <v>3661.5299999999997</v>
      </c>
      <c r="BV159" s="36"/>
      <c r="BW159" s="37"/>
      <c r="BX159" s="37">
        <f t="shared" si="34"/>
        <v>3661.5299999999997</v>
      </c>
      <c r="BY159" s="37"/>
    </row>
    <row r="160" spans="1:77" x14ac:dyDescent="0.25">
      <c r="A160" s="43">
        <v>756</v>
      </c>
      <c r="B160" s="22" t="s">
        <v>271</v>
      </c>
      <c r="C160" s="22" t="s">
        <v>81</v>
      </c>
      <c r="D160" s="22" t="s">
        <v>72</v>
      </c>
      <c r="E160" s="22" t="s">
        <v>124</v>
      </c>
      <c r="F160" s="22" t="s">
        <v>139</v>
      </c>
      <c r="G160" s="23">
        <v>45937</v>
      </c>
      <c r="H160" s="23"/>
      <c r="I160" s="24" t="s">
        <v>269</v>
      </c>
      <c r="J160" s="25">
        <v>1</v>
      </c>
      <c r="K160" s="25">
        <v>3000</v>
      </c>
      <c r="L160" s="25"/>
      <c r="M160" s="26"/>
      <c r="N160" s="25">
        <f>SUM('11-2025'!$K160:$M160)</f>
        <v>3000</v>
      </c>
      <c r="O160" s="25"/>
      <c r="P160" s="25">
        <f t="shared" si="27"/>
        <v>0</v>
      </c>
      <c r="Q160" s="25">
        <f t="shared" si="28"/>
        <v>0</v>
      </c>
      <c r="R160" s="25">
        <v>1666.6666666666667</v>
      </c>
      <c r="S160" s="27">
        <f t="shared" si="29"/>
        <v>1333.3333333333333</v>
      </c>
      <c r="T160" s="25">
        <f t="shared" si="30"/>
        <v>16000</v>
      </c>
      <c r="U160" s="25">
        <f>IF(T160&lt;=40000,0,
IF(T160&lt;=55000,(T160-40000)*10%,
IF(T160&lt;=70000,(T160-55000)*15%+1500,
IF(T160&lt;=200000,(T160-70000)*20%+1500+2250,
IF(T160&lt;=400000,(T160-200000)*22.5%+1500+2250+26000,
IF(T160&lt;=600000,(T160-400000)*25%+1500+2250+26000+45000,
IF(AND(T160&gt;600000,T160&lt;=1200000),(T160-400000)*25%+1500+2250+26000+45000
+IFERROR(LOOKUP(T160,{600001;700001;800001;900001},{4000;6750;10250;15250}),0),IF(T160&gt;1200000,((T160-1200000)*27.5%)+300000,0)
)))))))</f>
        <v>0</v>
      </c>
      <c r="V160" s="25">
        <f t="shared" si="31"/>
        <v>0</v>
      </c>
      <c r="W160" s="28">
        <f>+'11-2025'!$S160-'11-2025'!$V160+'11-2025'!$R160</f>
        <v>3000</v>
      </c>
      <c r="X160" s="28">
        <f t="shared" si="32"/>
        <v>100</v>
      </c>
      <c r="Y160" s="29">
        <v>0</v>
      </c>
      <c r="Z160" s="29">
        <f>IFERROR(+'11-2025'!$X160*'11-2025'!$Y160,"")</f>
        <v>0</v>
      </c>
      <c r="AA160" s="29">
        <v>0</v>
      </c>
      <c r="AB160" s="29">
        <f>IFERROR(+'11-2025'!$X160*'11-2025'!$AA160,"")</f>
        <v>0</v>
      </c>
      <c r="AC160" s="29">
        <v>0</v>
      </c>
      <c r="AD160" s="29">
        <f>IFERROR(+'11-2025'!$X160*'11-2025'!$AC160,"")</f>
        <v>0</v>
      </c>
      <c r="AE160" s="29">
        <v>0</v>
      </c>
      <c r="AF160" s="29">
        <f>IFERROR(+'11-2025'!$X160*'11-2025'!$AE160,"")</f>
        <v>0</v>
      </c>
      <c r="AG160" s="29">
        <v>1</v>
      </c>
      <c r="AH160" s="29">
        <f>IFERROR(+'11-2025'!$X160*'11-2025'!$AG160,"")</f>
        <v>100</v>
      </c>
      <c r="AI160" s="29">
        <v>500</v>
      </c>
      <c r="AJ160" s="29">
        <f>IFERROR('11-2025'!$Z160+'11-2025'!$AB160+'11-2025'!$AD160+'11-2025'!$AF160+'11-2025'!$AH160+'11-2025'!$AI160,"")</f>
        <v>600</v>
      </c>
      <c r="AK160" s="30">
        <f>IFERROR('11-2025'!$W160-'11-2025'!$AJ160,"")</f>
        <v>2400</v>
      </c>
      <c r="AL160" s="31"/>
      <c r="AM160" s="31"/>
      <c r="AN160" s="31"/>
      <c r="AO160" s="31">
        <v>240</v>
      </c>
      <c r="AP160" s="31"/>
      <c r="AQ160" s="31"/>
      <c r="AR160" s="31">
        <v>0</v>
      </c>
      <c r="AS160" s="31">
        <v>0</v>
      </c>
      <c r="AT160" s="31">
        <v>0</v>
      </c>
      <c r="AU160" s="31">
        <v>0</v>
      </c>
      <c r="AV160" s="31">
        <v>1597</v>
      </c>
      <c r="AW160" s="31">
        <v>0</v>
      </c>
      <c r="AX160" s="31">
        <v>0</v>
      </c>
      <c r="AY160" s="31">
        <v>0</v>
      </c>
      <c r="AZ160" s="31">
        <v>0</v>
      </c>
      <c r="BA160" s="31">
        <v>0</v>
      </c>
      <c r="BB160" s="31">
        <v>0</v>
      </c>
      <c r="BC160" s="31">
        <v>0</v>
      </c>
      <c r="BD160" s="31">
        <v>2111.64</v>
      </c>
      <c r="BE160" s="31">
        <v>0</v>
      </c>
      <c r="BF160" s="31">
        <v>0</v>
      </c>
      <c r="BG160" s="31">
        <v>0</v>
      </c>
      <c r="BH160" s="31">
        <v>0</v>
      </c>
      <c r="BI160" s="31">
        <v>0</v>
      </c>
      <c r="BJ160" s="32">
        <f t="shared" si="35"/>
        <v>3708.64</v>
      </c>
      <c r="BK160" s="41">
        <f>BJ160+AM160+AL160+'11-2025'!$N160+AN160+AO160</f>
        <v>6948.6399999999994</v>
      </c>
      <c r="BL160" s="34">
        <f>'11-2025'!$O160</f>
        <v>0</v>
      </c>
      <c r="BM160" s="34">
        <f t="shared" si="24"/>
        <v>0</v>
      </c>
      <c r="BN160" s="34">
        <f t="shared" si="25"/>
        <v>0</v>
      </c>
      <c r="BO160" s="34">
        <f t="shared" si="33"/>
        <v>1666.6666666666667</v>
      </c>
      <c r="BP160" s="35">
        <f t="shared" si="26"/>
        <v>5281.9733333333324</v>
      </c>
      <c r="BQ160" s="34">
        <f>IFERROR(BP160/'11-2025'!$J160,0)*12</f>
        <v>63383.679999999993</v>
      </c>
      <c r="BR160" s="34">
        <f>IF(BQ160&lt;=40000,0,
IF(BQ160&lt;=55000,(BQ160-40000)*10%,
IF(BQ160&lt;=70000,(BQ160-55000)*15%+1500,
IF(BQ160&lt;=200000,(BQ160-70000)*20%+1500+2250,
IF(BQ160&lt;=400000,(BQ160-200000)*22.5%+1500+2250+26000,
IF(BQ160&lt;=600000,(BQ160-400000)*25%+1500+2250+26000+45000,
IF(AND(BQ160&gt;600000,BQ160&lt;=1200000),(BQ160-400000)*25%+1500+2250+26000+45000
+IFERROR(LOOKUP(BQ160,{600001;700001;800001;900001},{4000;6750;10250;15250}),0),IF(BQ160&gt;1200000,((BQ160-1200000)*27.5%)+300000,0)
)))))))</f>
        <v>2757.5519999999988</v>
      </c>
      <c r="BS160" s="32">
        <f>(BR160/12*'11-2025'!$J160)</f>
        <v>229.79599999999991</v>
      </c>
      <c r="BT160" s="33">
        <f>BS160-'11-2025'!$V160</f>
        <v>229.79599999999991</v>
      </c>
      <c r="BU160" s="32">
        <f>IFERROR(+'11-2025'!$W160+AL160+AM160+BJ160-'11-2025'!$AJ160-BT160+AN160+AO160,"")-AL160+AP160+AQ160</f>
        <v>6118.8439999999991</v>
      </c>
      <c r="BV160" s="36"/>
      <c r="BW160" s="37"/>
      <c r="BX160" s="37">
        <f t="shared" si="34"/>
        <v>6118.8439999999991</v>
      </c>
      <c r="BY160" s="37"/>
    </row>
    <row r="161" spans="1:77" x14ac:dyDescent="0.25">
      <c r="A161" s="43">
        <v>757</v>
      </c>
      <c r="B161" s="22" t="s">
        <v>272</v>
      </c>
      <c r="C161" s="22" t="s">
        <v>71</v>
      </c>
      <c r="D161" s="22" t="s">
        <v>72</v>
      </c>
      <c r="E161" s="22" t="s">
        <v>99</v>
      </c>
      <c r="F161" s="22" t="s">
        <v>102</v>
      </c>
      <c r="G161" s="23">
        <v>45917</v>
      </c>
      <c r="H161" s="23"/>
      <c r="I161" s="24" t="s">
        <v>269</v>
      </c>
      <c r="J161" s="25">
        <v>1</v>
      </c>
      <c r="K161" s="25">
        <v>2500</v>
      </c>
      <c r="L161" s="25"/>
      <c r="M161" s="26"/>
      <c r="N161" s="25">
        <f>SUM('11-2025'!$K161:$M161)</f>
        <v>2500</v>
      </c>
      <c r="O161" s="25"/>
      <c r="P161" s="25">
        <f t="shared" si="27"/>
        <v>0</v>
      </c>
      <c r="Q161" s="25">
        <f t="shared" si="28"/>
        <v>0</v>
      </c>
      <c r="R161" s="25">
        <v>1666.6666666666667</v>
      </c>
      <c r="S161" s="27">
        <f t="shared" si="29"/>
        <v>833.33333333333326</v>
      </c>
      <c r="T161" s="25">
        <f t="shared" si="30"/>
        <v>10000</v>
      </c>
      <c r="U161" s="25">
        <f>IF(T161&lt;=40000,0,
IF(T161&lt;=55000,(T161-40000)*10%,
IF(T161&lt;=70000,(T161-55000)*15%+1500,
IF(T161&lt;=200000,(T161-70000)*20%+1500+2250,
IF(T161&lt;=400000,(T161-200000)*22.5%+1500+2250+26000,
IF(T161&lt;=600000,(T161-400000)*25%+1500+2250+26000+45000,
IF(AND(T161&gt;600000,T161&lt;=1200000),(T161-400000)*25%+1500+2250+26000+45000
+IFERROR(LOOKUP(T161,{600001;700001;800001;900001},{4000;6750;10250;15250}),0),IF(T161&gt;1200000,((T161-1200000)*27.5%)+300000,0)
)))))))</f>
        <v>0</v>
      </c>
      <c r="V161" s="25">
        <f t="shared" si="31"/>
        <v>0</v>
      </c>
      <c r="W161" s="28">
        <f>+'11-2025'!$S161-'11-2025'!$V161+'11-2025'!$R161</f>
        <v>2500</v>
      </c>
      <c r="X161" s="28">
        <f t="shared" si="32"/>
        <v>83.333333333333329</v>
      </c>
      <c r="Y161" s="29">
        <v>0</v>
      </c>
      <c r="Z161" s="29">
        <f>IFERROR(+'11-2025'!$X161*'11-2025'!$Y161,"")</f>
        <v>0</v>
      </c>
      <c r="AA161" s="29">
        <v>2</v>
      </c>
      <c r="AB161" s="29">
        <f>IFERROR(+'11-2025'!$X161*'11-2025'!$AA161,"")</f>
        <v>166.66666666666666</v>
      </c>
      <c r="AC161" s="29">
        <v>0</v>
      </c>
      <c r="AD161" s="29">
        <f>IFERROR(+'11-2025'!$X161*'11-2025'!$AC161,"")</f>
        <v>0</v>
      </c>
      <c r="AE161" s="29">
        <v>0.5</v>
      </c>
      <c r="AF161" s="29">
        <f>IFERROR(+'11-2025'!$X161*'11-2025'!$AE161,"")</f>
        <v>41.666666666666664</v>
      </c>
      <c r="AG161" s="29">
        <v>1.25</v>
      </c>
      <c r="AH161" s="29">
        <f>IFERROR(+'11-2025'!$X161*'11-2025'!$AG161,"")</f>
        <v>104.16666666666666</v>
      </c>
      <c r="AI161" s="29">
        <v>0</v>
      </c>
      <c r="AJ161" s="29">
        <f>IFERROR('11-2025'!$Z161+'11-2025'!$AB161+'11-2025'!$AD161+'11-2025'!$AF161+'11-2025'!$AH161+'11-2025'!$AI161,"")</f>
        <v>312.5</v>
      </c>
      <c r="AK161" s="30">
        <f>IFERROR('11-2025'!$W161-'11-2025'!$AJ161,"")</f>
        <v>2187.5</v>
      </c>
      <c r="AL161" s="31"/>
      <c r="AM161" s="31"/>
      <c r="AN161" s="31"/>
      <c r="AO161" s="31">
        <v>0</v>
      </c>
      <c r="AP161" s="31"/>
      <c r="AQ161" s="31"/>
      <c r="AR161" s="31">
        <v>0</v>
      </c>
      <c r="AS161" s="31">
        <v>2744.1175000000003</v>
      </c>
      <c r="AT161" s="31">
        <v>0</v>
      </c>
      <c r="AU161" s="31">
        <v>0</v>
      </c>
      <c r="AV161" s="31">
        <v>0</v>
      </c>
      <c r="AW161" s="31">
        <v>0</v>
      </c>
      <c r="AX161" s="31">
        <v>0</v>
      </c>
      <c r="AY161" s="31">
        <v>0</v>
      </c>
      <c r="AZ161" s="31">
        <v>0</v>
      </c>
      <c r="BA161" s="31">
        <v>0</v>
      </c>
      <c r="BB161" s="31">
        <v>0</v>
      </c>
      <c r="BC161" s="31">
        <v>0</v>
      </c>
      <c r="BD161" s="31">
        <v>0</v>
      </c>
      <c r="BE161" s="31">
        <v>0</v>
      </c>
      <c r="BF161" s="31">
        <v>0</v>
      </c>
      <c r="BG161" s="31">
        <v>0</v>
      </c>
      <c r="BH161" s="31">
        <v>0</v>
      </c>
      <c r="BI161" s="31">
        <v>0</v>
      </c>
      <c r="BJ161" s="32">
        <f t="shared" si="35"/>
        <v>2744.1175000000003</v>
      </c>
      <c r="BK161" s="41">
        <f>BJ161+AM161+AL161+'11-2025'!$N161+AN161+AO161</f>
        <v>5244.1175000000003</v>
      </c>
      <c r="BL161" s="34">
        <f>'11-2025'!$O161</f>
        <v>0</v>
      </c>
      <c r="BM161" s="34">
        <f t="shared" si="24"/>
        <v>0</v>
      </c>
      <c r="BN161" s="34">
        <f t="shared" si="25"/>
        <v>0</v>
      </c>
      <c r="BO161" s="34">
        <f t="shared" si="33"/>
        <v>1666.6666666666667</v>
      </c>
      <c r="BP161" s="35">
        <f t="shared" si="26"/>
        <v>3577.4508333333333</v>
      </c>
      <c r="BQ161" s="34">
        <f>IFERROR(BP161/'11-2025'!$J161,0)*12</f>
        <v>42929.41</v>
      </c>
      <c r="BR161" s="34">
        <f>IF(BQ161&lt;=40000,0,
IF(BQ161&lt;=55000,(BQ161-40000)*10%,
IF(BQ161&lt;=70000,(BQ161-55000)*15%+1500,
IF(BQ161&lt;=200000,(BQ161-70000)*20%+1500+2250,
IF(BQ161&lt;=400000,(BQ161-200000)*22.5%+1500+2250+26000,
IF(BQ161&lt;=600000,(BQ161-400000)*25%+1500+2250+26000+45000,
IF(AND(BQ161&gt;600000,BQ161&lt;=1200000),(BQ161-400000)*25%+1500+2250+26000+45000
+IFERROR(LOOKUP(BQ161,{600001;700001;800001;900001},{4000;6750;10250;15250}),0),IF(BQ161&gt;1200000,((BQ161-1200000)*27.5%)+300000,0)
)))))))</f>
        <v>292.94100000000037</v>
      </c>
      <c r="BS161" s="32">
        <f>(BR161/12*'11-2025'!$J161)</f>
        <v>24.41175000000003</v>
      </c>
      <c r="BT161" s="33">
        <f>BS161-'11-2025'!$V161</f>
        <v>24.41175000000003</v>
      </c>
      <c r="BU161" s="32">
        <f>IFERROR(+'11-2025'!$W161+AL161+AM161+BJ161-'11-2025'!$AJ161-BT161+AN161+AO161,"")-AL161+AP161+AQ161</f>
        <v>4907.2057500000001</v>
      </c>
      <c r="BV161" s="36"/>
      <c r="BW161" s="37"/>
      <c r="BX161" s="37">
        <f t="shared" si="34"/>
        <v>4907.2057500000001</v>
      </c>
      <c r="BY161" s="37"/>
    </row>
    <row r="162" spans="1:77" x14ac:dyDescent="0.25">
      <c r="A162" s="43">
        <v>758</v>
      </c>
      <c r="B162" s="22" t="s">
        <v>273</v>
      </c>
      <c r="C162" s="22" t="s">
        <v>71</v>
      </c>
      <c r="D162" s="22" t="s">
        <v>72</v>
      </c>
      <c r="E162" s="22" t="s">
        <v>60</v>
      </c>
      <c r="F162" s="22" t="s">
        <v>139</v>
      </c>
      <c r="G162" s="23">
        <v>45942</v>
      </c>
      <c r="H162" s="60"/>
      <c r="I162" s="24" t="s">
        <v>269</v>
      </c>
      <c r="J162" s="25">
        <v>1</v>
      </c>
      <c r="K162" s="25">
        <v>4500</v>
      </c>
      <c r="L162" s="25"/>
      <c r="M162" s="26"/>
      <c r="N162" s="25">
        <f>SUM('11-2025'!$K162:$M162)</f>
        <v>4500</v>
      </c>
      <c r="O162" s="25"/>
      <c r="P162" s="25">
        <f t="shared" si="27"/>
        <v>0</v>
      </c>
      <c r="Q162" s="25">
        <f t="shared" si="28"/>
        <v>0</v>
      </c>
      <c r="R162" s="25">
        <v>1666.6666666666667</v>
      </c>
      <c r="S162" s="27">
        <f t="shared" si="29"/>
        <v>2833.333333333333</v>
      </c>
      <c r="T162" s="25">
        <f t="shared" si="30"/>
        <v>34000</v>
      </c>
      <c r="U162" s="25">
        <f>IF(T162&lt;=40000,0,
IF(T162&lt;=55000,(T162-40000)*10%,
IF(T162&lt;=70000,(T162-55000)*15%+1500,
IF(T162&lt;=200000,(T162-70000)*20%+1500+2250,
IF(T162&lt;=400000,(T162-200000)*22.5%+1500+2250+26000,
IF(T162&lt;=600000,(T162-400000)*25%+1500+2250+26000+45000,
IF(AND(T162&gt;600000,T162&lt;=1200000),(T162-400000)*25%+1500+2250+26000+45000
+IFERROR(LOOKUP(T162,{600001;700001;800001;900001},{4000;6750;10250;15250}),0),IF(T162&gt;1200000,((T162-1200000)*27.5%)+300000,0)
)))))))</f>
        <v>0</v>
      </c>
      <c r="V162" s="25">
        <f t="shared" si="31"/>
        <v>0</v>
      </c>
      <c r="W162" s="28">
        <f>+'11-2025'!$S162-'11-2025'!$V162+'11-2025'!$R162</f>
        <v>4500</v>
      </c>
      <c r="X162" s="28">
        <f t="shared" si="32"/>
        <v>150</v>
      </c>
      <c r="Y162" s="29">
        <v>0</v>
      </c>
      <c r="Z162" s="29">
        <f>IFERROR(+'11-2025'!$X162*'11-2025'!$Y162,"")</f>
        <v>0</v>
      </c>
      <c r="AA162" s="29">
        <v>0</v>
      </c>
      <c r="AB162" s="29">
        <f>IFERROR(+'11-2025'!$X162*'11-2025'!$AA162,"")</f>
        <v>0</v>
      </c>
      <c r="AC162" s="29">
        <v>1</v>
      </c>
      <c r="AD162" s="29">
        <f>IFERROR(+'11-2025'!$X162*'11-2025'!$AC162,"")</f>
        <v>150</v>
      </c>
      <c r="AE162" s="29">
        <v>0</v>
      </c>
      <c r="AF162" s="29">
        <f>IFERROR(+'11-2025'!$X162*'11-2025'!$AE162,"")</f>
        <v>0</v>
      </c>
      <c r="AG162" s="29">
        <v>2</v>
      </c>
      <c r="AH162" s="29">
        <f>IFERROR(+'11-2025'!$X162*'11-2025'!$AG162,"")</f>
        <v>300</v>
      </c>
      <c r="AI162" s="29">
        <v>0</v>
      </c>
      <c r="AJ162" s="29">
        <f>IFERROR('11-2025'!$Z162+'11-2025'!$AB162+'11-2025'!$AD162+'11-2025'!$AF162+'11-2025'!$AH162+'11-2025'!$AI162,"")</f>
        <v>450</v>
      </c>
      <c r="AK162" s="30">
        <f>IFERROR('11-2025'!$W162-'11-2025'!$AJ162,"")</f>
        <v>4050</v>
      </c>
      <c r="AL162" s="31"/>
      <c r="AM162" s="31"/>
      <c r="AN162" s="31"/>
      <c r="AO162" s="31">
        <v>0</v>
      </c>
      <c r="AP162" s="31"/>
      <c r="AQ162" s="31"/>
      <c r="AR162" s="31">
        <v>0</v>
      </c>
      <c r="AS162" s="31">
        <v>0</v>
      </c>
      <c r="AT162" s="31">
        <v>0</v>
      </c>
      <c r="AU162" s="31">
        <v>0</v>
      </c>
      <c r="AV162" s="31">
        <v>0</v>
      </c>
      <c r="AW162" s="31">
        <v>0</v>
      </c>
      <c r="AX162" s="31">
        <v>0</v>
      </c>
      <c r="AY162" s="31">
        <v>0</v>
      </c>
      <c r="AZ162" s="31">
        <v>0</v>
      </c>
      <c r="BA162" s="31">
        <v>0</v>
      </c>
      <c r="BB162" s="31">
        <v>0</v>
      </c>
      <c r="BC162" s="31">
        <v>0</v>
      </c>
      <c r="BD162" s="31">
        <v>0</v>
      </c>
      <c r="BE162" s="31">
        <v>0</v>
      </c>
      <c r="BF162" s="31">
        <v>0</v>
      </c>
      <c r="BG162" s="31">
        <v>2781.7372999999998</v>
      </c>
      <c r="BH162" s="31">
        <v>0</v>
      </c>
      <c r="BI162" s="31">
        <v>0</v>
      </c>
      <c r="BJ162" s="32">
        <f t="shared" si="35"/>
        <v>2781.7372999999998</v>
      </c>
      <c r="BK162" s="41">
        <f>BJ162+AM162+AL162+'11-2025'!$N162+AN162+AO162</f>
        <v>7281.7372999999998</v>
      </c>
      <c r="BL162" s="34">
        <f>'11-2025'!$O162</f>
        <v>0</v>
      </c>
      <c r="BM162" s="34">
        <f t="shared" si="24"/>
        <v>0</v>
      </c>
      <c r="BN162" s="34">
        <f t="shared" si="25"/>
        <v>0</v>
      </c>
      <c r="BO162" s="34">
        <f t="shared" si="33"/>
        <v>1666.6666666666667</v>
      </c>
      <c r="BP162" s="35">
        <f t="shared" si="26"/>
        <v>5615.0706333333328</v>
      </c>
      <c r="BQ162" s="34">
        <f>IFERROR(BP162/'11-2025'!$J162,0)*12</f>
        <v>67380.847599999994</v>
      </c>
      <c r="BR162" s="34">
        <f>IF(BQ162&lt;=40000,0,
IF(BQ162&lt;=55000,(BQ162-40000)*10%,
IF(BQ162&lt;=70000,(BQ162-55000)*15%+1500,
IF(BQ162&lt;=200000,(BQ162-70000)*20%+1500+2250,
IF(BQ162&lt;=400000,(BQ162-200000)*22.5%+1500+2250+26000,
IF(BQ162&lt;=600000,(BQ162-400000)*25%+1500+2250+26000+45000,
IF(AND(BQ162&gt;600000,BQ162&lt;=1200000),(BQ162-400000)*25%+1500+2250+26000+45000
+IFERROR(LOOKUP(BQ162,{600001;700001;800001;900001},{4000;6750;10250;15250}),0),IF(BQ162&gt;1200000,((BQ162-1200000)*27.5%)+300000,0)
)))))))</f>
        <v>3357.1271399999987</v>
      </c>
      <c r="BS162" s="32">
        <f>(BR162/12*'11-2025'!$J162)</f>
        <v>279.76059499999991</v>
      </c>
      <c r="BT162" s="33">
        <f>BS162-'11-2025'!$V162</f>
        <v>279.76059499999991</v>
      </c>
      <c r="BU162" s="32">
        <f>IFERROR(+'11-2025'!$W162+AL162+AM162+BJ162-'11-2025'!$AJ162-BT162+AN162+AO162,"")-AL162+AP162+AQ162</f>
        <v>6551.976705</v>
      </c>
      <c r="BV162" s="36"/>
      <c r="BW162" s="37"/>
      <c r="BX162" s="37">
        <f t="shared" si="34"/>
        <v>6551.976705</v>
      </c>
      <c r="BY162" s="37"/>
    </row>
    <row r="163" spans="1:77" x14ac:dyDescent="0.25">
      <c r="A163" s="43">
        <v>759</v>
      </c>
      <c r="B163" s="22" t="s">
        <v>274</v>
      </c>
      <c r="C163" s="22" t="s">
        <v>71</v>
      </c>
      <c r="D163" s="22" t="s">
        <v>77</v>
      </c>
      <c r="E163" s="22" t="s">
        <v>115</v>
      </c>
      <c r="F163" s="22" t="s">
        <v>135</v>
      </c>
      <c r="G163" s="23">
        <v>45922</v>
      </c>
      <c r="H163" s="60"/>
      <c r="I163" s="24" t="s">
        <v>269</v>
      </c>
      <c r="J163" s="25">
        <v>1</v>
      </c>
      <c r="K163" s="25">
        <v>5000</v>
      </c>
      <c r="L163" s="25"/>
      <c r="M163" s="26"/>
      <c r="N163" s="25">
        <f>SUM('11-2025'!$K163:$M163)</f>
        <v>5000</v>
      </c>
      <c r="O163" s="25"/>
      <c r="P163" s="25">
        <f t="shared" si="27"/>
        <v>0</v>
      </c>
      <c r="Q163" s="25">
        <f t="shared" si="28"/>
        <v>0</v>
      </c>
      <c r="R163" s="25">
        <v>1666.6666666666667</v>
      </c>
      <c r="S163" s="27">
        <f t="shared" si="29"/>
        <v>3333.333333333333</v>
      </c>
      <c r="T163" s="25">
        <f t="shared" si="30"/>
        <v>40000</v>
      </c>
      <c r="U163" s="25">
        <f>IF(T163&lt;=40000,0,
IF(T163&lt;=55000,(T163-40000)*10%,
IF(T163&lt;=70000,(T163-55000)*15%+1500,
IF(T163&lt;=200000,(T163-70000)*20%+1500+2250,
IF(T163&lt;=400000,(T163-200000)*22.5%+1500+2250+26000,
IF(T163&lt;=600000,(T163-400000)*25%+1500+2250+26000+45000,
IF(AND(T163&gt;600000,T163&lt;=1200000),(T163-400000)*25%+1500+2250+26000+45000
+IFERROR(LOOKUP(T163,{600001;700001;800001;900001},{4000;6750;10250;15250}),0),IF(T163&gt;1200000,((T163-1200000)*27.5%)+300000,0)
)))))))</f>
        <v>0</v>
      </c>
      <c r="V163" s="25">
        <f t="shared" si="31"/>
        <v>0</v>
      </c>
      <c r="W163" s="28">
        <f>+'11-2025'!$S163-'11-2025'!$V163+'11-2025'!$R163</f>
        <v>5000</v>
      </c>
      <c r="X163" s="28">
        <f t="shared" si="32"/>
        <v>166.66666666666666</v>
      </c>
      <c r="Y163" s="29">
        <v>0</v>
      </c>
      <c r="Z163" s="29">
        <f>IFERROR(+'11-2025'!$X163*'11-2025'!$Y163,"")</f>
        <v>0</v>
      </c>
      <c r="AA163" s="29">
        <v>0</v>
      </c>
      <c r="AB163" s="29">
        <f>IFERROR(+'11-2025'!$X163*'11-2025'!$AA163,"")</f>
        <v>0</v>
      </c>
      <c r="AC163" s="29">
        <v>1</v>
      </c>
      <c r="AD163" s="29">
        <f>IFERROR(+'11-2025'!$X163*'11-2025'!$AC163,"")</f>
        <v>166.66666666666666</v>
      </c>
      <c r="AE163" s="29">
        <v>0</v>
      </c>
      <c r="AF163" s="29">
        <f>IFERROR(+'11-2025'!$X163*'11-2025'!$AE163,"")</f>
        <v>0</v>
      </c>
      <c r="AG163" s="29">
        <v>0</v>
      </c>
      <c r="AH163" s="29">
        <f>IFERROR(+'11-2025'!$X163*'11-2025'!$AG163,"")</f>
        <v>0</v>
      </c>
      <c r="AI163" s="29">
        <v>0</v>
      </c>
      <c r="AJ163" s="29">
        <f>IFERROR('11-2025'!$Z163+'11-2025'!$AB163+'11-2025'!$AD163+'11-2025'!$AF163+'11-2025'!$AH163+'11-2025'!$AI163,"")</f>
        <v>166.66666666666666</v>
      </c>
      <c r="AK163" s="30">
        <f>IFERROR('11-2025'!$W163-'11-2025'!$AJ163,"")</f>
        <v>4833.333333333333</v>
      </c>
      <c r="AL163" s="31"/>
      <c r="AM163" s="31"/>
      <c r="AN163" s="31"/>
      <c r="AO163" s="31">
        <v>1080</v>
      </c>
      <c r="AP163" s="31"/>
      <c r="AQ163" s="31"/>
      <c r="AR163" s="31">
        <v>0</v>
      </c>
      <c r="AS163" s="31">
        <v>0</v>
      </c>
      <c r="AT163" s="31">
        <v>0</v>
      </c>
      <c r="AU163" s="31">
        <v>0</v>
      </c>
      <c r="AV163" s="31">
        <v>0</v>
      </c>
      <c r="AW163" s="31">
        <v>0</v>
      </c>
      <c r="AX163" s="31">
        <v>0</v>
      </c>
      <c r="AY163" s="31">
        <v>0</v>
      </c>
      <c r="AZ163" s="31">
        <v>0</v>
      </c>
      <c r="BA163" s="31">
        <v>0</v>
      </c>
      <c r="BB163" s="31">
        <v>0</v>
      </c>
      <c r="BC163" s="31">
        <v>0</v>
      </c>
      <c r="BD163" s="31">
        <v>0</v>
      </c>
      <c r="BE163" s="31">
        <v>0</v>
      </c>
      <c r="BF163" s="31">
        <v>0</v>
      </c>
      <c r="BG163" s="31">
        <v>0</v>
      </c>
      <c r="BH163" s="31">
        <v>0</v>
      </c>
      <c r="BI163" s="31">
        <v>0</v>
      </c>
      <c r="BJ163" s="32">
        <f t="shared" si="35"/>
        <v>0</v>
      </c>
      <c r="BK163" s="41">
        <f>BJ163+AM163+AL163+'11-2025'!$N163+AN163+AO163</f>
        <v>6080</v>
      </c>
      <c r="BL163" s="34">
        <f>'11-2025'!$O163</f>
        <v>0</v>
      </c>
      <c r="BM163" s="34">
        <f t="shared" si="24"/>
        <v>0</v>
      </c>
      <c r="BN163" s="34">
        <f t="shared" si="25"/>
        <v>0</v>
      </c>
      <c r="BO163" s="34">
        <f t="shared" si="33"/>
        <v>1666.6666666666667</v>
      </c>
      <c r="BP163" s="35">
        <f t="shared" si="26"/>
        <v>4413.333333333333</v>
      </c>
      <c r="BQ163" s="34">
        <f>IFERROR(BP163/'11-2025'!$J163,0)*12</f>
        <v>52960</v>
      </c>
      <c r="BR163" s="34">
        <f>IF(BQ163&lt;=40000,0,
IF(BQ163&lt;=55000,(BQ163-40000)*10%,
IF(BQ163&lt;=70000,(BQ163-55000)*15%+1500,
IF(BQ163&lt;=200000,(BQ163-70000)*20%+1500+2250,
IF(BQ163&lt;=400000,(BQ163-200000)*22.5%+1500+2250+26000,
IF(BQ163&lt;=600000,(BQ163-400000)*25%+1500+2250+26000+45000,
IF(AND(BQ163&gt;600000,BQ163&lt;=1200000),(BQ163-400000)*25%+1500+2250+26000+45000
+IFERROR(LOOKUP(BQ163,{600001;700001;800001;900001},{4000;6750;10250;15250}),0),IF(BQ163&gt;1200000,((BQ163-1200000)*27.5%)+300000,0)
)))))))</f>
        <v>1296</v>
      </c>
      <c r="BS163" s="32">
        <f>(BR163/12*'11-2025'!$J163)</f>
        <v>108</v>
      </c>
      <c r="BT163" s="33">
        <v>0</v>
      </c>
      <c r="BU163" s="32">
        <f>IFERROR(+'11-2025'!$W163+AL163+AM163+BJ163-'11-2025'!$AJ163-BT163+AN163+AO163,"")-AL163+AP163+AQ163</f>
        <v>5913.333333333333</v>
      </c>
      <c r="BV163" s="36"/>
      <c r="BW163" s="37"/>
      <c r="BX163" s="37">
        <f t="shared" si="34"/>
        <v>5913.333333333333</v>
      </c>
      <c r="BY163" s="37"/>
    </row>
    <row r="164" spans="1:77" x14ac:dyDescent="0.25">
      <c r="A164" s="43">
        <v>760</v>
      </c>
      <c r="B164" s="22" t="s">
        <v>275</v>
      </c>
      <c r="C164" s="22" t="s">
        <v>106</v>
      </c>
      <c r="D164" s="22" t="s">
        <v>72</v>
      </c>
      <c r="E164" s="22" t="s">
        <v>149</v>
      </c>
      <c r="F164" s="22" t="s">
        <v>139</v>
      </c>
      <c r="G164" s="23">
        <v>45922</v>
      </c>
      <c r="H164" s="22"/>
      <c r="I164" s="24" t="s">
        <v>269</v>
      </c>
      <c r="J164" s="25">
        <v>1</v>
      </c>
      <c r="K164" s="25">
        <v>3000</v>
      </c>
      <c r="L164" s="25"/>
      <c r="M164" s="26"/>
      <c r="N164" s="25">
        <f>SUM('11-2025'!$K164:$M164)</f>
        <v>3000</v>
      </c>
      <c r="O164" s="25"/>
      <c r="P164" s="25">
        <f t="shared" si="27"/>
        <v>0</v>
      </c>
      <c r="Q164" s="25">
        <f t="shared" si="28"/>
        <v>0</v>
      </c>
      <c r="R164" s="25">
        <v>1666.6666666666667</v>
      </c>
      <c r="S164" s="27">
        <f t="shared" si="29"/>
        <v>1333.3333333333333</v>
      </c>
      <c r="T164" s="25">
        <f t="shared" si="30"/>
        <v>16000</v>
      </c>
      <c r="U164" s="25">
        <f>IF(T164&lt;=40000,0,
IF(T164&lt;=55000,(T164-40000)*10%,
IF(T164&lt;=70000,(T164-55000)*15%+1500,
IF(T164&lt;=200000,(T164-70000)*20%+1500+2250,
IF(T164&lt;=400000,(T164-200000)*22.5%+1500+2250+26000,
IF(T164&lt;=600000,(T164-400000)*25%+1500+2250+26000+45000,
IF(AND(T164&gt;600000,T164&lt;=1200000),(T164-400000)*25%+1500+2250+26000+45000
+IFERROR(LOOKUP(T164,{600001;700001;800001;900001},{4000;6750;10250;15250}),0),IF(T164&gt;1200000,((T164-1200000)*27.5%)+300000,0)
)))))))</f>
        <v>0</v>
      </c>
      <c r="V164" s="25">
        <f t="shared" si="31"/>
        <v>0</v>
      </c>
      <c r="W164" s="28">
        <f>+'11-2025'!$S164-'11-2025'!$V164+'11-2025'!$R164</f>
        <v>3000</v>
      </c>
      <c r="X164" s="28">
        <f t="shared" si="32"/>
        <v>100</v>
      </c>
      <c r="Y164" s="29">
        <v>0</v>
      </c>
      <c r="Z164" s="29">
        <f>IFERROR(+'11-2025'!$X164*'11-2025'!$Y164,"")</f>
        <v>0</v>
      </c>
      <c r="AA164" s="29">
        <v>0</v>
      </c>
      <c r="AB164" s="29">
        <f>IFERROR(+'11-2025'!$X164*'11-2025'!$AA164,"")</f>
        <v>0</v>
      </c>
      <c r="AC164" s="29">
        <v>2</v>
      </c>
      <c r="AD164" s="29">
        <f>IFERROR(+'11-2025'!$X164*'11-2025'!$AC164,"")</f>
        <v>200</v>
      </c>
      <c r="AE164" s="29">
        <v>0</v>
      </c>
      <c r="AF164" s="29">
        <f>IFERROR(+'11-2025'!$X164*'11-2025'!$AE164,"")</f>
        <v>0</v>
      </c>
      <c r="AG164" s="29">
        <v>0</v>
      </c>
      <c r="AH164" s="29">
        <f>IFERROR(+'11-2025'!$X164*'11-2025'!$AG164,"")</f>
        <v>0</v>
      </c>
      <c r="AI164" s="29">
        <v>0</v>
      </c>
      <c r="AJ164" s="29">
        <f>IFERROR('11-2025'!$Z164+'11-2025'!$AB164+'11-2025'!$AD164+'11-2025'!$AF164+'11-2025'!$AH164+'11-2025'!$AI164,"")</f>
        <v>200</v>
      </c>
      <c r="AK164" s="30">
        <f>IFERROR('11-2025'!$W164-'11-2025'!$AJ164,"")</f>
        <v>2800</v>
      </c>
      <c r="AL164" s="31"/>
      <c r="AM164" s="31"/>
      <c r="AN164" s="31"/>
      <c r="AO164" s="31">
        <v>0</v>
      </c>
      <c r="AP164" s="31"/>
      <c r="AQ164" s="31"/>
      <c r="AR164" s="31">
        <v>0</v>
      </c>
      <c r="AS164" s="31">
        <v>0</v>
      </c>
      <c r="AT164" s="31">
        <v>0</v>
      </c>
      <c r="AU164" s="31">
        <v>0</v>
      </c>
      <c r="AV164" s="31">
        <v>0</v>
      </c>
      <c r="AW164" s="31">
        <v>0</v>
      </c>
      <c r="AX164" s="31">
        <v>0</v>
      </c>
      <c r="AY164" s="31">
        <v>0</v>
      </c>
      <c r="AZ164" s="31">
        <v>0</v>
      </c>
      <c r="BA164" s="31">
        <v>0</v>
      </c>
      <c r="BB164" s="31">
        <v>0</v>
      </c>
      <c r="BC164" s="31">
        <v>0</v>
      </c>
      <c r="BD164" s="31">
        <v>0</v>
      </c>
      <c r="BE164" s="31">
        <v>0</v>
      </c>
      <c r="BF164" s="31">
        <v>0</v>
      </c>
      <c r="BG164" s="31">
        <v>0</v>
      </c>
      <c r="BH164" s="31">
        <v>248.48999999999998</v>
      </c>
      <c r="BI164" s="31">
        <v>0</v>
      </c>
      <c r="BJ164" s="32">
        <f t="shared" si="35"/>
        <v>248.48999999999998</v>
      </c>
      <c r="BK164" s="41">
        <f>BJ164+AM164+AL164+'11-2025'!$N164+AN164+AO164</f>
        <v>3248.49</v>
      </c>
      <c r="BL164" s="34">
        <f>'11-2025'!$O164</f>
        <v>0</v>
      </c>
      <c r="BM164" s="34">
        <f t="shared" si="24"/>
        <v>0</v>
      </c>
      <c r="BN164" s="34">
        <f t="shared" si="25"/>
        <v>0</v>
      </c>
      <c r="BO164" s="34">
        <f t="shared" si="33"/>
        <v>1666.6666666666667</v>
      </c>
      <c r="BP164" s="35">
        <f t="shared" si="26"/>
        <v>1581.823333333333</v>
      </c>
      <c r="BQ164" s="34">
        <f>IFERROR(BP164/'11-2025'!$J164,0)*12</f>
        <v>18981.879999999997</v>
      </c>
      <c r="BR164" s="34">
        <f>IF(BQ164&lt;=40000,0,
IF(BQ164&lt;=55000,(BQ164-40000)*10%,
IF(BQ164&lt;=70000,(BQ164-55000)*15%+1500,
IF(BQ164&lt;=200000,(BQ164-70000)*20%+1500+2250,
IF(BQ164&lt;=400000,(BQ164-200000)*22.5%+1500+2250+26000,
IF(BQ164&lt;=600000,(BQ164-400000)*25%+1500+2250+26000+45000,
IF(AND(BQ164&gt;600000,BQ164&lt;=1200000),(BQ164-400000)*25%+1500+2250+26000+45000
+IFERROR(LOOKUP(BQ164,{600001;700001;800001;900001},{4000;6750;10250;15250}),0),IF(BQ164&gt;1200000,((BQ164-1200000)*27.5%)+300000,0)
)))))))</f>
        <v>0</v>
      </c>
      <c r="BS164" s="32">
        <f>(BR164/12*'11-2025'!$J164)</f>
        <v>0</v>
      </c>
      <c r="BT164" s="33">
        <f>BS164-'11-2025'!$V164</f>
        <v>0</v>
      </c>
      <c r="BU164" s="32">
        <f>IFERROR(+'11-2025'!$W164+AL164+AM164+BJ164-'11-2025'!$AJ164-BT164+AN164+AO164,"")-AL164+AP164+AQ164</f>
        <v>3048.49</v>
      </c>
      <c r="BV164" s="36"/>
      <c r="BW164" s="37"/>
      <c r="BX164" s="37">
        <f t="shared" si="34"/>
        <v>3048.49</v>
      </c>
      <c r="BY164" s="37"/>
    </row>
    <row r="165" spans="1:77" x14ac:dyDescent="0.25">
      <c r="A165" s="43">
        <v>534</v>
      </c>
      <c r="B165" s="22" t="s">
        <v>276</v>
      </c>
      <c r="C165" s="22" t="s">
        <v>71</v>
      </c>
      <c r="D165" s="22" t="s">
        <v>72</v>
      </c>
      <c r="E165" s="22" t="s">
        <v>99</v>
      </c>
      <c r="F165" s="22" t="s">
        <v>102</v>
      </c>
      <c r="G165" s="23">
        <v>45922</v>
      </c>
      <c r="H165" s="22"/>
      <c r="I165" s="24" t="s">
        <v>269</v>
      </c>
      <c r="J165" s="25">
        <v>1</v>
      </c>
      <c r="K165" s="25">
        <v>2700</v>
      </c>
      <c r="L165" s="25"/>
      <c r="M165" s="26"/>
      <c r="N165" s="25">
        <f>SUM('11-2025'!$K165:$M165)</f>
        <v>2700</v>
      </c>
      <c r="O165" s="25"/>
      <c r="P165" s="25">
        <f t="shared" si="27"/>
        <v>0</v>
      </c>
      <c r="Q165" s="25">
        <f t="shared" si="28"/>
        <v>0</v>
      </c>
      <c r="R165" s="25">
        <v>1666.6666666666667</v>
      </c>
      <c r="S165" s="27">
        <f t="shared" si="29"/>
        <v>1033.3333333333333</v>
      </c>
      <c r="T165" s="25">
        <f t="shared" si="30"/>
        <v>12400</v>
      </c>
      <c r="U165" s="25">
        <f>IF(T165&lt;=40000,0,
IF(T165&lt;=55000,(T165-40000)*10%,
IF(T165&lt;=70000,(T165-55000)*15%+1500,
IF(T165&lt;=200000,(T165-70000)*20%+1500+2250,
IF(T165&lt;=400000,(T165-200000)*22.5%+1500+2250+26000,
IF(T165&lt;=600000,(T165-400000)*25%+1500+2250+26000+45000,
IF(AND(T165&gt;600000,T165&lt;=1200000),(T165-400000)*25%+1500+2250+26000+45000
+IFERROR(LOOKUP(T165,{600001;700001;800001;900001},{4000;6750;10250;15250}),0),IF(T165&gt;1200000,((T165-1200000)*27.5%)+300000,0)
)))))))</f>
        <v>0</v>
      </c>
      <c r="V165" s="25">
        <f t="shared" si="31"/>
        <v>0</v>
      </c>
      <c r="W165" s="28">
        <f>+'11-2025'!$S165-'11-2025'!$V165+'11-2025'!$R165</f>
        <v>2700</v>
      </c>
      <c r="X165" s="28">
        <f t="shared" si="32"/>
        <v>90</v>
      </c>
      <c r="Y165" s="29">
        <v>0</v>
      </c>
      <c r="Z165" s="29">
        <f>IFERROR(+'11-2025'!$X165*'11-2025'!$Y165,"")</f>
        <v>0</v>
      </c>
      <c r="AA165" s="29">
        <v>5</v>
      </c>
      <c r="AB165" s="29">
        <f>IFERROR(+'11-2025'!$X165*'11-2025'!$AA165,"")</f>
        <v>450</v>
      </c>
      <c r="AC165" s="29">
        <v>0</v>
      </c>
      <c r="AD165" s="29">
        <f>IFERROR(+'11-2025'!$X165*'11-2025'!$AC165,"")</f>
        <v>0</v>
      </c>
      <c r="AE165" s="29">
        <v>0</v>
      </c>
      <c r="AF165" s="29">
        <f>IFERROR(+'11-2025'!$X165*'11-2025'!$AE165,"")</f>
        <v>0</v>
      </c>
      <c r="AG165" s="29">
        <v>0</v>
      </c>
      <c r="AH165" s="29">
        <f>IFERROR(+'11-2025'!$X165*'11-2025'!$AG165,"")</f>
        <v>0</v>
      </c>
      <c r="AI165" s="29">
        <v>0</v>
      </c>
      <c r="AJ165" s="29">
        <f>IFERROR('11-2025'!$Z165+'11-2025'!$AB165+'11-2025'!$AD165+'11-2025'!$AF165+'11-2025'!$AH165+'11-2025'!$AI165,"")</f>
        <v>450</v>
      </c>
      <c r="AK165" s="30">
        <f>IFERROR('11-2025'!$W165-'11-2025'!$AJ165,"")</f>
        <v>2250</v>
      </c>
      <c r="AL165" s="31"/>
      <c r="AM165" s="31"/>
      <c r="AN165" s="31"/>
      <c r="AO165" s="31">
        <v>0</v>
      </c>
      <c r="AP165" s="31"/>
      <c r="AQ165" s="31"/>
      <c r="AR165" s="31">
        <v>0</v>
      </c>
      <c r="AS165" s="31">
        <v>1933.93</v>
      </c>
      <c r="AT165" s="31">
        <v>0</v>
      </c>
      <c r="AU165" s="31">
        <v>0</v>
      </c>
      <c r="AV165" s="31">
        <v>0</v>
      </c>
      <c r="AW165" s="31">
        <v>0</v>
      </c>
      <c r="AX165" s="31">
        <v>0</v>
      </c>
      <c r="AY165" s="31">
        <v>0</v>
      </c>
      <c r="AZ165" s="31">
        <v>0</v>
      </c>
      <c r="BA165" s="31">
        <v>0</v>
      </c>
      <c r="BB165" s="31">
        <v>0</v>
      </c>
      <c r="BC165" s="31">
        <v>0</v>
      </c>
      <c r="BD165" s="31">
        <v>0</v>
      </c>
      <c r="BE165" s="31">
        <v>0</v>
      </c>
      <c r="BF165" s="31">
        <v>0</v>
      </c>
      <c r="BG165" s="31">
        <v>0</v>
      </c>
      <c r="BH165" s="31">
        <v>0</v>
      </c>
      <c r="BI165" s="31">
        <v>0</v>
      </c>
      <c r="BJ165" s="32">
        <f t="shared" si="35"/>
        <v>1933.93</v>
      </c>
      <c r="BK165" s="41">
        <f>BJ165+AM165+AL165+'11-2025'!$N165+AN165+AO165</f>
        <v>4633.93</v>
      </c>
      <c r="BL165" s="34">
        <f>'11-2025'!$O165</f>
        <v>0</v>
      </c>
      <c r="BM165" s="34">
        <f t="shared" si="24"/>
        <v>0</v>
      </c>
      <c r="BN165" s="34">
        <f t="shared" si="25"/>
        <v>0</v>
      </c>
      <c r="BO165" s="34">
        <f t="shared" si="33"/>
        <v>1666.6666666666667</v>
      </c>
      <c r="BP165" s="35">
        <f t="shared" si="26"/>
        <v>2967.2633333333333</v>
      </c>
      <c r="BQ165" s="34">
        <f>IFERROR(BP165/'11-2025'!$J165,0)*12</f>
        <v>35607.160000000003</v>
      </c>
      <c r="BR165" s="34">
        <f>IF(BQ165&lt;=40000,0,
IF(BQ165&lt;=55000,(BQ165-40000)*10%,
IF(BQ165&lt;=70000,(BQ165-55000)*15%+1500,
IF(BQ165&lt;=200000,(BQ165-70000)*20%+1500+2250,
IF(BQ165&lt;=400000,(BQ165-200000)*22.5%+1500+2250+26000,
IF(BQ165&lt;=600000,(BQ165-400000)*25%+1500+2250+26000+45000,
IF(AND(BQ165&gt;600000,BQ165&lt;=1200000),(BQ165-400000)*25%+1500+2250+26000+45000
+IFERROR(LOOKUP(BQ165,{600001;700001;800001;900001},{4000;6750;10250;15250}),0),IF(BQ165&gt;1200000,((BQ165-1200000)*27.5%)+300000,0)
)))))))</f>
        <v>0</v>
      </c>
      <c r="BS165" s="32">
        <f>(BR165/12*'11-2025'!$J165)</f>
        <v>0</v>
      </c>
      <c r="BT165" s="33">
        <f>BS165-'11-2025'!$V165</f>
        <v>0</v>
      </c>
      <c r="BU165" s="32">
        <f>IFERROR(+'11-2025'!$W165+AL165+AM165+BJ165-'11-2025'!$AJ165-BT165+AN165+AO165,"")-AL165+AP165+AQ165</f>
        <v>4183.93</v>
      </c>
      <c r="BV165" s="36"/>
      <c r="BW165" s="37"/>
      <c r="BX165" s="37">
        <f t="shared" si="34"/>
        <v>4183.93</v>
      </c>
      <c r="BY165" s="37"/>
    </row>
    <row r="166" spans="1:77" x14ac:dyDescent="0.25">
      <c r="A166" s="44">
        <v>556</v>
      </c>
      <c r="B166" s="22" t="s">
        <v>277</v>
      </c>
      <c r="C166" s="22" t="s">
        <v>81</v>
      </c>
      <c r="D166" s="22" t="s">
        <v>72</v>
      </c>
      <c r="E166" s="22" t="s">
        <v>93</v>
      </c>
      <c r="F166" s="22" t="s">
        <v>102</v>
      </c>
      <c r="G166" s="23">
        <v>45936</v>
      </c>
      <c r="H166" s="23">
        <v>45962</v>
      </c>
      <c r="I166" s="24" t="s">
        <v>269</v>
      </c>
      <c r="J166" s="25">
        <v>1</v>
      </c>
      <c r="K166" s="25">
        <v>2500</v>
      </c>
      <c r="L166" s="25"/>
      <c r="M166" s="26"/>
      <c r="N166" s="25">
        <f>SUM('11-2025'!$K166:$M166)</f>
        <v>2500</v>
      </c>
      <c r="O166" s="25"/>
      <c r="P166" s="25">
        <f t="shared" si="27"/>
        <v>0</v>
      </c>
      <c r="Q166" s="25">
        <f t="shared" si="28"/>
        <v>0</v>
      </c>
      <c r="R166" s="25">
        <v>1666.6666666666667</v>
      </c>
      <c r="S166" s="27">
        <f t="shared" si="29"/>
        <v>833.33333333333326</v>
      </c>
      <c r="T166" s="25">
        <f t="shared" si="30"/>
        <v>10000</v>
      </c>
      <c r="U166" s="25">
        <f>IF(T166&lt;=40000,0,
IF(T166&lt;=55000,(T166-40000)*10%,
IF(T166&lt;=70000,(T166-55000)*15%+1500,
IF(T166&lt;=200000,(T166-70000)*20%+1500+2250,
IF(T166&lt;=400000,(T166-200000)*22.5%+1500+2250+26000,
IF(T166&lt;=600000,(T166-400000)*25%+1500+2250+26000+45000,
IF(AND(T166&gt;600000,T166&lt;=1200000),(T166-400000)*25%+1500+2250+26000+45000
+IFERROR(LOOKUP(T166,{600001;700001;800001;900001},{4000;6750;10250;15250}),0),IF(T166&gt;1200000,((T166-1200000)*27.5%)+300000,0)
)))))))</f>
        <v>0</v>
      </c>
      <c r="V166" s="25">
        <f t="shared" si="31"/>
        <v>0</v>
      </c>
      <c r="W166" s="28">
        <f>+'11-2025'!$S166-'11-2025'!$V166+'11-2025'!$R166</f>
        <v>2500</v>
      </c>
      <c r="X166" s="28">
        <f t="shared" si="32"/>
        <v>83.333333333333329</v>
      </c>
      <c r="Y166" s="29"/>
      <c r="Z166" s="29">
        <f>IFERROR(+'11-2025'!$X166*'11-2025'!$Y166,"")</f>
        <v>0</v>
      </c>
      <c r="AA166" s="29">
        <v>2</v>
      </c>
      <c r="AB166" s="29">
        <f>IFERROR(+'11-2025'!$X166*'11-2025'!$AA166,"")</f>
        <v>166.66666666666666</v>
      </c>
      <c r="AC166" s="29">
        <v>22</v>
      </c>
      <c r="AD166" s="29">
        <f>IFERROR(+'11-2025'!$X166*'11-2025'!$AC166,"")</f>
        <v>1833.3333333333333</v>
      </c>
      <c r="AE166" s="29">
        <v>4</v>
      </c>
      <c r="AF166" s="29">
        <f>IFERROR(+'11-2025'!$X166*'11-2025'!$AE166,"")</f>
        <v>333.33333333333331</v>
      </c>
      <c r="AG166" s="29"/>
      <c r="AH166" s="29">
        <f>IFERROR(+'11-2025'!$X166*'11-2025'!$AG166,"")</f>
        <v>0</v>
      </c>
      <c r="AI166" s="29">
        <v>0</v>
      </c>
      <c r="AJ166" s="29">
        <f>IFERROR('11-2025'!$Z166+'11-2025'!$AB166+'11-2025'!$AD166+'11-2025'!$AF166+'11-2025'!$AH166+'11-2025'!$AI166,"")</f>
        <v>2333.3333333333335</v>
      </c>
      <c r="AK166" s="30">
        <f>IFERROR('11-2025'!$W166-'11-2025'!$AJ166,"")</f>
        <v>166.66666666666652</v>
      </c>
      <c r="AL166" s="31"/>
      <c r="AM166" s="31"/>
      <c r="AN166" s="31"/>
      <c r="AO166" s="31"/>
      <c r="AP166" s="31"/>
      <c r="AQ166" s="31"/>
      <c r="AR166" s="31">
        <v>0</v>
      </c>
      <c r="AS166" s="31">
        <v>0</v>
      </c>
      <c r="AT166" s="31">
        <v>0</v>
      </c>
      <c r="AU166" s="31">
        <v>0</v>
      </c>
      <c r="AV166" s="31">
        <v>0</v>
      </c>
      <c r="AW166" s="31">
        <v>0</v>
      </c>
      <c r="AX166" s="31">
        <v>0</v>
      </c>
      <c r="AY166" s="31">
        <v>0</v>
      </c>
      <c r="AZ166" s="31">
        <v>0</v>
      </c>
      <c r="BA166" s="31">
        <v>0</v>
      </c>
      <c r="BB166" s="31">
        <v>0</v>
      </c>
      <c r="BC166" s="31">
        <v>0</v>
      </c>
      <c r="BD166" s="31">
        <v>0</v>
      </c>
      <c r="BE166" s="31">
        <v>0</v>
      </c>
      <c r="BF166" s="31">
        <v>0</v>
      </c>
      <c r="BG166" s="31">
        <v>0</v>
      </c>
      <c r="BH166" s="31">
        <v>0</v>
      </c>
      <c r="BI166" s="31">
        <v>0</v>
      </c>
      <c r="BJ166" s="32">
        <f t="shared" si="35"/>
        <v>0</v>
      </c>
      <c r="BK166" s="41">
        <f>BJ166+AM166+AL166+'11-2025'!$N166+AN166+AO166</f>
        <v>2500</v>
      </c>
      <c r="BL166" s="34">
        <f>'11-2025'!$O166</f>
        <v>0</v>
      </c>
      <c r="BM166" s="34">
        <f t="shared" si="24"/>
        <v>0</v>
      </c>
      <c r="BN166" s="34">
        <f t="shared" si="25"/>
        <v>0</v>
      </c>
      <c r="BO166" s="34">
        <f t="shared" si="33"/>
        <v>1666.6666666666667</v>
      </c>
      <c r="BP166" s="35">
        <f t="shared" si="26"/>
        <v>833.33333333333326</v>
      </c>
      <c r="BQ166" s="34">
        <f>IFERROR(BP166/'11-2025'!$J166,0)*12</f>
        <v>10000</v>
      </c>
      <c r="BR166" s="34">
        <f>IF(BQ166&lt;=40000,0,
IF(BQ166&lt;=55000,(BQ166-40000)*10%,
IF(BQ166&lt;=70000,(BQ166-55000)*15%+1500,
IF(BQ166&lt;=200000,(BQ166-70000)*20%+1500+2250,
IF(BQ166&lt;=400000,(BQ166-200000)*22.5%+1500+2250+26000,
IF(BQ166&lt;=600000,(BQ166-400000)*25%+1500+2250+26000+45000,
IF(AND(BQ166&gt;600000,BQ166&lt;=1200000),(BQ166-400000)*25%+1500+2250+26000+45000
+IFERROR(LOOKUP(BQ166,{600001;700001;800001;900001},{4000;6750;10250;15250}),0),IF(BQ166&gt;1200000,((BQ166-1200000)*27.5%)+300000,0)
)))))))</f>
        <v>0</v>
      </c>
      <c r="BS166" s="32">
        <f>(BR166/12*'11-2025'!$J166)</f>
        <v>0</v>
      </c>
      <c r="BT166" s="33">
        <f>BS166-'11-2025'!$V166</f>
        <v>0</v>
      </c>
      <c r="BU166" s="32">
        <f>IFERROR(+'11-2025'!$W166+AL166+AM166+BJ166-'11-2025'!$AJ166-BT166+AN166+AO166,"")-AL166+AP166+AQ166</f>
        <v>166.66666666666652</v>
      </c>
      <c r="BV166" s="36"/>
      <c r="BW166" s="37"/>
      <c r="BX166" s="37">
        <f t="shared" si="34"/>
        <v>166.66666666666652</v>
      </c>
      <c r="BY166" s="37"/>
    </row>
    <row r="167" spans="1:77" x14ac:dyDescent="0.25">
      <c r="A167" s="43">
        <v>581</v>
      </c>
      <c r="B167" s="22" t="s">
        <v>278</v>
      </c>
      <c r="C167" s="22" t="s">
        <v>71</v>
      </c>
      <c r="D167" s="22" t="s">
        <v>72</v>
      </c>
      <c r="E167" s="22" t="s">
        <v>82</v>
      </c>
      <c r="F167" s="22" t="s">
        <v>102</v>
      </c>
      <c r="G167" s="23">
        <v>45845</v>
      </c>
      <c r="H167" s="22"/>
      <c r="I167" s="24" t="s">
        <v>269</v>
      </c>
      <c r="J167" s="25">
        <v>1</v>
      </c>
      <c r="K167" s="25">
        <v>2700</v>
      </c>
      <c r="L167" s="25"/>
      <c r="M167" s="26"/>
      <c r="N167" s="25">
        <f>SUM('11-2025'!$K167:$M167)</f>
        <v>2700</v>
      </c>
      <c r="O167" s="25"/>
      <c r="P167" s="25">
        <f t="shared" si="27"/>
        <v>0</v>
      </c>
      <c r="Q167" s="25">
        <f t="shared" si="28"/>
        <v>0</v>
      </c>
      <c r="R167" s="25">
        <v>1666.6666666666667</v>
      </c>
      <c r="S167" s="27">
        <f t="shared" si="29"/>
        <v>1033.3333333333333</v>
      </c>
      <c r="T167" s="25">
        <f t="shared" si="30"/>
        <v>12400</v>
      </c>
      <c r="U167" s="25">
        <f>IF(T167&lt;=40000,0,
IF(T167&lt;=55000,(T167-40000)*10%,
IF(T167&lt;=70000,(T167-55000)*15%+1500,
IF(T167&lt;=200000,(T167-70000)*20%+1500+2250,
IF(T167&lt;=400000,(T167-200000)*22.5%+1500+2250+26000,
IF(T167&lt;=600000,(T167-400000)*25%+1500+2250+26000+45000,
IF(AND(T167&gt;600000,T167&lt;=1200000),(T167-400000)*25%+1500+2250+26000+45000
+IFERROR(LOOKUP(T167,{600001;700001;800001;900001},{4000;6750;10250;15250}),0),IF(T167&gt;1200000,((T167-1200000)*27.5%)+300000,0)
)))))))</f>
        <v>0</v>
      </c>
      <c r="V167" s="25">
        <f t="shared" si="31"/>
        <v>0</v>
      </c>
      <c r="W167" s="28">
        <f>+'11-2025'!$S167-'11-2025'!$V167+'11-2025'!$R167</f>
        <v>2700</v>
      </c>
      <c r="X167" s="28">
        <f t="shared" si="32"/>
        <v>90</v>
      </c>
      <c r="Y167" s="29">
        <v>0</v>
      </c>
      <c r="Z167" s="29">
        <f>IFERROR(+'11-2025'!$X167*'11-2025'!$Y167,"")</f>
        <v>0</v>
      </c>
      <c r="AA167" s="29">
        <v>2</v>
      </c>
      <c r="AB167" s="29">
        <f>IFERROR(+'11-2025'!$X167*'11-2025'!$AA167,"")</f>
        <v>180</v>
      </c>
      <c r="AC167" s="29">
        <v>0</v>
      </c>
      <c r="AD167" s="29">
        <f>IFERROR(+'11-2025'!$X167*'11-2025'!$AC167,"")</f>
        <v>0</v>
      </c>
      <c r="AE167" s="29">
        <v>0</v>
      </c>
      <c r="AF167" s="29">
        <f>IFERROR(+'11-2025'!$X167*'11-2025'!$AE167,"")</f>
        <v>0</v>
      </c>
      <c r="AG167" s="29">
        <v>0</v>
      </c>
      <c r="AH167" s="29">
        <f>IFERROR(+'11-2025'!$X167*'11-2025'!$AG167,"")</f>
        <v>0</v>
      </c>
      <c r="AI167" s="29">
        <v>0</v>
      </c>
      <c r="AJ167" s="29">
        <f>IFERROR('11-2025'!$Z167+'11-2025'!$AB167+'11-2025'!$AD167+'11-2025'!$AF167+'11-2025'!$AH167+'11-2025'!$AI167,"")</f>
        <v>180</v>
      </c>
      <c r="AK167" s="30">
        <f>IFERROR('11-2025'!$W167-'11-2025'!$AJ167,"")</f>
        <v>2520</v>
      </c>
      <c r="AL167" s="31"/>
      <c r="AM167" s="31"/>
      <c r="AN167" s="31"/>
      <c r="AO167" s="31">
        <v>0</v>
      </c>
      <c r="AP167" s="31"/>
      <c r="AQ167" s="31"/>
      <c r="AR167" s="31">
        <v>0</v>
      </c>
      <c r="AS167" s="31">
        <v>0</v>
      </c>
      <c r="AT167" s="31">
        <v>200.15545375000002</v>
      </c>
      <c r="AU167" s="31">
        <v>171.3</v>
      </c>
      <c r="AV167" s="31">
        <v>0</v>
      </c>
      <c r="AW167" s="31">
        <v>0</v>
      </c>
      <c r="AX167" s="31">
        <v>0</v>
      </c>
      <c r="AY167" s="31">
        <v>0</v>
      </c>
      <c r="AZ167" s="31">
        <v>0</v>
      </c>
      <c r="BA167" s="31">
        <v>0</v>
      </c>
      <c r="BB167" s="31">
        <v>0</v>
      </c>
      <c r="BC167" s="31">
        <v>0</v>
      </c>
      <c r="BD167" s="31">
        <v>0</v>
      </c>
      <c r="BE167" s="31">
        <v>409.47749999999996</v>
      </c>
      <c r="BF167" s="31">
        <v>0</v>
      </c>
      <c r="BG167" s="31">
        <v>0</v>
      </c>
      <c r="BH167" s="31">
        <v>0</v>
      </c>
      <c r="BI167" s="31">
        <v>0</v>
      </c>
      <c r="BJ167" s="32">
        <f t="shared" si="35"/>
        <v>780.93295375000002</v>
      </c>
      <c r="BK167" s="41">
        <f>BJ167+AM167+AL167+'11-2025'!$N167+AN167+AO167</f>
        <v>3480.9329537499998</v>
      </c>
      <c r="BL167" s="34">
        <f>'11-2025'!$O167</f>
        <v>0</v>
      </c>
      <c r="BM167" s="34">
        <f t="shared" si="24"/>
        <v>0</v>
      </c>
      <c r="BN167" s="34">
        <f t="shared" si="25"/>
        <v>0</v>
      </c>
      <c r="BO167" s="34">
        <f t="shared" si="33"/>
        <v>1666.6666666666667</v>
      </c>
      <c r="BP167" s="35">
        <f t="shared" si="26"/>
        <v>1814.2662870833331</v>
      </c>
      <c r="BQ167" s="34">
        <f>IFERROR(BP167/'11-2025'!$J167,0)*12</f>
        <v>21771.195444999998</v>
      </c>
      <c r="BR167" s="34">
        <f>IF(BQ167&lt;=40000,0,
IF(BQ167&lt;=55000,(BQ167-40000)*10%,
IF(BQ167&lt;=70000,(BQ167-55000)*15%+1500,
IF(BQ167&lt;=200000,(BQ167-70000)*20%+1500+2250,
IF(BQ167&lt;=400000,(BQ167-200000)*22.5%+1500+2250+26000,
IF(BQ167&lt;=600000,(BQ167-400000)*25%+1500+2250+26000+45000,
IF(AND(BQ167&gt;600000,BQ167&lt;=1200000),(BQ167-400000)*25%+1500+2250+26000+45000
+IFERROR(LOOKUP(BQ167,{600001;700001;800001;900001},{4000;6750;10250;15250}),0),IF(BQ167&gt;1200000,((BQ167-1200000)*27.5%)+300000,0)
)))))))</f>
        <v>0</v>
      </c>
      <c r="BS167" s="32">
        <f>(BR167/12*'11-2025'!$J167)</f>
        <v>0</v>
      </c>
      <c r="BT167" s="33">
        <f>BS167-'11-2025'!$V167</f>
        <v>0</v>
      </c>
      <c r="BU167" s="32">
        <f>IFERROR(+'11-2025'!$W167+AL167+AM167+BJ167-'11-2025'!$AJ167-BT167+AN167+AO167,"")-AL167+AP167+AQ167</f>
        <v>3300.9329537499998</v>
      </c>
      <c r="BV167" s="36"/>
      <c r="BW167" s="37"/>
      <c r="BX167" s="37">
        <f t="shared" si="34"/>
        <v>3300.9329537499998</v>
      </c>
      <c r="BY167" s="37"/>
    </row>
    <row r="168" spans="1:77" x14ac:dyDescent="0.25">
      <c r="A168" s="43">
        <v>705</v>
      </c>
      <c r="B168" s="22" t="s">
        <v>279</v>
      </c>
      <c r="C168" s="22" t="s">
        <v>71</v>
      </c>
      <c r="D168" s="22" t="s">
        <v>72</v>
      </c>
      <c r="E168" s="22" t="s">
        <v>99</v>
      </c>
      <c r="F168" s="22" t="s">
        <v>139</v>
      </c>
      <c r="G168" s="23">
        <v>45937</v>
      </c>
      <c r="H168" s="22"/>
      <c r="I168" s="24" t="s">
        <v>269</v>
      </c>
      <c r="J168" s="25">
        <v>1</v>
      </c>
      <c r="K168" s="25">
        <v>3000</v>
      </c>
      <c r="L168" s="25"/>
      <c r="M168" s="26"/>
      <c r="N168" s="25">
        <f>SUM('11-2025'!$K168:$M168)</f>
        <v>3000</v>
      </c>
      <c r="O168" s="25"/>
      <c r="P168" s="25">
        <f t="shared" si="27"/>
        <v>0</v>
      </c>
      <c r="Q168" s="25">
        <f t="shared" si="28"/>
        <v>0</v>
      </c>
      <c r="R168" s="25">
        <v>1666.6666666666667</v>
      </c>
      <c r="S168" s="27">
        <f t="shared" si="29"/>
        <v>1333.3333333333333</v>
      </c>
      <c r="T168" s="25">
        <f t="shared" si="30"/>
        <v>16000</v>
      </c>
      <c r="U168" s="25">
        <f>IF(T168&lt;=40000,0,
IF(T168&lt;=55000,(T168-40000)*10%,
IF(T168&lt;=70000,(T168-55000)*15%+1500,
IF(T168&lt;=200000,(T168-70000)*20%+1500+2250,
IF(T168&lt;=400000,(T168-200000)*22.5%+1500+2250+26000,
IF(T168&lt;=600000,(T168-400000)*25%+1500+2250+26000+45000,
IF(AND(T168&gt;600000,T168&lt;=1200000),(T168-400000)*25%+1500+2250+26000+45000
+IFERROR(LOOKUP(T168,{600001;700001;800001;900001},{4000;6750;10250;15250}),0),IF(T168&gt;1200000,((T168-1200000)*27.5%)+300000,0)
)))))))</f>
        <v>0</v>
      </c>
      <c r="V168" s="25">
        <f t="shared" si="31"/>
        <v>0</v>
      </c>
      <c r="W168" s="28">
        <f>+'11-2025'!$S168-'11-2025'!$V168+'11-2025'!$R168</f>
        <v>3000</v>
      </c>
      <c r="X168" s="28">
        <f t="shared" si="32"/>
        <v>100</v>
      </c>
      <c r="Y168" s="29">
        <v>0</v>
      </c>
      <c r="Z168" s="29">
        <f>IFERROR(+'11-2025'!$X168*'11-2025'!$Y168,"")</f>
        <v>0</v>
      </c>
      <c r="AA168" s="29">
        <v>4</v>
      </c>
      <c r="AB168" s="29">
        <f>IFERROR(+'11-2025'!$X168*'11-2025'!$AA168,"")</f>
        <v>400</v>
      </c>
      <c r="AC168" s="29">
        <v>6</v>
      </c>
      <c r="AD168" s="29">
        <f>IFERROR(+'11-2025'!$X168*'11-2025'!$AC168,"")</f>
        <v>600</v>
      </c>
      <c r="AE168" s="29">
        <v>0</v>
      </c>
      <c r="AF168" s="29">
        <f>IFERROR(+'11-2025'!$X168*'11-2025'!$AE168,"")</f>
        <v>0</v>
      </c>
      <c r="AG168" s="29">
        <v>0</v>
      </c>
      <c r="AH168" s="29">
        <f>IFERROR(+'11-2025'!$X168*'11-2025'!$AG168,"")</f>
        <v>0</v>
      </c>
      <c r="AI168" s="29">
        <v>500</v>
      </c>
      <c r="AJ168" s="29">
        <f>IFERROR('11-2025'!$Z168+'11-2025'!$AB168+'11-2025'!$AD168+'11-2025'!$AF168+'11-2025'!$AH168+'11-2025'!$AI168,"")</f>
        <v>1500</v>
      </c>
      <c r="AK168" s="30">
        <f>IFERROR('11-2025'!$W168-'11-2025'!$AJ168,"")</f>
        <v>1500</v>
      </c>
      <c r="AL168" s="31"/>
      <c r="AM168" s="31"/>
      <c r="AN168" s="31"/>
      <c r="AO168" s="31">
        <v>0</v>
      </c>
      <c r="AP168" s="31"/>
      <c r="AQ168" s="31"/>
      <c r="AR168" s="31">
        <v>0</v>
      </c>
      <c r="AS168" s="31">
        <v>0</v>
      </c>
      <c r="AT168" s="31">
        <v>0</v>
      </c>
      <c r="AU168" s="31">
        <v>0</v>
      </c>
      <c r="AV168" s="31">
        <v>0</v>
      </c>
      <c r="AW168" s="31">
        <v>0</v>
      </c>
      <c r="AX168" s="31">
        <v>0</v>
      </c>
      <c r="AY168" s="31">
        <v>0</v>
      </c>
      <c r="AZ168" s="31">
        <v>0</v>
      </c>
      <c r="BA168" s="31">
        <v>0</v>
      </c>
      <c r="BB168" s="31">
        <v>0</v>
      </c>
      <c r="BC168" s="31">
        <v>0</v>
      </c>
      <c r="BD168" s="31">
        <v>0</v>
      </c>
      <c r="BE168" s="31">
        <v>0</v>
      </c>
      <c r="BF168" s="31">
        <v>0</v>
      </c>
      <c r="BG168" s="31">
        <v>0</v>
      </c>
      <c r="BH168" s="31">
        <v>0</v>
      </c>
      <c r="BI168" s="31">
        <v>0</v>
      </c>
      <c r="BJ168" s="32">
        <f t="shared" si="35"/>
        <v>0</v>
      </c>
      <c r="BK168" s="41">
        <f>BJ168+AM168+AL168+'11-2025'!$N168+AN168+AO168</f>
        <v>3000</v>
      </c>
      <c r="BL168" s="34">
        <f>'11-2025'!$O168</f>
        <v>0</v>
      </c>
      <c r="BM168" s="34">
        <f t="shared" si="24"/>
        <v>0</v>
      </c>
      <c r="BN168" s="34">
        <f t="shared" si="25"/>
        <v>0</v>
      </c>
      <c r="BO168" s="34">
        <f t="shared" si="33"/>
        <v>1666.6666666666667</v>
      </c>
      <c r="BP168" s="35">
        <f t="shared" si="26"/>
        <v>1333.3333333333333</v>
      </c>
      <c r="BQ168" s="34">
        <f>IFERROR(BP168/'11-2025'!$J168,0)*12</f>
        <v>16000</v>
      </c>
      <c r="BR168" s="34">
        <f>IF(BQ168&lt;=40000,0,
IF(BQ168&lt;=55000,(BQ168-40000)*10%,
IF(BQ168&lt;=70000,(BQ168-55000)*15%+1500,
IF(BQ168&lt;=200000,(BQ168-70000)*20%+1500+2250,
IF(BQ168&lt;=400000,(BQ168-200000)*22.5%+1500+2250+26000,
IF(BQ168&lt;=600000,(BQ168-400000)*25%+1500+2250+26000+45000,
IF(AND(BQ168&gt;600000,BQ168&lt;=1200000),(BQ168-400000)*25%+1500+2250+26000+45000
+IFERROR(LOOKUP(BQ168,{600001;700001;800001;900001},{4000;6750;10250;15250}),0),IF(BQ168&gt;1200000,((BQ168-1200000)*27.5%)+300000,0)
)))))))</f>
        <v>0</v>
      </c>
      <c r="BS168" s="32">
        <f>(BR168/12*'11-2025'!$J168)</f>
        <v>0</v>
      </c>
      <c r="BT168" s="33">
        <f>BS168-'11-2025'!$V168</f>
        <v>0</v>
      </c>
      <c r="BU168" s="32">
        <f>IFERROR(+'11-2025'!$W168+AL168+AM168+BJ168-'11-2025'!$AJ168-BT168+AN168+AO168,"")-AL168+AP168+AQ168</f>
        <v>1500</v>
      </c>
      <c r="BV168" s="36"/>
      <c r="BW168" s="37"/>
      <c r="BX168" s="37">
        <f t="shared" si="34"/>
        <v>1500</v>
      </c>
      <c r="BY168" s="37"/>
    </row>
    <row r="169" spans="1:77" x14ac:dyDescent="0.25">
      <c r="A169" s="43">
        <v>761</v>
      </c>
      <c r="B169" s="22" t="s">
        <v>280</v>
      </c>
      <c r="C169" s="22" t="s">
        <v>106</v>
      </c>
      <c r="D169" s="22" t="s">
        <v>72</v>
      </c>
      <c r="E169" s="22" t="s">
        <v>88</v>
      </c>
      <c r="F169" s="22" t="s">
        <v>102</v>
      </c>
      <c r="G169" s="23">
        <v>45923</v>
      </c>
      <c r="H169" s="22"/>
      <c r="I169" s="24" t="s">
        <v>269</v>
      </c>
      <c r="J169" s="25">
        <v>1</v>
      </c>
      <c r="K169" s="25">
        <v>2500</v>
      </c>
      <c r="L169" s="25"/>
      <c r="M169" s="26"/>
      <c r="N169" s="25">
        <f>SUM('11-2025'!$K169:$M169)</f>
        <v>2500</v>
      </c>
      <c r="O169" s="25"/>
      <c r="P169" s="25">
        <f t="shared" si="27"/>
        <v>0</v>
      </c>
      <c r="Q169" s="25">
        <f t="shared" si="28"/>
        <v>0</v>
      </c>
      <c r="R169" s="25">
        <v>1666.6666666666667</v>
      </c>
      <c r="S169" s="27">
        <f t="shared" si="29"/>
        <v>833.33333333333326</v>
      </c>
      <c r="T169" s="25">
        <f t="shared" si="30"/>
        <v>10000</v>
      </c>
      <c r="U169" s="25">
        <f>IF(T169&lt;=40000,0,
IF(T169&lt;=55000,(T169-40000)*10%,
IF(T169&lt;=70000,(T169-55000)*15%+1500,
IF(T169&lt;=200000,(T169-70000)*20%+1500+2250,
IF(T169&lt;=400000,(T169-200000)*22.5%+1500+2250+26000,
IF(T169&lt;=600000,(T169-400000)*25%+1500+2250+26000+45000,
IF(AND(T169&gt;600000,T169&lt;=1200000),(T169-400000)*25%+1500+2250+26000+45000
+IFERROR(LOOKUP(T169,{600001;700001;800001;900001},{4000;6750;10250;15250}),0),IF(T169&gt;1200000,((T169-1200000)*27.5%)+300000,0)
)))))))</f>
        <v>0</v>
      </c>
      <c r="V169" s="25">
        <f t="shared" si="31"/>
        <v>0</v>
      </c>
      <c r="W169" s="28">
        <f>+'11-2025'!$S169-'11-2025'!$V169+'11-2025'!$R169</f>
        <v>2500</v>
      </c>
      <c r="X169" s="28">
        <f t="shared" si="32"/>
        <v>83.333333333333329</v>
      </c>
      <c r="Y169" s="29">
        <v>0</v>
      </c>
      <c r="Z169" s="29">
        <f>IFERROR(+'11-2025'!$X169*'11-2025'!$Y169,"")</f>
        <v>0</v>
      </c>
      <c r="AA169" s="29">
        <v>0</v>
      </c>
      <c r="AB169" s="29">
        <f>IFERROR(+'11-2025'!$X169*'11-2025'!$AA169,"")</f>
        <v>0</v>
      </c>
      <c r="AC169" s="29">
        <v>0</v>
      </c>
      <c r="AD169" s="29">
        <f>IFERROR(+'11-2025'!$X169*'11-2025'!$AC169,"")</f>
        <v>0</v>
      </c>
      <c r="AE169" s="29">
        <v>0</v>
      </c>
      <c r="AF169" s="29">
        <f>IFERROR(+'11-2025'!$X169*'11-2025'!$AE169,"")</f>
        <v>0</v>
      </c>
      <c r="AG169" s="29">
        <v>0</v>
      </c>
      <c r="AH169" s="29">
        <f>IFERROR(+'11-2025'!$X169*'11-2025'!$AG169,"")</f>
        <v>0</v>
      </c>
      <c r="AI169" s="29">
        <v>0</v>
      </c>
      <c r="AJ169" s="29">
        <f>IFERROR('11-2025'!$Z169+'11-2025'!$AB169+'11-2025'!$AD169+'11-2025'!$AF169+'11-2025'!$AH169+'11-2025'!$AI169,"")</f>
        <v>0</v>
      </c>
      <c r="AK169" s="30">
        <f>IFERROR('11-2025'!$W169-'11-2025'!$AJ169,"")</f>
        <v>2500</v>
      </c>
      <c r="AL169" s="31"/>
      <c r="AM169" s="31"/>
      <c r="AN169" s="31"/>
      <c r="AO169" s="31">
        <v>0</v>
      </c>
      <c r="AP169" s="31"/>
      <c r="AQ169" s="31"/>
      <c r="AR169" s="31">
        <v>0</v>
      </c>
      <c r="AS169" s="31">
        <v>0</v>
      </c>
      <c r="AT169" s="31">
        <v>0</v>
      </c>
      <c r="AU169" s="31">
        <v>374.8072499999999</v>
      </c>
      <c r="AV169" s="31">
        <v>0</v>
      </c>
      <c r="AW169" s="31">
        <v>0</v>
      </c>
      <c r="AX169" s="31">
        <v>0</v>
      </c>
      <c r="AY169" s="31">
        <v>0</v>
      </c>
      <c r="AZ169" s="31">
        <v>0</v>
      </c>
      <c r="BA169" s="31">
        <v>0</v>
      </c>
      <c r="BB169" s="31">
        <v>0</v>
      </c>
      <c r="BC169" s="31">
        <v>0</v>
      </c>
      <c r="BD169" s="31">
        <v>0</v>
      </c>
      <c r="BE169" s="31">
        <v>0</v>
      </c>
      <c r="BF169" s="31">
        <v>0</v>
      </c>
      <c r="BG169" s="31">
        <v>0</v>
      </c>
      <c r="BH169" s="31">
        <v>0</v>
      </c>
      <c r="BI169" s="31">
        <v>0</v>
      </c>
      <c r="BJ169" s="32">
        <f t="shared" si="35"/>
        <v>374.8072499999999</v>
      </c>
      <c r="BK169" s="41">
        <f>BJ169+AM169+AL169+'11-2025'!$N169+AN169+AO169</f>
        <v>2874.8072499999998</v>
      </c>
      <c r="BL169" s="34">
        <f>'11-2025'!$O169</f>
        <v>0</v>
      </c>
      <c r="BM169" s="34">
        <f t="shared" si="24"/>
        <v>0</v>
      </c>
      <c r="BN169" s="34">
        <f t="shared" si="25"/>
        <v>0</v>
      </c>
      <c r="BO169" s="34">
        <f t="shared" si="33"/>
        <v>1666.6666666666667</v>
      </c>
      <c r="BP169" s="35">
        <f t="shared" si="26"/>
        <v>1208.1405833333331</v>
      </c>
      <c r="BQ169" s="34">
        <f>IFERROR(BP169/'11-2025'!$J169,0)*12</f>
        <v>14497.686999999998</v>
      </c>
      <c r="BR169" s="34">
        <f>IF(BQ169&lt;=40000,0,
IF(BQ169&lt;=55000,(BQ169-40000)*10%,
IF(BQ169&lt;=70000,(BQ169-55000)*15%+1500,
IF(BQ169&lt;=200000,(BQ169-70000)*20%+1500+2250,
IF(BQ169&lt;=400000,(BQ169-200000)*22.5%+1500+2250+26000,
IF(BQ169&lt;=600000,(BQ169-400000)*25%+1500+2250+26000+45000,
IF(AND(BQ169&gt;600000,BQ169&lt;=1200000),(BQ169-400000)*25%+1500+2250+26000+45000
+IFERROR(LOOKUP(BQ169,{600001;700001;800001;900001},{4000;6750;10250;15250}),0),IF(BQ169&gt;1200000,((BQ169-1200000)*27.5%)+300000,0)
)))))))</f>
        <v>0</v>
      </c>
      <c r="BS169" s="32">
        <f>(BR169/12*'11-2025'!$J169)</f>
        <v>0</v>
      </c>
      <c r="BT169" s="33">
        <f>BS169-'11-2025'!$V169</f>
        <v>0</v>
      </c>
      <c r="BU169" s="32">
        <f>IFERROR(+'11-2025'!$W169+AL169+AM169+BJ169-'11-2025'!$AJ169-BT169+AN169+AO169,"")-AL169+AP169+AQ169</f>
        <v>2874.8072499999998</v>
      </c>
      <c r="BV169" s="36"/>
      <c r="BW169" s="37"/>
      <c r="BX169" s="37">
        <f t="shared" si="34"/>
        <v>2874.8072499999998</v>
      </c>
      <c r="BY169" s="37"/>
    </row>
    <row r="170" spans="1:77" x14ac:dyDescent="0.25">
      <c r="A170" s="43">
        <v>763</v>
      </c>
      <c r="B170" s="22" t="s">
        <v>281</v>
      </c>
      <c r="C170" s="22" t="s">
        <v>81</v>
      </c>
      <c r="D170" s="22" t="s">
        <v>72</v>
      </c>
      <c r="E170" s="22" t="s">
        <v>91</v>
      </c>
      <c r="F170" s="22" t="s">
        <v>102</v>
      </c>
      <c r="G170" s="23">
        <v>45927</v>
      </c>
      <c r="H170" s="22"/>
      <c r="I170" s="24" t="s">
        <v>269</v>
      </c>
      <c r="J170" s="25">
        <v>1</v>
      </c>
      <c r="K170" s="25">
        <v>2500</v>
      </c>
      <c r="L170" s="25"/>
      <c r="M170" s="26"/>
      <c r="N170" s="25">
        <f>SUM('11-2025'!$K170:$M170)</f>
        <v>2500</v>
      </c>
      <c r="O170" s="25"/>
      <c r="P170" s="25">
        <f t="shared" si="27"/>
        <v>0</v>
      </c>
      <c r="Q170" s="25">
        <f t="shared" si="28"/>
        <v>0</v>
      </c>
      <c r="R170" s="25">
        <v>1666.6666666666667</v>
      </c>
      <c r="S170" s="27">
        <f t="shared" si="29"/>
        <v>833.33333333333326</v>
      </c>
      <c r="T170" s="25">
        <f t="shared" si="30"/>
        <v>10000</v>
      </c>
      <c r="U170" s="25">
        <f>IF(T170&lt;=40000,0,
IF(T170&lt;=55000,(T170-40000)*10%,
IF(T170&lt;=70000,(T170-55000)*15%+1500,
IF(T170&lt;=200000,(T170-70000)*20%+1500+2250,
IF(T170&lt;=400000,(T170-200000)*22.5%+1500+2250+26000,
IF(T170&lt;=600000,(T170-400000)*25%+1500+2250+26000+45000,
IF(AND(T170&gt;600000,T170&lt;=1200000),(T170-400000)*25%+1500+2250+26000+45000
+IFERROR(LOOKUP(T170,{600001;700001;800001;900001},{4000;6750;10250;15250}),0),IF(T170&gt;1200000,((T170-1200000)*27.5%)+300000,0)
)))))))</f>
        <v>0</v>
      </c>
      <c r="V170" s="25">
        <f t="shared" si="31"/>
        <v>0</v>
      </c>
      <c r="W170" s="28">
        <f>+'11-2025'!$S170-'11-2025'!$V170+'11-2025'!$R170</f>
        <v>2500</v>
      </c>
      <c r="X170" s="28">
        <f t="shared" si="32"/>
        <v>83.333333333333329</v>
      </c>
      <c r="Y170" s="29">
        <v>0</v>
      </c>
      <c r="Z170" s="29">
        <f>IFERROR(+'11-2025'!$X170*'11-2025'!$Y170,"")</f>
        <v>0</v>
      </c>
      <c r="AA170" s="29">
        <v>0</v>
      </c>
      <c r="AB170" s="29">
        <f>IFERROR(+'11-2025'!$X170*'11-2025'!$AA170,"")</f>
        <v>0</v>
      </c>
      <c r="AC170" s="29">
        <v>0</v>
      </c>
      <c r="AD170" s="29">
        <f>IFERROR(+'11-2025'!$X170*'11-2025'!$AC170,"")</f>
        <v>0</v>
      </c>
      <c r="AE170" s="29">
        <v>0</v>
      </c>
      <c r="AF170" s="29">
        <f>IFERROR(+'11-2025'!$X170*'11-2025'!$AE170,"")</f>
        <v>0</v>
      </c>
      <c r="AG170" s="29">
        <v>0</v>
      </c>
      <c r="AH170" s="29">
        <f>IFERROR(+'11-2025'!$X170*'11-2025'!$AG170,"")</f>
        <v>0</v>
      </c>
      <c r="AI170" s="29">
        <v>0</v>
      </c>
      <c r="AJ170" s="29">
        <f>IFERROR('11-2025'!$Z170+'11-2025'!$AB170+'11-2025'!$AD170+'11-2025'!$AF170+'11-2025'!$AH170+'11-2025'!$AI170,"")</f>
        <v>0</v>
      </c>
      <c r="AK170" s="30">
        <f>IFERROR('11-2025'!$W170-'11-2025'!$AJ170,"")</f>
        <v>2500</v>
      </c>
      <c r="AL170" s="31"/>
      <c r="AM170" s="31"/>
      <c r="AN170" s="31"/>
      <c r="AO170" s="31">
        <v>40</v>
      </c>
      <c r="AP170" s="31"/>
      <c r="AQ170" s="31"/>
      <c r="AR170" s="31">
        <v>0</v>
      </c>
      <c r="AS170" s="31">
        <v>0</v>
      </c>
      <c r="AT170" s="31">
        <v>0</v>
      </c>
      <c r="AU170" s="31">
        <v>0</v>
      </c>
      <c r="AV170" s="31">
        <v>315</v>
      </c>
      <c r="AW170" s="31">
        <v>0</v>
      </c>
      <c r="AX170" s="31">
        <v>0</v>
      </c>
      <c r="AY170" s="31">
        <v>0</v>
      </c>
      <c r="AZ170" s="31">
        <v>0</v>
      </c>
      <c r="BA170" s="31">
        <v>0</v>
      </c>
      <c r="BB170" s="31">
        <v>0</v>
      </c>
      <c r="BC170" s="31">
        <v>837.43499999999995</v>
      </c>
      <c r="BD170" s="31">
        <v>0</v>
      </c>
      <c r="BE170" s="31">
        <v>0</v>
      </c>
      <c r="BF170" s="31">
        <v>0</v>
      </c>
      <c r="BG170" s="31">
        <v>0</v>
      </c>
      <c r="BH170" s="31">
        <v>0</v>
      </c>
      <c r="BI170" s="31">
        <v>0</v>
      </c>
      <c r="BJ170" s="32">
        <f t="shared" si="35"/>
        <v>1152.4349999999999</v>
      </c>
      <c r="BK170" s="41">
        <f>BJ170+AM170+AL170+'11-2025'!$N170+AN170+AO170</f>
        <v>3692.4349999999999</v>
      </c>
      <c r="BL170" s="34">
        <f>'11-2025'!$O170</f>
        <v>0</v>
      </c>
      <c r="BM170" s="34">
        <f t="shared" si="24"/>
        <v>0</v>
      </c>
      <c r="BN170" s="34">
        <f t="shared" si="25"/>
        <v>0</v>
      </c>
      <c r="BO170" s="34">
        <f t="shared" si="33"/>
        <v>1666.6666666666667</v>
      </c>
      <c r="BP170" s="35">
        <f t="shared" si="26"/>
        <v>2025.7683333333332</v>
      </c>
      <c r="BQ170" s="34">
        <f>IFERROR(BP170/'11-2025'!$J170,0)*12</f>
        <v>24309.219999999998</v>
      </c>
      <c r="BR170" s="34">
        <f>IF(BQ170&lt;=40000,0,
IF(BQ170&lt;=55000,(BQ170-40000)*10%,
IF(BQ170&lt;=70000,(BQ170-55000)*15%+1500,
IF(BQ170&lt;=200000,(BQ170-70000)*20%+1500+2250,
IF(BQ170&lt;=400000,(BQ170-200000)*22.5%+1500+2250+26000,
IF(BQ170&lt;=600000,(BQ170-400000)*25%+1500+2250+26000+45000,
IF(AND(BQ170&gt;600000,BQ170&lt;=1200000),(BQ170-400000)*25%+1500+2250+26000+45000
+IFERROR(LOOKUP(BQ170,{600001;700001;800001;900001},{4000;6750;10250;15250}),0),IF(BQ170&gt;1200000,((BQ170-1200000)*27.5%)+300000,0)
)))))))</f>
        <v>0</v>
      </c>
      <c r="BS170" s="32">
        <f>(BR170/12*'11-2025'!$J170)</f>
        <v>0</v>
      </c>
      <c r="BT170" s="33">
        <f>BS170-'11-2025'!$V170</f>
        <v>0</v>
      </c>
      <c r="BU170" s="32">
        <f>IFERROR(+'11-2025'!$W170+AL170+AM170+BJ170-'11-2025'!$AJ170-BT170+AN170+AO170,"")-AL170+AP170+AQ170</f>
        <v>3692.4349999999999</v>
      </c>
      <c r="BV170" s="36"/>
      <c r="BW170" s="37"/>
      <c r="BX170" s="37">
        <f t="shared" si="34"/>
        <v>3692.4349999999999</v>
      </c>
      <c r="BY170" s="37"/>
    </row>
    <row r="171" spans="1:77" x14ac:dyDescent="0.25">
      <c r="A171" s="43">
        <v>765</v>
      </c>
      <c r="B171" s="22" t="s">
        <v>282</v>
      </c>
      <c r="C171" s="22" t="s">
        <v>81</v>
      </c>
      <c r="D171" s="22" t="s">
        <v>72</v>
      </c>
      <c r="E171" s="22" t="s">
        <v>124</v>
      </c>
      <c r="F171" s="22" t="s">
        <v>102</v>
      </c>
      <c r="G171" s="23">
        <v>45952</v>
      </c>
      <c r="H171" s="22"/>
      <c r="I171" s="24" t="s">
        <v>269</v>
      </c>
      <c r="J171" s="25">
        <v>1</v>
      </c>
      <c r="K171" s="25">
        <v>6000</v>
      </c>
      <c r="L171" s="25"/>
      <c r="M171" s="26"/>
      <c r="N171" s="25">
        <f>SUM('11-2025'!$K171:$M171)</f>
        <v>6000</v>
      </c>
      <c r="O171" s="25"/>
      <c r="P171" s="25">
        <f t="shared" si="27"/>
        <v>0</v>
      </c>
      <c r="Q171" s="25">
        <f t="shared" si="28"/>
        <v>0</v>
      </c>
      <c r="R171" s="25">
        <v>1666.6666666666667</v>
      </c>
      <c r="S171" s="27">
        <f t="shared" si="29"/>
        <v>4333.333333333333</v>
      </c>
      <c r="T171" s="25">
        <f t="shared" si="30"/>
        <v>52000</v>
      </c>
      <c r="U171" s="25">
        <f>IF(T171&lt;=40000,0,
IF(T171&lt;=55000,(T171-40000)*10%,
IF(T171&lt;=70000,(T171-55000)*15%+1500,
IF(T171&lt;=200000,(T171-70000)*20%+1500+2250,
IF(T171&lt;=400000,(T171-200000)*22.5%+1500+2250+26000,
IF(T171&lt;=600000,(T171-400000)*25%+1500+2250+26000+45000,
IF(AND(T171&gt;600000,T171&lt;=1200000),(T171-400000)*25%+1500+2250+26000+45000
+IFERROR(LOOKUP(T171,{600001;700001;800001;900001},{4000;6750;10250;15250}),0),IF(T171&gt;1200000,((T171-1200000)*27.5%)+300000,0)
)))))))</f>
        <v>1200</v>
      </c>
      <c r="V171" s="25">
        <f t="shared" si="31"/>
        <v>100</v>
      </c>
      <c r="W171" s="28">
        <f>+'11-2025'!$S171-'11-2025'!$V171+'11-2025'!$R171</f>
        <v>5900</v>
      </c>
      <c r="X171" s="28">
        <f t="shared" si="32"/>
        <v>196.66666666666666</v>
      </c>
      <c r="Y171" s="29">
        <v>0</v>
      </c>
      <c r="Z171" s="29">
        <f>IFERROR(+'11-2025'!$X171*'11-2025'!$Y171,"")</f>
        <v>0</v>
      </c>
      <c r="AA171" s="29">
        <v>0</v>
      </c>
      <c r="AB171" s="29">
        <f>IFERROR(+'11-2025'!$X171*'11-2025'!$AA171,"")</f>
        <v>0</v>
      </c>
      <c r="AC171" s="29">
        <v>0</v>
      </c>
      <c r="AD171" s="29">
        <f>IFERROR(+'11-2025'!$X171*'11-2025'!$AC171,"")</f>
        <v>0</v>
      </c>
      <c r="AE171" s="29">
        <v>0</v>
      </c>
      <c r="AF171" s="29">
        <f>IFERROR(+'11-2025'!$X171*'11-2025'!$AE171,"")</f>
        <v>0</v>
      </c>
      <c r="AG171" s="29">
        <v>0</v>
      </c>
      <c r="AH171" s="29">
        <f>IFERROR(+'11-2025'!$X171*'11-2025'!$AG171,"")</f>
        <v>0</v>
      </c>
      <c r="AI171" s="29">
        <v>0</v>
      </c>
      <c r="AJ171" s="29">
        <f>IFERROR('11-2025'!$Z171+'11-2025'!$AB171+'11-2025'!$AD171+'11-2025'!$AF171+'11-2025'!$AH171+'11-2025'!$AI171,"")</f>
        <v>0</v>
      </c>
      <c r="AK171" s="30">
        <f>IFERROR('11-2025'!$W171-'11-2025'!$AJ171,"")</f>
        <v>5900</v>
      </c>
      <c r="AL171" s="31"/>
      <c r="AM171" s="31">
        <v>733.57</v>
      </c>
      <c r="AN171" s="31"/>
      <c r="AO171" s="31">
        <v>680</v>
      </c>
      <c r="AP171" s="31"/>
      <c r="AQ171" s="31"/>
      <c r="AR171" s="31">
        <v>0</v>
      </c>
      <c r="AS171" s="31">
        <v>0</v>
      </c>
      <c r="AT171" s="31">
        <v>0</v>
      </c>
      <c r="AU171" s="31">
        <v>0</v>
      </c>
      <c r="AV171" s="31">
        <v>2200.7035499999997</v>
      </c>
      <c r="AW171" s="31">
        <v>0</v>
      </c>
      <c r="AX171" s="31">
        <v>0</v>
      </c>
      <c r="AY171" s="31">
        <v>0</v>
      </c>
      <c r="AZ171" s="31">
        <v>0</v>
      </c>
      <c r="BA171" s="31">
        <v>0</v>
      </c>
      <c r="BB171" s="31">
        <v>0</v>
      </c>
      <c r="BC171" s="31">
        <v>0</v>
      </c>
      <c r="BD171" s="31">
        <v>0</v>
      </c>
      <c r="BE171" s="31">
        <v>0</v>
      </c>
      <c r="BF171" s="31">
        <v>0</v>
      </c>
      <c r="BG171" s="31">
        <v>0</v>
      </c>
      <c r="BH171" s="31">
        <v>0</v>
      </c>
      <c r="BI171" s="31">
        <v>0</v>
      </c>
      <c r="BJ171" s="32">
        <f t="shared" si="35"/>
        <v>2200.7035499999997</v>
      </c>
      <c r="BK171" s="41">
        <f>BJ171+AM171+AL171+'11-2025'!$N171+AN171+AO171</f>
        <v>9614.2735499999999</v>
      </c>
      <c r="BL171" s="34">
        <f>'11-2025'!$O171</f>
        <v>0</v>
      </c>
      <c r="BM171" s="34">
        <f t="shared" si="24"/>
        <v>0</v>
      </c>
      <c r="BN171" s="34">
        <f t="shared" si="25"/>
        <v>0</v>
      </c>
      <c r="BO171" s="34">
        <f t="shared" si="33"/>
        <v>1666.6666666666667</v>
      </c>
      <c r="BP171" s="35">
        <f t="shared" si="26"/>
        <v>7947.6068833333329</v>
      </c>
      <c r="BQ171" s="34">
        <f>IFERROR(BP171/'11-2025'!$J171,0)*12</f>
        <v>95371.282599999991</v>
      </c>
      <c r="BR171" s="34">
        <f>IF(BQ171&lt;=40000,0,
IF(BQ171&lt;=55000,(BQ171-40000)*10%,
IF(BQ171&lt;=70000,(BQ171-55000)*15%+1500,
IF(BQ171&lt;=200000,(BQ171-70000)*20%+1500+2250,
IF(BQ171&lt;=400000,(BQ171-200000)*22.5%+1500+2250+26000,
IF(BQ171&lt;=600000,(BQ171-400000)*25%+1500+2250+26000+45000,
IF(AND(BQ171&gt;600000,BQ171&lt;=1200000),(BQ171-400000)*25%+1500+2250+26000+45000
+IFERROR(LOOKUP(BQ171,{600001;700001;800001;900001},{4000;6750;10250;15250}),0),IF(BQ171&gt;1200000,((BQ171-1200000)*27.5%)+300000,0)
)))))))</f>
        <v>8824.256519999999</v>
      </c>
      <c r="BS171" s="32">
        <f>(BR171/12*'11-2025'!$J171)</f>
        <v>735.35470999999995</v>
      </c>
      <c r="BT171" s="33">
        <f>BS171-'11-2025'!$V171</f>
        <v>635.35470999999995</v>
      </c>
      <c r="BU171" s="32">
        <f>IFERROR(+'11-2025'!$W171+AL171+AM171+BJ171-'11-2025'!$AJ171-BT171+AN171+AO171,"")-AL171+AP171+AQ171</f>
        <v>8878.9188400000003</v>
      </c>
      <c r="BV171" s="36" t="s">
        <v>427</v>
      </c>
      <c r="BW171" s="37"/>
      <c r="BX171" s="37">
        <f t="shared" si="34"/>
        <v>8878.9188400000003</v>
      </c>
      <c r="BY171" s="37"/>
    </row>
    <row r="172" spans="1:77" x14ac:dyDescent="0.25">
      <c r="A172" s="43">
        <v>766</v>
      </c>
      <c r="B172" s="22" t="s">
        <v>283</v>
      </c>
      <c r="C172" s="22" t="s">
        <v>106</v>
      </c>
      <c r="D172" s="22" t="s">
        <v>72</v>
      </c>
      <c r="E172" s="22" t="s">
        <v>88</v>
      </c>
      <c r="F172" s="22" t="s">
        <v>139</v>
      </c>
      <c r="G172" s="23">
        <v>45928</v>
      </c>
      <c r="H172" s="22"/>
      <c r="I172" s="24" t="s">
        <v>269</v>
      </c>
      <c r="J172" s="25">
        <v>1</v>
      </c>
      <c r="K172" s="25">
        <v>3000</v>
      </c>
      <c r="L172" s="25"/>
      <c r="M172" s="26"/>
      <c r="N172" s="25">
        <f>SUM('11-2025'!$K172:$M172)</f>
        <v>3000</v>
      </c>
      <c r="O172" s="25"/>
      <c r="P172" s="25">
        <f t="shared" si="27"/>
        <v>0</v>
      </c>
      <c r="Q172" s="25">
        <f t="shared" si="28"/>
        <v>0</v>
      </c>
      <c r="R172" s="25">
        <v>1666.6666666666667</v>
      </c>
      <c r="S172" s="27">
        <f t="shared" si="29"/>
        <v>1333.3333333333333</v>
      </c>
      <c r="T172" s="25">
        <f t="shared" si="30"/>
        <v>16000</v>
      </c>
      <c r="U172" s="25">
        <f>IF(T172&lt;=40000,0,
IF(T172&lt;=55000,(T172-40000)*10%,
IF(T172&lt;=70000,(T172-55000)*15%+1500,
IF(T172&lt;=200000,(T172-70000)*20%+1500+2250,
IF(T172&lt;=400000,(T172-200000)*22.5%+1500+2250+26000,
IF(T172&lt;=600000,(T172-400000)*25%+1500+2250+26000+45000,
IF(AND(T172&gt;600000,T172&lt;=1200000),(T172-400000)*25%+1500+2250+26000+45000
+IFERROR(LOOKUP(T172,{600001;700001;800001;900001},{4000;6750;10250;15250}),0),IF(T172&gt;1200000,((T172-1200000)*27.5%)+300000,0)
)))))))</f>
        <v>0</v>
      </c>
      <c r="V172" s="25">
        <f t="shared" si="31"/>
        <v>0</v>
      </c>
      <c r="W172" s="28">
        <f>+'11-2025'!$S172-'11-2025'!$V172+'11-2025'!$R172</f>
        <v>3000</v>
      </c>
      <c r="X172" s="28">
        <f t="shared" si="32"/>
        <v>100</v>
      </c>
      <c r="Y172" s="29">
        <v>0</v>
      </c>
      <c r="Z172" s="29">
        <f>IFERROR(+'11-2025'!$X172*'11-2025'!$Y172,"")</f>
        <v>0</v>
      </c>
      <c r="AA172" s="29">
        <v>0</v>
      </c>
      <c r="AB172" s="29">
        <f>IFERROR(+'11-2025'!$X172*'11-2025'!$AA172,"")</f>
        <v>0</v>
      </c>
      <c r="AC172" s="29">
        <v>0</v>
      </c>
      <c r="AD172" s="29">
        <f>IFERROR(+'11-2025'!$X172*'11-2025'!$AC172,"")</f>
        <v>0</v>
      </c>
      <c r="AE172" s="29">
        <v>0</v>
      </c>
      <c r="AF172" s="29">
        <f>IFERROR(+'11-2025'!$X172*'11-2025'!$AE172,"")</f>
        <v>0</v>
      </c>
      <c r="AG172" s="29">
        <v>0</v>
      </c>
      <c r="AH172" s="29">
        <f>IFERROR(+'11-2025'!$X172*'11-2025'!$AG172,"")</f>
        <v>0</v>
      </c>
      <c r="AI172" s="29">
        <v>0</v>
      </c>
      <c r="AJ172" s="29">
        <f>IFERROR('11-2025'!$Z172+'11-2025'!$AB172+'11-2025'!$AD172+'11-2025'!$AF172+'11-2025'!$AH172+'11-2025'!$AI172,"")</f>
        <v>0</v>
      </c>
      <c r="AK172" s="30">
        <f>IFERROR('11-2025'!$W172-'11-2025'!$AJ172,"")</f>
        <v>3000</v>
      </c>
      <c r="AL172" s="31"/>
      <c r="AM172" s="31"/>
      <c r="AN172" s="31"/>
      <c r="AO172" s="31">
        <v>0</v>
      </c>
      <c r="AP172" s="31"/>
      <c r="AQ172" s="31"/>
      <c r="AR172" s="31">
        <v>0</v>
      </c>
      <c r="AS172" s="31">
        <v>0</v>
      </c>
      <c r="AT172" s="31">
        <v>0</v>
      </c>
      <c r="AU172" s="31">
        <v>1659.5952500000001</v>
      </c>
      <c r="AV172" s="31">
        <v>0</v>
      </c>
      <c r="AW172" s="31">
        <v>0</v>
      </c>
      <c r="AX172" s="31">
        <v>0</v>
      </c>
      <c r="AY172" s="31">
        <v>0</v>
      </c>
      <c r="AZ172" s="31">
        <v>0</v>
      </c>
      <c r="BA172" s="31">
        <v>0</v>
      </c>
      <c r="BB172" s="31">
        <v>0</v>
      </c>
      <c r="BC172" s="31">
        <v>0</v>
      </c>
      <c r="BD172" s="31">
        <v>0</v>
      </c>
      <c r="BE172" s="31">
        <v>0</v>
      </c>
      <c r="BF172" s="31">
        <v>0</v>
      </c>
      <c r="BG172" s="31">
        <v>0</v>
      </c>
      <c r="BH172" s="31">
        <v>0</v>
      </c>
      <c r="BI172" s="31">
        <v>0</v>
      </c>
      <c r="BJ172" s="32">
        <f t="shared" si="35"/>
        <v>1659.5952500000001</v>
      </c>
      <c r="BK172" s="41">
        <f>BJ172+AM172+AL172+'11-2025'!$N172+AN172+AO172</f>
        <v>4659.5952500000003</v>
      </c>
      <c r="BL172" s="34">
        <f>'11-2025'!$O172</f>
        <v>0</v>
      </c>
      <c r="BM172" s="34">
        <f t="shared" si="24"/>
        <v>0</v>
      </c>
      <c r="BN172" s="34">
        <f t="shared" si="25"/>
        <v>0</v>
      </c>
      <c r="BO172" s="34">
        <f t="shared" si="33"/>
        <v>1666.6666666666667</v>
      </c>
      <c r="BP172" s="35">
        <f t="shared" si="26"/>
        <v>2992.9285833333333</v>
      </c>
      <c r="BQ172" s="34">
        <f>IFERROR(BP172/'11-2025'!$J172,0)*12</f>
        <v>35915.142999999996</v>
      </c>
      <c r="BR172" s="34">
        <f>IF(BQ172&lt;=40000,0,
IF(BQ172&lt;=55000,(BQ172-40000)*10%,
IF(BQ172&lt;=70000,(BQ172-55000)*15%+1500,
IF(BQ172&lt;=200000,(BQ172-70000)*20%+1500+2250,
IF(BQ172&lt;=400000,(BQ172-200000)*22.5%+1500+2250+26000,
IF(BQ172&lt;=600000,(BQ172-400000)*25%+1500+2250+26000+45000,
IF(AND(BQ172&gt;600000,BQ172&lt;=1200000),(BQ172-400000)*25%+1500+2250+26000+45000
+IFERROR(LOOKUP(BQ172,{600001;700001;800001;900001},{4000;6750;10250;15250}),0),IF(BQ172&gt;1200000,((BQ172-1200000)*27.5%)+300000,0)
)))))))</f>
        <v>0</v>
      </c>
      <c r="BS172" s="32">
        <f>(BR172/12*'11-2025'!$J172)</f>
        <v>0</v>
      </c>
      <c r="BT172" s="33">
        <f>BS172-'11-2025'!$V172</f>
        <v>0</v>
      </c>
      <c r="BU172" s="32">
        <f>IFERROR(+'11-2025'!$W172+AL172+AM172+BJ172-'11-2025'!$AJ172-BT172+AN172+AO172,"")-AL172+AP172+AQ172</f>
        <v>4659.5952500000003</v>
      </c>
      <c r="BV172" s="36"/>
      <c r="BW172" s="37"/>
      <c r="BX172" s="37">
        <f t="shared" si="34"/>
        <v>4659.5952500000003</v>
      </c>
      <c r="BY172" s="37"/>
    </row>
    <row r="173" spans="1:77" x14ac:dyDescent="0.25">
      <c r="A173" s="43">
        <v>767</v>
      </c>
      <c r="B173" s="22" t="s">
        <v>284</v>
      </c>
      <c r="C173" s="22" t="s">
        <v>106</v>
      </c>
      <c r="D173" s="22" t="s">
        <v>72</v>
      </c>
      <c r="E173" s="22" t="s">
        <v>88</v>
      </c>
      <c r="F173" s="22" t="s">
        <v>86</v>
      </c>
      <c r="G173" s="23">
        <v>45934</v>
      </c>
      <c r="H173" s="22"/>
      <c r="I173" s="24" t="s">
        <v>269</v>
      </c>
      <c r="J173" s="25">
        <v>1</v>
      </c>
      <c r="K173" s="25">
        <v>4000</v>
      </c>
      <c r="L173" s="25"/>
      <c r="M173" s="26"/>
      <c r="N173" s="25">
        <f>SUM('11-2025'!$K173:$M173)</f>
        <v>4000</v>
      </c>
      <c r="O173" s="25"/>
      <c r="P173" s="25">
        <f t="shared" si="27"/>
        <v>0</v>
      </c>
      <c r="Q173" s="25">
        <f t="shared" si="28"/>
        <v>0</v>
      </c>
      <c r="R173" s="25">
        <v>1666.6666666666667</v>
      </c>
      <c r="S173" s="27">
        <f t="shared" si="29"/>
        <v>2333.333333333333</v>
      </c>
      <c r="T173" s="25">
        <f t="shared" si="30"/>
        <v>27999.999999999996</v>
      </c>
      <c r="U173" s="25">
        <f>IF(T173&lt;=40000,0,
IF(T173&lt;=55000,(T173-40000)*10%,
IF(T173&lt;=70000,(T173-55000)*15%+1500,
IF(T173&lt;=200000,(T173-70000)*20%+1500+2250,
IF(T173&lt;=400000,(T173-200000)*22.5%+1500+2250+26000,
IF(T173&lt;=600000,(T173-400000)*25%+1500+2250+26000+45000,
IF(AND(T173&gt;600000,T173&lt;=1200000),(T173-400000)*25%+1500+2250+26000+45000
+IFERROR(LOOKUP(T173,{600001;700001;800001;900001},{4000;6750;10250;15250}),0),IF(T173&gt;1200000,((T173-1200000)*27.5%)+300000,0)
)))))))</f>
        <v>0</v>
      </c>
      <c r="V173" s="25">
        <f t="shared" si="31"/>
        <v>0</v>
      </c>
      <c r="W173" s="28">
        <f>+'11-2025'!$S173-'11-2025'!$V173+'11-2025'!$R173</f>
        <v>4000</v>
      </c>
      <c r="X173" s="28">
        <f t="shared" si="32"/>
        <v>133.33333333333334</v>
      </c>
      <c r="Y173" s="29">
        <v>0</v>
      </c>
      <c r="Z173" s="29">
        <f>IFERROR(+'11-2025'!$X173*'11-2025'!$Y173,"")</f>
        <v>0</v>
      </c>
      <c r="AA173" s="29">
        <v>0</v>
      </c>
      <c r="AB173" s="29">
        <f>IFERROR(+'11-2025'!$X173*'11-2025'!$AA173,"")</f>
        <v>0</v>
      </c>
      <c r="AC173" s="29">
        <v>0</v>
      </c>
      <c r="AD173" s="29">
        <f>IFERROR(+'11-2025'!$X173*'11-2025'!$AC173,"")</f>
        <v>0</v>
      </c>
      <c r="AE173" s="29">
        <v>0</v>
      </c>
      <c r="AF173" s="29">
        <f>IFERROR(+'11-2025'!$X173*'11-2025'!$AE173,"")</f>
        <v>0</v>
      </c>
      <c r="AG173" s="29">
        <v>0</v>
      </c>
      <c r="AH173" s="29">
        <f>IFERROR(+'11-2025'!$X173*'11-2025'!$AG173,"")</f>
        <v>0</v>
      </c>
      <c r="AI173" s="29">
        <v>0</v>
      </c>
      <c r="AJ173" s="29">
        <f>IFERROR('11-2025'!$Z173+'11-2025'!$AB173+'11-2025'!$AD173+'11-2025'!$AF173+'11-2025'!$AH173+'11-2025'!$AI173,"")</f>
        <v>0</v>
      </c>
      <c r="AK173" s="30">
        <f>IFERROR('11-2025'!$W173-'11-2025'!$AJ173,"")</f>
        <v>4000</v>
      </c>
      <c r="AL173" s="31"/>
      <c r="AM173" s="31"/>
      <c r="AN173" s="31"/>
      <c r="AO173" s="31">
        <v>0</v>
      </c>
      <c r="AP173" s="31"/>
      <c r="AQ173" s="31"/>
      <c r="AR173" s="31">
        <v>0</v>
      </c>
      <c r="AS173" s="31">
        <v>0</v>
      </c>
      <c r="AT173" s="31">
        <v>0</v>
      </c>
      <c r="AU173" s="31">
        <v>7984.4262499999995</v>
      </c>
      <c r="AV173" s="31">
        <v>0</v>
      </c>
      <c r="AW173" s="31">
        <v>0</v>
      </c>
      <c r="AX173" s="31">
        <v>0</v>
      </c>
      <c r="AY173" s="31">
        <v>0</v>
      </c>
      <c r="AZ173" s="31">
        <v>0</v>
      </c>
      <c r="BA173" s="31">
        <v>0</v>
      </c>
      <c r="BB173" s="31">
        <v>0</v>
      </c>
      <c r="BC173" s="31">
        <v>0</v>
      </c>
      <c r="BD173" s="31">
        <v>0</v>
      </c>
      <c r="BE173" s="31">
        <v>0</v>
      </c>
      <c r="BF173" s="31">
        <v>0</v>
      </c>
      <c r="BG173" s="31">
        <v>0</v>
      </c>
      <c r="BH173" s="31">
        <v>0</v>
      </c>
      <c r="BI173" s="31">
        <v>0</v>
      </c>
      <c r="BJ173" s="32">
        <f t="shared" si="35"/>
        <v>7984.4262499999995</v>
      </c>
      <c r="BK173" s="41">
        <f>BJ173+AM173+AL173+'11-2025'!$N173+AN173+AO173</f>
        <v>11984.42625</v>
      </c>
      <c r="BL173" s="34">
        <f>'11-2025'!$O173</f>
        <v>0</v>
      </c>
      <c r="BM173" s="34">
        <f t="shared" si="24"/>
        <v>0</v>
      </c>
      <c r="BN173" s="34">
        <f t="shared" si="25"/>
        <v>0</v>
      </c>
      <c r="BO173" s="34">
        <f t="shared" si="33"/>
        <v>1666.6666666666667</v>
      </c>
      <c r="BP173" s="35">
        <f t="shared" si="26"/>
        <v>10317.759583333334</v>
      </c>
      <c r="BQ173" s="34">
        <f>IFERROR(BP173/'11-2025'!$J173,0)*12</f>
        <v>123813.11500000002</v>
      </c>
      <c r="BR173" s="34">
        <f>IF(BQ173&lt;=40000,0,
IF(BQ173&lt;=55000,(BQ173-40000)*10%,
IF(BQ173&lt;=70000,(BQ173-55000)*15%+1500,
IF(BQ173&lt;=200000,(BQ173-70000)*20%+1500+2250,
IF(BQ173&lt;=400000,(BQ173-200000)*22.5%+1500+2250+26000,
IF(BQ173&lt;=600000,(BQ173-400000)*25%+1500+2250+26000+45000,
IF(AND(BQ173&gt;600000,BQ173&lt;=1200000),(BQ173-400000)*25%+1500+2250+26000+45000
+IFERROR(LOOKUP(BQ173,{600001;700001;800001;900001},{4000;6750;10250;15250}),0),IF(BQ173&gt;1200000,((BQ173-1200000)*27.5%)+300000,0)
)))))))</f>
        <v>14512.623000000005</v>
      </c>
      <c r="BS173" s="32">
        <f>(BR173/12*'11-2025'!$J173)</f>
        <v>1209.3852500000005</v>
      </c>
      <c r="BT173" s="33">
        <f>BS173-'11-2025'!$V173</f>
        <v>1209.3852500000005</v>
      </c>
      <c r="BU173" s="32">
        <f>IFERROR(+'11-2025'!$W173+AL173+AM173+BJ173-'11-2025'!$AJ173-BT173+AN173+AO173,"")-AL173+AP173+AQ173</f>
        <v>10775.040999999999</v>
      </c>
      <c r="BV173" s="36"/>
      <c r="BW173" s="37"/>
      <c r="BX173" s="37">
        <f t="shared" si="34"/>
        <v>10775.040999999999</v>
      </c>
      <c r="BY173" s="37"/>
    </row>
    <row r="174" spans="1:77" x14ac:dyDescent="0.25">
      <c r="A174" s="43">
        <v>771</v>
      </c>
      <c r="B174" s="22" t="s">
        <v>285</v>
      </c>
      <c r="C174" s="22" t="s">
        <v>81</v>
      </c>
      <c r="D174" s="22" t="s">
        <v>72</v>
      </c>
      <c r="E174" s="22" t="s">
        <v>124</v>
      </c>
      <c r="F174" s="22" t="s">
        <v>139</v>
      </c>
      <c r="G174" s="23">
        <v>45955</v>
      </c>
      <c r="H174" s="22"/>
      <c r="I174" s="24" t="s">
        <v>269</v>
      </c>
      <c r="J174" s="25">
        <v>1</v>
      </c>
      <c r="K174" s="25">
        <v>2500</v>
      </c>
      <c r="L174" s="25"/>
      <c r="M174" s="26"/>
      <c r="N174" s="25">
        <f>SUM('11-2025'!$K174:$M174)</f>
        <v>2500</v>
      </c>
      <c r="O174" s="25"/>
      <c r="P174" s="25">
        <f t="shared" si="27"/>
        <v>0</v>
      </c>
      <c r="Q174" s="25">
        <f t="shared" si="28"/>
        <v>0</v>
      </c>
      <c r="R174" s="25">
        <v>1666.6666666666667</v>
      </c>
      <c r="S174" s="27">
        <f t="shared" si="29"/>
        <v>833.33333333333326</v>
      </c>
      <c r="T174" s="25">
        <f t="shared" si="30"/>
        <v>10000</v>
      </c>
      <c r="U174" s="25">
        <f>IF(T174&lt;=40000,0,
IF(T174&lt;=55000,(T174-40000)*10%,
IF(T174&lt;=70000,(T174-55000)*15%+1500,
IF(T174&lt;=200000,(T174-70000)*20%+1500+2250,
IF(T174&lt;=400000,(T174-200000)*22.5%+1500+2250+26000,
IF(T174&lt;=600000,(T174-400000)*25%+1500+2250+26000+45000,
IF(AND(T174&gt;600000,T174&lt;=1200000),(T174-400000)*25%+1500+2250+26000+45000
+IFERROR(LOOKUP(T174,{600001;700001;800001;900001},{4000;6750;10250;15250}),0),IF(T174&gt;1200000,((T174-1200000)*27.5%)+300000,0)
)))))))</f>
        <v>0</v>
      </c>
      <c r="V174" s="25">
        <f t="shared" si="31"/>
        <v>0</v>
      </c>
      <c r="W174" s="28">
        <f>+'11-2025'!$S174-'11-2025'!$V174+'11-2025'!$R174</f>
        <v>2500</v>
      </c>
      <c r="X174" s="28">
        <f t="shared" si="32"/>
        <v>83.333333333333329</v>
      </c>
      <c r="Y174" s="29">
        <v>0</v>
      </c>
      <c r="Z174" s="29">
        <f>IFERROR(+'11-2025'!$X174*'11-2025'!$Y174,"")</f>
        <v>0</v>
      </c>
      <c r="AA174" s="29">
        <v>2</v>
      </c>
      <c r="AB174" s="29">
        <f>IFERROR(+'11-2025'!$X174*'11-2025'!$AA174,"")</f>
        <v>166.66666666666666</v>
      </c>
      <c r="AC174" s="29">
        <v>2</v>
      </c>
      <c r="AD174" s="29">
        <f>IFERROR(+'11-2025'!$X174*'11-2025'!$AC174,"")</f>
        <v>166.66666666666666</v>
      </c>
      <c r="AE174" s="29">
        <v>0</v>
      </c>
      <c r="AF174" s="29">
        <f>IFERROR(+'11-2025'!$X174*'11-2025'!$AE174,"")</f>
        <v>0</v>
      </c>
      <c r="AG174" s="29">
        <v>2</v>
      </c>
      <c r="AH174" s="29">
        <f>IFERROR(+'11-2025'!$X174*'11-2025'!$AG174,"")</f>
        <v>166.66666666666666</v>
      </c>
      <c r="AI174" s="29">
        <v>0</v>
      </c>
      <c r="AJ174" s="29">
        <f>IFERROR('11-2025'!$Z174+'11-2025'!$AB174+'11-2025'!$AD174+'11-2025'!$AF174+'11-2025'!$AH174+'11-2025'!$AI174,"")</f>
        <v>500</v>
      </c>
      <c r="AK174" s="30">
        <f>IFERROR('11-2025'!$W174-'11-2025'!$AJ174,"")</f>
        <v>2000</v>
      </c>
      <c r="AL174" s="31"/>
      <c r="AM174" s="31">
        <v>700</v>
      </c>
      <c r="AN174" s="31"/>
      <c r="AO174" s="31">
        <v>40</v>
      </c>
      <c r="AP174" s="31"/>
      <c r="AQ174" s="31"/>
      <c r="AR174" s="31">
        <v>0</v>
      </c>
      <c r="AS174" s="31">
        <v>0</v>
      </c>
      <c r="AT174" s="31">
        <v>0</v>
      </c>
      <c r="AU174" s="31">
        <v>0</v>
      </c>
      <c r="AV174" s="31">
        <v>994.95490000000007</v>
      </c>
      <c r="AW174" s="31">
        <v>0</v>
      </c>
      <c r="AX174" s="31">
        <v>0</v>
      </c>
      <c r="AY174" s="31">
        <v>0</v>
      </c>
      <c r="AZ174" s="31">
        <v>0</v>
      </c>
      <c r="BA174" s="31">
        <v>0</v>
      </c>
      <c r="BB174" s="31">
        <v>0</v>
      </c>
      <c r="BC174" s="31">
        <v>0</v>
      </c>
      <c r="BD174" s="31">
        <v>0</v>
      </c>
      <c r="BE174" s="31">
        <v>0</v>
      </c>
      <c r="BF174" s="31">
        <v>0</v>
      </c>
      <c r="BG174" s="31">
        <v>0</v>
      </c>
      <c r="BH174" s="31">
        <v>0</v>
      </c>
      <c r="BI174" s="31">
        <v>0</v>
      </c>
      <c r="BJ174" s="32">
        <f t="shared" si="35"/>
        <v>994.95490000000007</v>
      </c>
      <c r="BK174" s="41">
        <f>BJ174+AM174+AL174+'11-2025'!$N174+AN174+AO174</f>
        <v>4234.9549000000006</v>
      </c>
      <c r="BL174" s="34">
        <f>'11-2025'!$O174</f>
        <v>0</v>
      </c>
      <c r="BM174" s="34">
        <f t="shared" si="24"/>
        <v>0</v>
      </c>
      <c r="BN174" s="34">
        <f t="shared" si="25"/>
        <v>0</v>
      </c>
      <c r="BO174" s="34">
        <f t="shared" si="33"/>
        <v>1666.6666666666667</v>
      </c>
      <c r="BP174" s="35">
        <f t="shared" si="26"/>
        <v>2568.2882333333337</v>
      </c>
      <c r="BQ174" s="34">
        <f>IFERROR(BP174/'11-2025'!$J174,0)*12</f>
        <v>30819.458800000004</v>
      </c>
      <c r="BR174" s="34">
        <f>IF(BQ174&lt;=40000,0,
IF(BQ174&lt;=55000,(BQ174-40000)*10%,
IF(BQ174&lt;=70000,(BQ174-55000)*15%+1500,
IF(BQ174&lt;=200000,(BQ174-70000)*20%+1500+2250,
IF(BQ174&lt;=400000,(BQ174-200000)*22.5%+1500+2250+26000,
IF(BQ174&lt;=600000,(BQ174-400000)*25%+1500+2250+26000+45000,
IF(AND(BQ174&gt;600000,BQ174&lt;=1200000),(BQ174-400000)*25%+1500+2250+26000+45000
+IFERROR(LOOKUP(BQ174,{600001;700001;800001;900001},{4000;6750;10250;15250}),0),IF(BQ174&gt;1200000,((BQ174-1200000)*27.5%)+300000,0)
)))))))</f>
        <v>0</v>
      </c>
      <c r="BS174" s="32">
        <f>(BR174/12*'11-2025'!$J174)</f>
        <v>0</v>
      </c>
      <c r="BT174" s="33">
        <f>BS174-'11-2025'!$V174</f>
        <v>0</v>
      </c>
      <c r="BU174" s="32">
        <f>IFERROR(+'11-2025'!$W174+AL174+AM174+BJ174-'11-2025'!$AJ174-BT174+AN174+AO174,"")-AL174+AP174+AQ174</f>
        <v>3734.9548999999997</v>
      </c>
      <c r="BV174" s="36" t="s">
        <v>428</v>
      </c>
      <c r="BW174" s="37"/>
      <c r="BX174" s="37">
        <f t="shared" si="34"/>
        <v>3734.9548999999997</v>
      </c>
      <c r="BY174" s="37"/>
    </row>
    <row r="175" spans="1:77" x14ac:dyDescent="0.25">
      <c r="A175" s="43">
        <v>772</v>
      </c>
      <c r="B175" s="22" t="s">
        <v>286</v>
      </c>
      <c r="C175" s="22" t="s">
        <v>81</v>
      </c>
      <c r="D175" s="22" t="s">
        <v>72</v>
      </c>
      <c r="E175" s="22" t="s">
        <v>321</v>
      </c>
      <c r="F175" s="22" t="s">
        <v>102</v>
      </c>
      <c r="G175" s="23">
        <v>45935</v>
      </c>
      <c r="H175" s="22"/>
      <c r="I175" s="24" t="s">
        <v>269</v>
      </c>
      <c r="J175" s="25">
        <v>1</v>
      </c>
      <c r="K175" s="25">
        <v>2500</v>
      </c>
      <c r="L175" s="25"/>
      <c r="M175" s="26"/>
      <c r="N175" s="25">
        <f>SUM('11-2025'!$K175:$M175)</f>
        <v>2500</v>
      </c>
      <c r="O175" s="25"/>
      <c r="P175" s="25">
        <f t="shared" si="27"/>
        <v>0</v>
      </c>
      <c r="Q175" s="25">
        <f t="shared" si="28"/>
        <v>0</v>
      </c>
      <c r="R175" s="25">
        <v>1666.6666666666667</v>
      </c>
      <c r="S175" s="27">
        <f t="shared" si="29"/>
        <v>833.33333333333326</v>
      </c>
      <c r="T175" s="25">
        <f t="shared" si="30"/>
        <v>10000</v>
      </c>
      <c r="U175" s="25">
        <f>IF(T175&lt;=40000,0,
IF(T175&lt;=55000,(T175-40000)*10%,
IF(T175&lt;=70000,(T175-55000)*15%+1500,
IF(T175&lt;=200000,(T175-70000)*20%+1500+2250,
IF(T175&lt;=400000,(T175-200000)*22.5%+1500+2250+26000,
IF(T175&lt;=600000,(T175-400000)*25%+1500+2250+26000+45000,
IF(AND(T175&gt;600000,T175&lt;=1200000),(T175-400000)*25%+1500+2250+26000+45000
+IFERROR(LOOKUP(T175,{600001;700001;800001;900001},{4000;6750;10250;15250}),0),IF(T175&gt;1200000,((T175-1200000)*27.5%)+300000,0)
)))))))</f>
        <v>0</v>
      </c>
      <c r="V175" s="25">
        <f t="shared" si="31"/>
        <v>0</v>
      </c>
      <c r="W175" s="28">
        <f>+'11-2025'!$S175-'11-2025'!$V175+'11-2025'!$R175</f>
        <v>2500</v>
      </c>
      <c r="X175" s="28">
        <f t="shared" si="32"/>
        <v>83.333333333333329</v>
      </c>
      <c r="Y175" s="29">
        <v>0</v>
      </c>
      <c r="Z175" s="29">
        <f>IFERROR(+'11-2025'!$X175*'11-2025'!$Y175,"")</f>
        <v>0</v>
      </c>
      <c r="AA175" s="29">
        <v>0</v>
      </c>
      <c r="AB175" s="29">
        <f>IFERROR(+'11-2025'!$X175*'11-2025'!$AA175,"")</f>
        <v>0</v>
      </c>
      <c r="AC175" s="29">
        <v>0</v>
      </c>
      <c r="AD175" s="29">
        <f>IFERROR(+'11-2025'!$X175*'11-2025'!$AC175,"")</f>
        <v>0</v>
      </c>
      <c r="AE175" s="29">
        <v>0</v>
      </c>
      <c r="AF175" s="29">
        <f>IFERROR(+'11-2025'!$X175*'11-2025'!$AE175,"")</f>
        <v>0</v>
      </c>
      <c r="AG175" s="29">
        <v>0</v>
      </c>
      <c r="AH175" s="29">
        <f>IFERROR(+'11-2025'!$X175*'11-2025'!$AG175,"")</f>
        <v>0</v>
      </c>
      <c r="AI175" s="29">
        <v>0</v>
      </c>
      <c r="AJ175" s="29">
        <f>IFERROR('11-2025'!$Z175+'11-2025'!$AB175+'11-2025'!$AD175+'11-2025'!$AF175+'11-2025'!$AH175+'11-2025'!$AI175,"")</f>
        <v>0</v>
      </c>
      <c r="AK175" s="30">
        <f>IFERROR('11-2025'!$W175-'11-2025'!$AJ175,"")</f>
        <v>2500</v>
      </c>
      <c r="AL175" s="31"/>
      <c r="AM175" s="31"/>
      <c r="AN175" s="31"/>
      <c r="AO175" s="31">
        <v>20</v>
      </c>
      <c r="AP175" s="31"/>
      <c r="AQ175" s="31"/>
      <c r="AR175" s="31">
        <v>0</v>
      </c>
      <c r="AS175" s="31">
        <v>0</v>
      </c>
      <c r="AT175" s="31">
        <v>0</v>
      </c>
      <c r="AU175" s="31">
        <v>0</v>
      </c>
      <c r="AV175" s="31">
        <v>0</v>
      </c>
      <c r="AW175" s="31">
        <v>0</v>
      </c>
      <c r="AX175" s="31">
        <v>0</v>
      </c>
      <c r="AY175" s="31">
        <v>0</v>
      </c>
      <c r="AZ175" s="31">
        <v>0</v>
      </c>
      <c r="BA175" s="31">
        <v>0</v>
      </c>
      <c r="BB175" s="31">
        <v>0</v>
      </c>
      <c r="BC175" s="31">
        <v>1604.45</v>
      </c>
      <c r="BD175" s="31">
        <v>0</v>
      </c>
      <c r="BE175" s="31">
        <v>0</v>
      </c>
      <c r="BF175" s="31">
        <v>0</v>
      </c>
      <c r="BG175" s="31">
        <v>0</v>
      </c>
      <c r="BH175" s="31">
        <v>0</v>
      </c>
      <c r="BI175" s="31">
        <v>0</v>
      </c>
      <c r="BJ175" s="32">
        <f t="shared" si="35"/>
        <v>1604.45</v>
      </c>
      <c r="BK175" s="41">
        <f>BJ175+AM175+AL175+'11-2025'!$N175+AN175+AO175</f>
        <v>4124.45</v>
      </c>
      <c r="BL175" s="34">
        <f>'11-2025'!$O175</f>
        <v>0</v>
      </c>
      <c r="BM175" s="34">
        <f t="shared" si="24"/>
        <v>0</v>
      </c>
      <c r="BN175" s="34">
        <f t="shared" si="25"/>
        <v>0</v>
      </c>
      <c r="BO175" s="34">
        <f t="shared" si="33"/>
        <v>1666.6666666666667</v>
      </c>
      <c r="BP175" s="35">
        <f t="shared" si="26"/>
        <v>2457.7833333333328</v>
      </c>
      <c r="BQ175" s="34">
        <f>IFERROR(BP175/'11-2025'!$J175,0)*12</f>
        <v>29493.399999999994</v>
      </c>
      <c r="BR175" s="34">
        <f>IF(BQ175&lt;=40000,0,
IF(BQ175&lt;=55000,(BQ175-40000)*10%,
IF(BQ175&lt;=70000,(BQ175-55000)*15%+1500,
IF(BQ175&lt;=200000,(BQ175-70000)*20%+1500+2250,
IF(BQ175&lt;=400000,(BQ175-200000)*22.5%+1500+2250+26000,
IF(BQ175&lt;=600000,(BQ175-400000)*25%+1500+2250+26000+45000,
IF(AND(BQ175&gt;600000,BQ175&lt;=1200000),(BQ175-400000)*25%+1500+2250+26000+45000
+IFERROR(LOOKUP(BQ175,{600001;700001;800001;900001},{4000;6750;10250;15250}),0),IF(BQ175&gt;1200000,((BQ175-1200000)*27.5%)+300000,0)
)))))))</f>
        <v>0</v>
      </c>
      <c r="BS175" s="32">
        <f>(BR175/12*'11-2025'!$J175)</f>
        <v>0</v>
      </c>
      <c r="BT175" s="33">
        <f>BS175-'11-2025'!$V175</f>
        <v>0</v>
      </c>
      <c r="BU175" s="32">
        <f>IFERROR(+'11-2025'!$W175+AL175+AM175+BJ175-'11-2025'!$AJ175-BT175+AN175+AO175,"")-AL175+AP175+AQ175</f>
        <v>4124.45</v>
      </c>
      <c r="BV175" s="36"/>
      <c r="BW175" s="37"/>
      <c r="BX175" s="37">
        <f t="shared" si="34"/>
        <v>4124.45</v>
      </c>
      <c r="BY175" s="37"/>
    </row>
    <row r="176" spans="1:77" x14ac:dyDescent="0.25">
      <c r="A176" s="44">
        <v>774</v>
      </c>
      <c r="B176" s="22" t="s">
        <v>287</v>
      </c>
      <c r="C176" s="22" t="s">
        <v>81</v>
      </c>
      <c r="D176" s="22" t="s">
        <v>72</v>
      </c>
      <c r="E176" s="22" t="s">
        <v>124</v>
      </c>
      <c r="F176" s="22" t="s">
        <v>139</v>
      </c>
      <c r="G176" s="23">
        <v>45935</v>
      </c>
      <c r="H176" s="23">
        <v>45975</v>
      </c>
      <c r="I176" s="24" t="s">
        <v>269</v>
      </c>
      <c r="J176" s="25">
        <v>1</v>
      </c>
      <c r="K176" s="25">
        <v>3000</v>
      </c>
      <c r="L176" s="25"/>
      <c r="M176" s="26"/>
      <c r="N176" s="25">
        <f>SUM('11-2025'!$K176:$M176)</f>
        <v>3000</v>
      </c>
      <c r="O176" s="25"/>
      <c r="P176" s="25">
        <f t="shared" si="27"/>
        <v>0</v>
      </c>
      <c r="Q176" s="25">
        <f t="shared" si="28"/>
        <v>0</v>
      </c>
      <c r="R176" s="25">
        <v>1666.6666666666667</v>
      </c>
      <c r="S176" s="27">
        <f t="shared" si="29"/>
        <v>1333.3333333333333</v>
      </c>
      <c r="T176" s="25">
        <f t="shared" si="30"/>
        <v>16000</v>
      </c>
      <c r="U176" s="25">
        <f>IF(T176&lt;=40000,0,
IF(T176&lt;=55000,(T176-40000)*10%,
IF(T176&lt;=70000,(T176-55000)*15%+1500,
IF(T176&lt;=200000,(T176-70000)*20%+1500+2250,
IF(T176&lt;=400000,(T176-200000)*22.5%+1500+2250+26000,
IF(T176&lt;=600000,(T176-400000)*25%+1500+2250+26000+45000,
IF(AND(T176&gt;600000,T176&lt;=1200000),(T176-400000)*25%+1500+2250+26000+45000
+IFERROR(LOOKUP(T176,{600001;700001;800001;900001},{4000;6750;10250;15250}),0),IF(T176&gt;1200000,((T176-1200000)*27.5%)+300000,0)
)))))))</f>
        <v>0</v>
      </c>
      <c r="V176" s="25">
        <f t="shared" si="31"/>
        <v>0</v>
      </c>
      <c r="W176" s="28">
        <f>+'11-2025'!$S176-'11-2025'!$V176+'11-2025'!$R176</f>
        <v>3000</v>
      </c>
      <c r="X176" s="28">
        <f t="shared" si="32"/>
        <v>100</v>
      </c>
      <c r="Y176" s="29"/>
      <c r="Z176" s="29">
        <f>IFERROR(+'11-2025'!$X176*'11-2025'!$Y176,"")</f>
        <v>0</v>
      </c>
      <c r="AA176" s="29">
        <v>6</v>
      </c>
      <c r="AB176" s="29">
        <f>IFERROR(+'11-2025'!$X176*'11-2025'!$AA176,"")</f>
        <v>600</v>
      </c>
      <c r="AC176" s="29">
        <v>9.5</v>
      </c>
      <c r="AD176" s="29">
        <f>IFERROR(+'11-2025'!$X176*'11-2025'!$AC176,"")</f>
        <v>950</v>
      </c>
      <c r="AE176" s="29">
        <v>2</v>
      </c>
      <c r="AF176" s="29">
        <f>IFERROR(+'11-2025'!$X176*'11-2025'!$AE176,"")</f>
        <v>200</v>
      </c>
      <c r="AG176" s="29"/>
      <c r="AH176" s="29">
        <f>IFERROR(+'11-2025'!$X176*'11-2025'!$AG176,"")</f>
        <v>0</v>
      </c>
      <c r="AI176" s="29">
        <v>300</v>
      </c>
      <c r="AJ176" s="29">
        <f>IFERROR('11-2025'!$Z176+'11-2025'!$AB176+'11-2025'!$AD176+'11-2025'!$AF176+'11-2025'!$AH176+'11-2025'!$AI176,"")</f>
        <v>2050</v>
      </c>
      <c r="AK176" s="30">
        <f>IFERROR('11-2025'!$W176-'11-2025'!$AJ176,"")</f>
        <v>950</v>
      </c>
      <c r="AL176" s="31"/>
      <c r="AM176" s="31"/>
      <c r="AN176" s="31"/>
      <c r="AO176" s="31"/>
      <c r="AP176" s="31"/>
      <c r="AQ176" s="31"/>
      <c r="AR176" s="31">
        <v>0</v>
      </c>
      <c r="AS176" s="31">
        <v>0</v>
      </c>
      <c r="AT176" s="31">
        <v>0</v>
      </c>
      <c r="AU176" s="31">
        <v>0</v>
      </c>
      <c r="AV176" s="31">
        <v>0</v>
      </c>
      <c r="AW176" s="31">
        <v>0</v>
      </c>
      <c r="AX176" s="31">
        <v>0</v>
      </c>
      <c r="AY176" s="31">
        <v>0</v>
      </c>
      <c r="AZ176" s="31">
        <v>0</v>
      </c>
      <c r="BA176" s="31">
        <v>0</v>
      </c>
      <c r="BB176" s="31">
        <v>0</v>
      </c>
      <c r="BC176" s="31">
        <v>0</v>
      </c>
      <c r="BD176" s="31">
        <v>0</v>
      </c>
      <c r="BE176" s="31">
        <v>0</v>
      </c>
      <c r="BF176" s="31">
        <v>0</v>
      </c>
      <c r="BG176" s="31">
        <v>0</v>
      </c>
      <c r="BH176" s="31">
        <v>0</v>
      </c>
      <c r="BI176" s="31">
        <v>0</v>
      </c>
      <c r="BJ176" s="32">
        <f t="shared" si="35"/>
        <v>0</v>
      </c>
      <c r="BK176" s="41">
        <f>BJ176+AM176+AL176+'11-2025'!$N176+AN176+AO176</f>
        <v>3000</v>
      </c>
      <c r="BL176" s="34">
        <f>'11-2025'!$O176</f>
        <v>0</v>
      </c>
      <c r="BM176" s="34">
        <f t="shared" si="24"/>
        <v>0</v>
      </c>
      <c r="BN176" s="34">
        <f t="shared" si="25"/>
        <v>0</v>
      </c>
      <c r="BO176" s="34">
        <f t="shared" si="33"/>
        <v>1666.6666666666667</v>
      </c>
      <c r="BP176" s="35">
        <f t="shared" si="26"/>
        <v>1333.3333333333333</v>
      </c>
      <c r="BQ176" s="34">
        <f>IFERROR(BP176/'11-2025'!$J176,0)*12</f>
        <v>16000</v>
      </c>
      <c r="BR176" s="34">
        <f>IF(BQ176&lt;=40000,0,
IF(BQ176&lt;=55000,(BQ176-40000)*10%,
IF(BQ176&lt;=70000,(BQ176-55000)*15%+1500,
IF(BQ176&lt;=200000,(BQ176-70000)*20%+1500+2250,
IF(BQ176&lt;=400000,(BQ176-200000)*22.5%+1500+2250+26000,
IF(BQ176&lt;=600000,(BQ176-400000)*25%+1500+2250+26000+45000,
IF(AND(BQ176&gt;600000,BQ176&lt;=1200000),(BQ176-400000)*25%+1500+2250+26000+45000
+IFERROR(LOOKUP(BQ176,{600001;700001;800001;900001},{4000;6750;10250;15250}),0),IF(BQ176&gt;1200000,((BQ176-1200000)*27.5%)+300000,0)
)))))))</f>
        <v>0</v>
      </c>
      <c r="BS176" s="32">
        <f>(BR176/12*'11-2025'!$J176)</f>
        <v>0</v>
      </c>
      <c r="BT176" s="33">
        <f>BS176-'11-2025'!$V176</f>
        <v>0</v>
      </c>
      <c r="BU176" s="32">
        <f>IFERROR(+'11-2025'!$W176+AL176+AM176+BJ176-'11-2025'!$AJ176-BT176+AN176+AO176,"")-AL176+AP176+AQ176</f>
        <v>950</v>
      </c>
      <c r="BV176" s="36"/>
      <c r="BW176" s="37"/>
      <c r="BX176" s="37">
        <f t="shared" si="34"/>
        <v>950</v>
      </c>
      <c r="BY176" s="37"/>
    </row>
    <row r="177" spans="1:77" x14ac:dyDescent="0.25">
      <c r="A177" s="43">
        <v>776</v>
      </c>
      <c r="B177" s="22" t="s">
        <v>288</v>
      </c>
      <c r="C177" s="22" t="s">
        <v>71</v>
      </c>
      <c r="D177" s="22" t="s">
        <v>72</v>
      </c>
      <c r="E177" s="22" t="s">
        <v>73</v>
      </c>
      <c r="F177" s="22" t="s">
        <v>102</v>
      </c>
      <c r="G177" s="23">
        <v>45936</v>
      </c>
      <c r="H177" s="22"/>
      <c r="I177" s="24" t="s">
        <v>269</v>
      </c>
      <c r="J177" s="25">
        <v>1</v>
      </c>
      <c r="K177" s="25">
        <v>3000</v>
      </c>
      <c r="L177" s="25"/>
      <c r="M177" s="26"/>
      <c r="N177" s="25">
        <f>SUM('11-2025'!$K177:$M177)</f>
        <v>3000</v>
      </c>
      <c r="O177" s="25"/>
      <c r="P177" s="25">
        <f t="shared" si="27"/>
        <v>0</v>
      </c>
      <c r="Q177" s="25">
        <f t="shared" si="28"/>
        <v>0</v>
      </c>
      <c r="R177" s="25">
        <v>1666.6666666666667</v>
      </c>
      <c r="S177" s="27">
        <f t="shared" si="29"/>
        <v>1333.3333333333333</v>
      </c>
      <c r="T177" s="25">
        <f t="shared" si="30"/>
        <v>16000</v>
      </c>
      <c r="U177" s="25">
        <f>IF(T177&lt;=40000,0,
IF(T177&lt;=55000,(T177-40000)*10%,
IF(T177&lt;=70000,(T177-55000)*15%+1500,
IF(T177&lt;=200000,(T177-70000)*20%+1500+2250,
IF(T177&lt;=400000,(T177-200000)*22.5%+1500+2250+26000,
IF(T177&lt;=600000,(T177-400000)*25%+1500+2250+26000+45000,
IF(AND(T177&gt;600000,T177&lt;=1200000),(T177-400000)*25%+1500+2250+26000+45000
+IFERROR(LOOKUP(T177,{600001;700001;800001;900001},{4000;6750;10250;15250}),0),IF(T177&gt;1200000,((T177-1200000)*27.5%)+300000,0)
)))))))</f>
        <v>0</v>
      </c>
      <c r="V177" s="25">
        <f t="shared" si="31"/>
        <v>0</v>
      </c>
      <c r="W177" s="28">
        <f>+'11-2025'!$S177-'11-2025'!$V177+'11-2025'!$R177</f>
        <v>3000</v>
      </c>
      <c r="X177" s="28">
        <f t="shared" si="32"/>
        <v>100</v>
      </c>
      <c r="Y177" s="29">
        <v>0</v>
      </c>
      <c r="Z177" s="29">
        <f>IFERROR(+'11-2025'!$X177*'11-2025'!$Y177,"")</f>
        <v>0</v>
      </c>
      <c r="AA177" s="29">
        <v>4</v>
      </c>
      <c r="AB177" s="29">
        <f>IFERROR(+'11-2025'!$X177*'11-2025'!$AA177,"")</f>
        <v>400</v>
      </c>
      <c r="AC177" s="29">
        <v>0.5</v>
      </c>
      <c r="AD177" s="29">
        <f>IFERROR(+'11-2025'!$X177*'11-2025'!$AC177,"")</f>
        <v>50</v>
      </c>
      <c r="AE177" s="29">
        <v>0</v>
      </c>
      <c r="AF177" s="29">
        <f>IFERROR(+'11-2025'!$X177*'11-2025'!$AE177,"")</f>
        <v>0</v>
      </c>
      <c r="AG177" s="29">
        <v>3.5</v>
      </c>
      <c r="AH177" s="29">
        <f>IFERROR(+'11-2025'!$X177*'11-2025'!$AG177,"")</f>
        <v>350</v>
      </c>
      <c r="AI177" s="29">
        <v>0</v>
      </c>
      <c r="AJ177" s="29">
        <f>IFERROR('11-2025'!$Z177+'11-2025'!$AB177+'11-2025'!$AD177+'11-2025'!$AF177+'11-2025'!$AH177+'11-2025'!$AI177,"")</f>
        <v>800</v>
      </c>
      <c r="AK177" s="30">
        <f>IFERROR('11-2025'!$W177-'11-2025'!$AJ177,"")</f>
        <v>2200</v>
      </c>
      <c r="AL177" s="31"/>
      <c r="AM177" s="31"/>
      <c r="AN177" s="31"/>
      <c r="AO177" s="31">
        <v>60</v>
      </c>
      <c r="AP177" s="31"/>
      <c r="AQ177" s="31"/>
      <c r="AR177" s="31">
        <v>0</v>
      </c>
      <c r="AS177" s="31">
        <v>0</v>
      </c>
      <c r="AT177" s="31">
        <v>0</v>
      </c>
      <c r="AU177" s="31">
        <v>0</v>
      </c>
      <c r="AV177" s="31">
        <v>0</v>
      </c>
      <c r="AW177" s="31">
        <v>613</v>
      </c>
      <c r="AX177" s="31">
        <v>0</v>
      </c>
      <c r="AY177" s="31">
        <v>0</v>
      </c>
      <c r="AZ177" s="31">
        <v>0</v>
      </c>
      <c r="BA177" s="31">
        <v>0</v>
      </c>
      <c r="BB177" s="31">
        <v>0</v>
      </c>
      <c r="BC177" s="31">
        <v>0</v>
      </c>
      <c r="BD177" s="31">
        <v>0</v>
      </c>
      <c r="BE177" s="31">
        <v>0</v>
      </c>
      <c r="BF177" s="31">
        <v>0</v>
      </c>
      <c r="BG177" s="31">
        <v>0</v>
      </c>
      <c r="BH177" s="31">
        <v>0</v>
      </c>
      <c r="BI177" s="31">
        <v>0</v>
      </c>
      <c r="BJ177" s="32">
        <f t="shared" si="35"/>
        <v>613</v>
      </c>
      <c r="BK177" s="41">
        <f>BJ177+AM177+AL177+'11-2025'!$N177+AN177+AO177</f>
        <v>3673</v>
      </c>
      <c r="BL177" s="34">
        <f>'11-2025'!$O177</f>
        <v>0</v>
      </c>
      <c r="BM177" s="34">
        <f t="shared" si="24"/>
        <v>0</v>
      </c>
      <c r="BN177" s="34">
        <f t="shared" si="25"/>
        <v>0</v>
      </c>
      <c r="BO177" s="34">
        <f t="shared" si="33"/>
        <v>1666.6666666666667</v>
      </c>
      <c r="BP177" s="35">
        <f t="shared" si="26"/>
        <v>2006.3333333333333</v>
      </c>
      <c r="BQ177" s="34">
        <f>IFERROR(BP177/'11-2025'!$J177,0)*12</f>
        <v>24076</v>
      </c>
      <c r="BR177" s="34">
        <f>IF(BQ177&lt;=40000,0,
IF(BQ177&lt;=55000,(BQ177-40000)*10%,
IF(BQ177&lt;=70000,(BQ177-55000)*15%+1500,
IF(BQ177&lt;=200000,(BQ177-70000)*20%+1500+2250,
IF(BQ177&lt;=400000,(BQ177-200000)*22.5%+1500+2250+26000,
IF(BQ177&lt;=600000,(BQ177-400000)*25%+1500+2250+26000+45000,
IF(AND(BQ177&gt;600000,BQ177&lt;=1200000),(BQ177-400000)*25%+1500+2250+26000+45000
+IFERROR(LOOKUP(BQ177,{600001;700001;800001;900001},{4000;6750;10250;15250}),0),IF(BQ177&gt;1200000,((BQ177-1200000)*27.5%)+300000,0)
)))))))</f>
        <v>0</v>
      </c>
      <c r="BS177" s="32">
        <f>(BR177/12*'11-2025'!$J177)</f>
        <v>0</v>
      </c>
      <c r="BT177" s="33">
        <f>BS177-'11-2025'!$V177</f>
        <v>0</v>
      </c>
      <c r="BU177" s="32">
        <f>IFERROR(+'11-2025'!$W177+AL177+AM177+BJ177-'11-2025'!$AJ177-BT177+AN177+AO177,"")-AL177+AP177+AQ177</f>
        <v>2873</v>
      </c>
      <c r="BV177" s="36"/>
      <c r="BW177" s="37"/>
      <c r="BX177" s="37">
        <f t="shared" si="34"/>
        <v>2873</v>
      </c>
      <c r="BY177" s="37"/>
    </row>
    <row r="178" spans="1:77" x14ac:dyDescent="0.25">
      <c r="A178" s="43">
        <v>780</v>
      </c>
      <c r="B178" s="22" t="s">
        <v>289</v>
      </c>
      <c r="C178" s="22" t="s">
        <v>71</v>
      </c>
      <c r="D178" s="22" t="s">
        <v>72</v>
      </c>
      <c r="E178" s="22" t="s">
        <v>60</v>
      </c>
      <c r="F178" s="22" t="s">
        <v>74</v>
      </c>
      <c r="G178" s="23">
        <v>45936</v>
      </c>
      <c r="H178" s="22"/>
      <c r="I178" s="24" t="s">
        <v>269</v>
      </c>
      <c r="J178" s="25">
        <v>1</v>
      </c>
      <c r="K178" s="25">
        <v>6500</v>
      </c>
      <c r="L178" s="25"/>
      <c r="M178" s="26"/>
      <c r="N178" s="25">
        <f>SUM('11-2025'!$K178:$M178)</f>
        <v>6500</v>
      </c>
      <c r="O178" s="25"/>
      <c r="P178" s="25">
        <f t="shared" si="27"/>
        <v>0</v>
      </c>
      <c r="Q178" s="25">
        <f t="shared" si="28"/>
        <v>0</v>
      </c>
      <c r="R178" s="25">
        <v>1666.6666666666667</v>
      </c>
      <c r="S178" s="27">
        <f t="shared" si="29"/>
        <v>4833.333333333333</v>
      </c>
      <c r="T178" s="25">
        <f t="shared" si="30"/>
        <v>58000</v>
      </c>
      <c r="U178" s="25">
        <f>IF(T178&lt;=40000,0,
IF(T178&lt;=55000,(T178-40000)*10%,
IF(T178&lt;=70000,(T178-55000)*15%+1500,
IF(T178&lt;=200000,(T178-70000)*20%+1500+2250,
IF(T178&lt;=400000,(T178-200000)*22.5%+1500+2250+26000,
IF(T178&lt;=600000,(T178-400000)*25%+1500+2250+26000+45000,
IF(AND(T178&gt;600000,T178&lt;=1200000),(T178-400000)*25%+1500+2250+26000+45000
+IFERROR(LOOKUP(T178,{600001;700001;800001;900001},{4000;6750;10250;15250}),0),IF(T178&gt;1200000,((T178-1200000)*27.5%)+300000,0)
)))))))</f>
        <v>1950</v>
      </c>
      <c r="V178" s="25">
        <f t="shared" si="31"/>
        <v>162.5</v>
      </c>
      <c r="W178" s="28">
        <f>+'11-2025'!$S178-'11-2025'!$V178+'11-2025'!$R178</f>
        <v>6337.5</v>
      </c>
      <c r="X178" s="28">
        <f t="shared" si="32"/>
        <v>211.25</v>
      </c>
      <c r="Y178" s="29">
        <v>0</v>
      </c>
      <c r="Z178" s="29">
        <f>IFERROR(+'11-2025'!$X178*'11-2025'!$Y178,"")</f>
        <v>0</v>
      </c>
      <c r="AA178" s="29">
        <v>0</v>
      </c>
      <c r="AB178" s="29">
        <f>IFERROR(+'11-2025'!$X178*'11-2025'!$AA178,"")</f>
        <v>0</v>
      </c>
      <c r="AC178" s="29">
        <v>0</v>
      </c>
      <c r="AD178" s="29">
        <f>IFERROR(+'11-2025'!$X178*'11-2025'!$AC178,"")</f>
        <v>0</v>
      </c>
      <c r="AE178" s="29">
        <v>0</v>
      </c>
      <c r="AF178" s="29">
        <f>IFERROR(+'11-2025'!$X178*'11-2025'!$AE178,"")</f>
        <v>0</v>
      </c>
      <c r="AG178" s="29">
        <v>8</v>
      </c>
      <c r="AH178" s="29">
        <f>IFERROR(+'11-2025'!$X178*'11-2025'!$AG178,"")</f>
        <v>1690</v>
      </c>
      <c r="AI178" s="29">
        <v>0</v>
      </c>
      <c r="AJ178" s="29">
        <f>IFERROR('11-2025'!$Z178+'11-2025'!$AB178+'11-2025'!$AD178+'11-2025'!$AF178+'11-2025'!$AH178+'11-2025'!$AI178,"")</f>
        <v>1690</v>
      </c>
      <c r="AK178" s="30">
        <f>IFERROR('11-2025'!$W178-'11-2025'!$AJ178,"")</f>
        <v>4647.5</v>
      </c>
      <c r="AL178" s="31"/>
      <c r="AM178" s="31"/>
      <c r="AN178" s="31"/>
      <c r="AO178" s="31">
        <v>360</v>
      </c>
      <c r="AP178" s="31"/>
      <c r="AQ178" s="31"/>
      <c r="AR178" s="31">
        <v>0</v>
      </c>
      <c r="AS178" s="31">
        <v>0</v>
      </c>
      <c r="AT178" s="31">
        <v>0</v>
      </c>
      <c r="AU178" s="31">
        <v>0</v>
      </c>
      <c r="AV178" s="31">
        <v>0</v>
      </c>
      <c r="AW178" s="31">
        <v>1019</v>
      </c>
      <c r="AX178" s="31">
        <v>0</v>
      </c>
      <c r="AY178" s="31">
        <v>0</v>
      </c>
      <c r="AZ178" s="31">
        <v>0</v>
      </c>
      <c r="BA178" s="31">
        <v>0</v>
      </c>
      <c r="BB178" s="31">
        <v>0</v>
      </c>
      <c r="BC178" s="31">
        <v>0</v>
      </c>
      <c r="BD178" s="31">
        <v>0</v>
      </c>
      <c r="BE178" s="31">
        <v>0</v>
      </c>
      <c r="BF178" s="31">
        <v>0</v>
      </c>
      <c r="BG178" s="31">
        <v>1130.335</v>
      </c>
      <c r="BH178" s="31">
        <v>0</v>
      </c>
      <c r="BI178" s="31">
        <v>0</v>
      </c>
      <c r="BJ178" s="32">
        <f t="shared" si="35"/>
        <v>2149.335</v>
      </c>
      <c r="BK178" s="41">
        <f>BJ178+AM178+AL178+'11-2025'!$N178+AN178+AO178</f>
        <v>9009.3349999999991</v>
      </c>
      <c r="BL178" s="34">
        <f>'11-2025'!$O178</f>
        <v>0</v>
      </c>
      <c r="BM178" s="34">
        <f t="shared" si="24"/>
        <v>0</v>
      </c>
      <c r="BN178" s="34">
        <f t="shared" si="25"/>
        <v>0</v>
      </c>
      <c r="BO178" s="34">
        <f t="shared" si="33"/>
        <v>1666.6666666666667</v>
      </c>
      <c r="BP178" s="35">
        <f t="shared" si="26"/>
        <v>7342.6683333333322</v>
      </c>
      <c r="BQ178" s="34">
        <f>IFERROR(BP178/'11-2025'!$J178,0)*12</f>
        <v>88112.01999999999</v>
      </c>
      <c r="BR178" s="34">
        <f>IF(BQ178&lt;=40000,0,
IF(BQ178&lt;=55000,(BQ178-40000)*10%,
IF(BQ178&lt;=70000,(BQ178-55000)*15%+1500,
IF(BQ178&lt;=200000,(BQ178-70000)*20%+1500+2250,
IF(BQ178&lt;=400000,(BQ178-200000)*22.5%+1500+2250+26000,
IF(BQ178&lt;=600000,(BQ178-400000)*25%+1500+2250+26000+45000,
IF(AND(BQ178&gt;600000,BQ178&lt;=1200000),(BQ178-400000)*25%+1500+2250+26000+45000
+IFERROR(LOOKUP(BQ178,{600001;700001;800001;900001},{4000;6750;10250;15250}),0),IF(BQ178&gt;1200000,((BQ178-1200000)*27.5%)+300000,0)
)))))))</f>
        <v>7372.4039999999986</v>
      </c>
      <c r="BS178" s="32">
        <f>(BR178/12*'11-2025'!$J178)</f>
        <v>614.36699999999985</v>
      </c>
      <c r="BT178" s="33">
        <f>BS178-'11-2025'!$V178</f>
        <v>451.86699999999985</v>
      </c>
      <c r="BU178" s="32">
        <f>IFERROR(+'11-2025'!$W178+AL178+AM178+BJ178-'11-2025'!$AJ178-BT178+AN178+AO178,"")-AL178+AP178+AQ178</f>
        <v>6704.9679999999989</v>
      </c>
      <c r="BV178" s="36"/>
      <c r="BW178" s="37"/>
      <c r="BX178" s="37">
        <f t="shared" si="34"/>
        <v>6704.9679999999989</v>
      </c>
      <c r="BY178" s="37"/>
    </row>
    <row r="179" spans="1:77" x14ac:dyDescent="0.25">
      <c r="A179" s="43">
        <v>781</v>
      </c>
      <c r="B179" s="22" t="s">
        <v>290</v>
      </c>
      <c r="C179" s="22" t="s">
        <v>71</v>
      </c>
      <c r="D179" s="22" t="s">
        <v>72</v>
      </c>
      <c r="E179" s="22" t="s">
        <v>88</v>
      </c>
      <c r="F179" s="22" t="s">
        <v>102</v>
      </c>
      <c r="G179" s="23">
        <v>45936</v>
      </c>
      <c r="H179" s="22"/>
      <c r="I179" s="24" t="s">
        <v>269</v>
      </c>
      <c r="J179" s="25">
        <v>1</v>
      </c>
      <c r="K179" s="25">
        <v>2500</v>
      </c>
      <c r="L179" s="25"/>
      <c r="M179" s="26"/>
      <c r="N179" s="25">
        <f>SUM('11-2025'!$K179:$M179)</f>
        <v>2500</v>
      </c>
      <c r="O179" s="25"/>
      <c r="P179" s="25">
        <f t="shared" si="27"/>
        <v>0</v>
      </c>
      <c r="Q179" s="25">
        <f t="shared" si="28"/>
        <v>0</v>
      </c>
      <c r="R179" s="25">
        <v>1666.6666666666667</v>
      </c>
      <c r="S179" s="27">
        <f t="shared" si="29"/>
        <v>833.33333333333326</v>
      </c>
      <c r="T179" s="25">
        <f t="shared" si="30"/>
        <v>10000</v>
      </c>
      <c r="U179" s="25">
        <f>IF(T179&lt;=40000,0,
IF(T179&lt;=55000,(T179-40000)*10%,
IF(T179&lt;=70000,(T179-55000)*15%+1500,
IF(T179&lt;=200000,(T179-70000)*20%+1500+2250,
IF(T179&lt;=400000,(T179-200000)*22.5%+1500+2250+26000,
IF(T179&lt;=600000,(T179-400000)*25%+1500+2250+26000+45000,
IF(AND(T179&gt;600000,T179&lt;=1200000),(T179-400000)*25%+1500+2250+26000+45000
+IFERROR(LOOKUP(T179,{600001;700001;800001;900001},{4000;6750;10250;15250}),0),IF(T179&gt;1200000,((T179-1200000)*27.5%)+300000,0)
)))))))</f>
        <v>0</v>
      </c>
      <c r="V179" s="25">
        <f t="shared" si="31"/>
        <v>0</v>
      </c>
      <c r="W179" s="28">
        <f>+'11-2025'!$S179-'11-2025'!$V179+'11-2025'!$R179</f>
        <v>2500</v>
      </c>
      <c r="X179" s="28">
        <f t="shared" si="32"/>
        <v>83.333333333333329</v>
      </c>
      <c r="Y179" s="29">
        <v>0</v>
      </c>
      <c r="Z179" s="29">
        <f>IFERROR(+'11-2025'!$X179*'11-2025'!$Y179,"")</f>
        <v>0</v>
      </c>
      <c r="AA179" s="29">
        <v>0</v>
      </c>
      <c r="AB179" s="29">
        <f>IFERROR(+'11-2025'!$X179*'11-2025'!$AA179,"")</f>
        <v>0</v>
      </c>
      <c r="AC179" s="29">
        <v>0</v>
      </c>
      <c r="AD179" s="29">
        <f>IFERROR(+'11-2025'!$X179*'11-2025'!$AC179,"")</f>
        <v>0</v>
      </c>
      <c r="AE179" s="29">
        <v>0</v>
      </c>
      <c r="AF179" s="29">
        <f>IFERROR(+'11-2025'!$X179*'11-2025'!$AE179,"")</f>
        <v>0</v>
      </c>
      <c r="AG179" s="29">
        <v>0</v>
      </c>
      <c r="AH179" s="29">
        <f>IFERROR(+'11-2025'!$X179*'11-2025'!$AG179,"")</f>
        <v>0</v>
      </c>
      <c r="AI179" s="29">
        <v>0</v>
      </c>
      <c r="AJ179" s="29">
        <f>IFERROR('11-2025'!$Z179+'11-2025'!$AB179+'11-2025'!$AD179+'11-2025'!$AF179+'11-2025'!$AH179+'11-2025'!$AI179,"")</f>
        <v>0</v>
      </c>
      <c r="AK179" s="30">
        <f>IFERROR('11-2025'!$W179-'11-2025'!$AJ179,"")</f>
        <v>2500</v>
      </c>
      <c r="AL179" s="31"/>
      <c r="AM179" s="31"/>
      <c r="AN179" s="31"/>
      <c r="AO179" s="31">
        <v>40</v>
      </c>
      <c r="AP179" s="31"/>
      <c r="AQ179" s="31"/>
      <c r="AR179" s="31">
        <v>578.39742499999988</v>
      </c>
      <c r="AS179" s="31">
        <v>0</v>
      </c>
      <c r="AT179" s="31">
        <v>0</v>
      </c>
      <c r="AU179" s="31">
        <v>0</v>
      </c>
      <c r="AV179" s="31">
        <v>0</v>
      </c>
      <c r="AW179" s="31">
        <v>0</v>
      </c>
      <c r="AX179" s="31">
        <v>0</v>
      </c>
      <c r="AY179" s="31">
        <v>0</v>
      </c>
      <c r="AZ179" s="31">
        <v>0</v>
      </c>
      <c r="BA179" s="31">
        <v>0</v>
      </c>
      <c r="BB179" s="31">
        <v>0</v>
      </c>
      <c r="BC179" s="31">
        <v>0</v>
      </c>
      <c r="BD179" s="31">
        <v>0</v>
      </c>
      <c r="BE179" s="31">
        <v>0</v>
      </c>
      <c r="BF179" s="31">
        <v>0</v>
      </c>
      <c r="BG179" s="31">
        <v>0</v>
      </c>
      <c r="BH179" s="31">
        <v>0</v>
      </c>
      <c r="BI179" s="31">
        <v>0</v>
      </c>
      <c r="BJ179" s="32">
        <f t="shared" si="35"/>
        <v>578.39742499999988</v>
      </c>
      <c r="BK179" s="41">
        <f>BJ179+AM179+AL179+'11-2025'!$N179+AN179+AO179</f>
        <v>3118.3974250000001</v>
      </c>
      <c r="BL179" s="34">
        <f>'11-2025'!$O179</f>
        <v>0</v>
      </c>
      <c r="BM179" s="34">
        <f t="shared" si="24"/>
        <v>0</v>
      </c>
      <c r="BN179" s="34">
        <f t="shared" si="25"/>
        <v>0</v>
      </c>
      <c r="BO179" s="34">
        <f t="shared" si="33"/>
        <v>1666.6666666666667</v>
      </c>
      <c r="BP179" s="35">
        <f t="shared" si="26"/>
        <v>1451.7307583333334</v>
      </c>
      <c r="BQ179" s="34">
        <f>IFERROR(BP179/'11-2025'!$J179,0)*12</f>
        <v>17420.769100000001</v>
      </c>
      <c r="BR179" s="34">
        <f>IF(BQ179&lt;=40000,0,
IF(BQ179&lt;=55000,(BQ179-40000)*10%,
IF(BQ179&lt;=70000,(BQ179-55000)*15%+1500,
IF(BQ179&lt;=200000,(BQ179-70000)*20%+1500+2250,
IF(BQ179&lt;=400000,(BQ179-200000)*22.5%+1500+2250+26000,
IF(BQ179&lt;=600000,(BQ179-400000)*25%+1500+2250+26000+45000,
IF(AND(BQ179&gt;600000,BQ179&lt;=1200000),(BQ179-400000)*25%+1500+2250+26000+45000
+IFERROR(LOOKUP(BQ179,{600001;700001;800001;900001},{4000;6750;10250;15250}),0),IF(BQ179&gt;1200000,((BQ179-1200000)*27.5%)+300000,0)
)))))))</f>
        <v>0</v>
      </c>
      <c r="BS179" s="32">
        <f>(BR179/12*'11-2025'!$J179)</f>
        <v>0</v>
      </c>
      <c r="BT179" s="33">
        <f>BS179-'11-2025'!$V179</f>
        <v>0</v>
      </c>
      <c r="BU179" s="32">
        <f>IFERROR(+'11-2025'!$W179+AL179+AM179+BJ179-'11-2025'!$AJ179-BT179+AN179+AO179,"")-AL179+AP179+AQ179</f>
        <v>3118.3974250000001</v>
      </c>
      <c r="BV179" s="36"/>
      <c r="BW179" s="37"/>
      <c r="BX179" s="37">
        <f t="shared" si="34"/>
        <v>3118.3974250000001</v>
      </c>
      <c r="BY179" s="37"/>
    </row>
    <row r="180" spans="1:77" x14ac:dyDescent="0.25">
      <c r="A180" s="44">
        <v>782</v>
      </c>
      <c r="B180" s="22" t="s">
        <v>291</v>
      </c>
      <c r="C180" s="22" t="s">
        <v>226</v>
      </c>
      <c r="D180" s="22" t="s">
        <v>72</v>
      </c>
      <c r="E180" s="22">
        <v>0</v>
      </c>
      <c r="F180" s="22" t="s">
        <v>139</v>
      </c>
      <c r="G180" s="23">
        <v>45936</v>
      </c>
      <c r="H180" s="23">
        <v>45962</v>
      </c>
      <c r="I180" s="24" t="s">
        <v>269</v>
      </c>
      <c r="J180" s="25">
        <v>1</v>
      </c>
      <c r="K180" s="25">
        <v>3000</v>
      </c>
      <c r="L180" s="25"/>
      <c r="M180" s="26"/>
      <c r="N180" s="25">
        <f>SUM('11-2025'!$K180:$M180)</f>
        <v>3000</v>
      </c>
      <c r="O180" s="25"/>
      <c r="P180" s="25">
        <f t="shared" si="27"/>
        <v>0</v>
      </c>
      <c r="Q180" s="25">
        <f t="shared" si="28"/>
        <v>0</v>
      </c>
      <c r="R180" s="25">
        <v>1666.6666666666667</v>
      </c>
      <c r="S180" s="27">
        <f t="shared" si="29"/>
        <v>1333.3333333333333</v>
      </c>
      <c r="T180" s="25">
        <f t="shared" si="30"/>
        <v>16000</v>
      </c>
      <c r="U180" s="25">
        <f>IF(T180&lt;=40000,0,
IF(T180&lt;=55000,(T180-40000)*10%,
IF(T180&lt;=70000,(T180-55000)*15%+1500,
IF(T180&lt;=200000,(T180-70000)*20%+1500+2250,
IF(T180&lt;=400000,(T180-200000)*22.5%+1500+2250+26000,
IF(T180&lt;=600000,(T180-400000)*25%+1500+2250+26000+45000,
IF(AND(T180&gt;600000,T180&lt;=1200000),(T180-400000)*25%+1500+2250+26000+45000
+IFERROR(LOOKUP(T180,{600001;700001;800001;900001},{4000;6750;10250;15250}),0),IF(T180&gt;1200000,((T180-1200000)*27.5%)+300000,0)
)))))))</f>
        <v>0</v>
      </c>
      <c r="V180" s="25">
        <f t="shared" si="31"/>
        <v>0</v>
      </c>
      <c r="W180" s="28">
        <f>+'11-2025'!$S180-'11-2025'!$V180+'11-2025'!$R180</f>
        <v>3000</v>
      </c>
      <c r="X180" s="28">
        <f t="shared" si="32"/>
        <v>100</v>
      </c>
      <c r="Y180" s="29"/>
      <c r="Z180" s="29">
        <f>IFERROR(+'11-2025'!$X180*'11-2025'!$Y180,"")</f>
        <v>0</v>
      </c>
      <c r="AA180" s="29">
        <v>6</v>
      </c>
      <c r="AB180" s="29">
        <f>IFERROR(+'11-2025'!$X180*'11-2025'!$AA180,"")</f>
        <v>600</v>
      </c>
      <c r="AC180" s="29">
        <v>24</v>
      </c>
      <c r="AD180" s="29">
        <f>IFERROR(+'11-2025'!$X180*'11-2025'!$AC180,"")</f>
        <v>2400</v>
      </c>
      <c r="AE180" s="29">
        <v>0</v>
      </c>
      <c r="AF180" s="29">
        <f>IFERROR(+'11-2025'!$X180*'11-2025'!$AE180,"")</f>
        <v>0</v>
      </c>
      <c r="AG180" s="29"/>
      <c r="AH180" s="29">
        <f>IFERROR(+'11-2025'!$X180*'11-2025'!$AG180,"")</f>
        <v>0</v>
      </c>
      <c r="AI180" s="29">
        <v>0</v>
      </c>
      <c r="AJ180" s="29">
        <f>IFERROR('11-2025'!$Z180+'11-2025'!$AB180+'11-2025'!$AD180+'11-2025'!$AF180+'11-2025'!$AH180+'11-2025'!$AI180,"")</f>
        <v>3000</v>
      </c>
      <c r="AK180" s="30">
        <f>IFERROR('11-2025'!$W180-'11-2025'!$AJ180,"")</f>
        <v>0</v>
      </c>
      <c r="AL180" s="31"/>
      <c r="AM180" s="31"/>
      <c r="AN180" s="31"/>
      <c r="AO180" s="31"/>
      <c r="AP180" s="31"/>
      <c r="AQ180" s="31"/>
      <c r="AR180" s="31">
        <v>0</v>
      </c>
      <c r="AS180" s="31">
        <v>0</v>
      </c>
      <c r="AT180" s="31">
        <v>0</v>
      </c>
      <c r="AU180" s="31">
        <v>0</v>
      </c>
      <c r="AV180" s="31">
        <v>0</v>
      </c>
      <c r="AW180" s="31">
        <v>0</v>
      </c>
      <c r="AX180" s="31">
        <v>0</v>
      </c>
      <c r="AY180" s="31">
        <v>0</v>
      </c>
      <c r="AZ180" s="31">
        <v>0</v>
      </c>
      <c r="BA180" s="31">
        <v>0</v>
      </c>
      <c r="BB180" s="31">
        <v>0</v>
      </c>
      <c r="BC180" s="31">
        <v>0</v>
      </c>
      <c r="BD180" s="31">
        <v>0</v>
      </c>
      <c r="BE180" s="31">
        <v>0</v>
      </c>
      <c r="BF180" s="31">
        <v>0</v>
      </c>
      <c r="BG180" s="31">
        <v>0</v>
      </c>
      <c r="BH180" s="31">
        <v>0</v>
      </c>
      <c r="BI180" s="31">
        <v>0</v>
      </c>
      <c r="BJ180" s="32">
        <f t="shared" si="35"/>
        <v>0</v>
      </c>
      <c r="BK180" s="41">
        <f>BJ180+AM180+AL180+'11-2025'!$N180+AN180+AO180</f>
        <v>3000</v>
      </c>
      <c r="BL180" s="34">
        <f>'11-2025'!$O180</f>
        <v>0</v>
      </c>
      <c r="BM180" s="34">
        <f t="shared" si="24"/>
        <v>0</v>
      </c>
      <c r="BN180" s="34">
        <f t="shared" si="25"/>
        <v>0</v>
      </c>
      <c r="BO180" s="34">
        <f t="shared" si="33"/>
        <v>1666.6666666666667</v>
      </c>
      <c r="BP180" s="35">
        <f t="shared" si="26"/>
        <v>1333.3333333333333</v>
      </c>
      <c r="BQ180" s="34">
        <f>IFERROR(BP180/'11-2025'!$J180,0)*12</f>
        <v>16000</v>
      </c>
      <c r="BR180" s="34">
        <f>IF(BQ180&lt;=40000,0,
IF(BQ180&lt;=55000,(BQ180-40000)*10%,
IF(BQ180&lt;=70000,(BQ180-55000)*15%+1500,
IF(BQ180&lt;=200000,(BQ180-70000)*20%+1500+2250,
IF(BQ180&lt;=400000,(BQ180-200000)*22.5%+1500+2250+26000,
IF(BQ180&lt;=600000,(BQ180-400000)*25%+1500+2250+26000+45000,
IF(AND(BQ180&gt;600000,BQ180&lt;=1200000),(BQ180-400000)*25%+1500+2250+26000+45000
+IFERROR(LOOKUP(BQ180,{600001;700001;800001;900001},{4000;6750;10250;15250}),0),IF(BQ180&gt;1200000,((BQ180-1200000)*27.5%)+300000,0)
)))))))</f>
        <v>0</v>
      </c>
      <c r="BS180" s="32">
        <f>(BR180/12*'11-2025'!$J180)</f>
        <v>0</v>
      </c>
      <c r="BT180" s="33">
        <f>BS180-'11-2025'!$V180</f>
        <v>0</v>
      </c>
      <c r="BU180" s="32">
        <f>IFERROR(+'11-2025'!$W180+AL180+AM180+BJ180-'11-2025'!$AJ180-BT180+AN180+AO180,"")-AL180+AP180+AQ180</f>
        <v>0</v>
      </c>
      <c r="BV180" s="36"/>
      <c r="BW180" s="37"/>
      <c r="BX180" s="37">
        <f t="shared" si="34"/>
        <v>0</v>
      </c>
      <c r="BY180" s="37"/>
    </row>
    <row r="181" spans="1:77" x14ac:dyDescent="0.25">
      <c r="A181" s="43">
        <v>783</v>
      </c>
      <c r="B181" s="22" t="s">
        <v>292</v>
      </c>
      <c r="C181" s="22" t="s">
        <v>106</v>
      </c>
      <c r="D181" s="22" t="s">
        <v>72</v>
      </c>
      <c r="E181" s="22" t="s">
        <v>88</v>
      </c>
      <c r="F181" s="22" t="s">
        <v>74</v>
      </c>
      <c r="G181" s="23">
        <v>45938</v>
      </c>
      <c r="H181" s="22"/>
      <c r="I181" s="24" t="s">
        <v>269</v>
      </c>
      <c r="J181" s="25">
        <v>1</v>
      </c>
      <c r="K181" s="25">
        <v>6111.11</v>
      </c>
      <c r="L181" s="25"/>
      <c r="M181" s="26"/>
      <c r="N181" s="25">
        <f>SUM('11-2025'!$K181:$M181)</f>
        <v>6111.11</v>
      </c>
      <c r="O181" s="25"/>
      <c r="P181" s="25">
        <f t="shared" si="27"/>
        <v>0</v>
      </c>
      <c r="Q181" s="25">
        <f t="shared" si="28"/>
        <v>0</v>
      </c>
      <c r="R181" s="25">
        <v>1666.6666666666667</v>
      </c>
      <c r="S181" s="27">
        <f t="shared" si="29"/>
        <v>4444.4433333333327</v>
      </c>
      <c r="T181" s="25">
        <f t="shared" si="30"/>
        <v>53333.319999999992</v>
      </c>
      <c r="U181" s="25">
        <f>IF(T181&lt;=40000,0,
IF(T181&lt;=55000,(T181-40000)*10%,
IF(T181&lt;=70000,(T181-55000)*15%+1500,
IF(T181&lt;=200000,(T181-70000)*20%+1500+2250,
IF(T181&lt;=400000,(T181-200000)*22.5%+1500+2250+26000,
IF(T181&lt;=600000,(T181-400000)*25%+1500+2250+26000+45000,
IF(AND(T181&gt;600000,T181&lt;=1200000),(T181-400000)*25%+1500+2250+26000+45000
+IFERROR(LOOKUP(T181,{600001;700001;800001;900001},{4000;6750;10250;15250}),0),IF(T181&gt;1200000,((T181-1200000)*27.5%)+300000,0)
)))))))</f>
        <v>1333.3319999999994</v>
      </c>
      <c r="V181" s="25">
        <f t="shared" si="31"/>
        <v>111.11099999999995</v>
      </c>
      <c r="W181" s="28">
        <f>+'11-2025'!$S181-'11-2025'!$V181+'11-2025'!$R181</f>
        <v>5999.9989999999998</v>
      </c>
      <c r="X181" s="28">
        <f t="shared" si="32"/>
        <v>199.99996666666667</v>
      </c>
      <c r="Y181" s="29">
        <v>0</v>
      </c>
      <c r="Z181" s="29">
        <f>IFERROR(+'11-2025'!$X181*'11-2025'!$Y181,"")</f>
        <v>0</v>
      </c>
      <c r="AA181" s="29">
        <v>0</v>
      </c>
      <c r="AB181" s="29">
        <f>IFERROR(+'11-2025'!$X181*'11-2025'!$AA181,"")</f>
        <v>0</v>
      </c>
      <c r="AC181" s="29">
        <v>0</v>
      </c>
      <c r="AD181" s="29">
        <f>IFERROR(+'11-2025'!$X181*'11-2025'!$AC181,"")</f>
        <v>0</v>
      </c>
      <c r="AE181" s="29">
        <v>0</v>
      </c>
      <c r="AF181" s="29">
        <f>IFERROR(+'11-2025'!$X181*'11-2025'!$AE181,"")</f>
        <v>0</v>
      </c>
      <c r="AG181" s="29">
        <v>0</v>
      </c>
      <c r="AH181" s="29">
        <f>IFERROR(+'11-2025'!$X181*'11-2025'!$AG181,"")</f>
        <v>0</v>
      </c>
      <c r="AI181" s="29">
        <v>0</v>
      </c>
      <c r="AJ181" s="29">
        <f>IFERROR('11-2025'!$Z181+'11-2025'!$AB181+'11-2025'!$AD181+'11-2025'!$AF181+'11-2025'!$AH181+'11-2025'!$AI181,"")</f>
        <v>0</v>
      </c>
      <c r="AK181" s="30">
        <f>IFERROR('11-2025'!$W181-'11-2025'!$AJ181,"")</f>
        <v>5999.9989999999998</v>
      </c>
      <c r="AL181" s="31"/>
      <c r="AM181" s="31"/>
      <c r="AN181" s="31"/>
      <c r="AO181" s="31">
        <v>0</v>
      </c>
      <c r="AP181" s="31"/>
      <c r="AQ181" s="31"/>
      <c r="AR181" s="31">
        <v>0</v>
      </c>
      <c r="AS181" s="31">
        <v>2100</v>
      </c>
      <c r="AT181" s="31">
        <v>0</v>
      </c>
      <c r="AU181" s="31">
        <v>1793.5977</v>
      </c>
      <c r="AV181" s="31">
        <v>0</v>
      </c>
      <c r="AW181" s="31">
        <v>0</v>
      </c>
      <c r="AX181" s="31">
        <v>0</v>
      </c>
      <c r="AY181" s="31">
        <v>0</v>
      </c>
      <c r="AZ181" s="31">
        <v>0</v>
      </c>
      <c r="BA181" s="31">
        <v>0</v>
      </c>
      <c r="BB181" s="31">
        <v>0</v>
      </c>
      <c r="BC181" s="31">
        <v>0</v>
      </c>
      <c r="BD181" s="31">
        <v>0</v>
      </c>
      <c r="BE181" s="31">
        <v>0</v>
      </c>
      <c r="BF181" s="31">
        <v>0</v>
      </c>
      <c r="BG181" s="31">
        <v>0</v>
      </c>
      <c r="BH181" s="31">
        <v>0</v>
      </c>
      <c r="BI181" s="31">
        <v>0</v>
      </c>
      <c r="BJ181" s="32">
        <f t="shared" si="35"/>
        <v>3893.5977000000003</v>
      </c>
      <c r="BK181" s="41">
        <f>BJ181+AM181+AL181+'11-2025'!$N181+AN181+AO181</f>
        <v>10004.707699999999</v>
      </c>
      <c r="BL181" s="34">
        <f>'11-2025'!$O181</f>
        <v>0</v>
      </c>
      <c r="BM181" s="34">
        <f t="shared" si="24"/>
        <v>0</v>
      </c>
      <c r="BN181" s="34">
        <f t="shared" si="25"/>
        <v>0</v>
      </c>
      <c r="BO181" s="34">
        <f t="shared" si="33"/>
        <v>1666.6666666666667</v>
      </c>
      <c r="BP181" s="35">
        <f t="shared" si="26"/>
        <v>8338.041033333333</v>
      </c>
      <c r="BQ181" s="34">
        <f>IFERROR(BP181/'11-2025'!$J181,0)*12</f>
        <v>100056.49239999999</v>
      </c>
      <c r="BR181" s="34">
        <f>IF(BQ181&lt;=40000,0,
IF(BQ181&lt;=55000,(BQ181-40000)*10%,
IF(BQ181&lt;=70000,(BQ181-55000)*15%+1500,
IF(BQ181&lt;=200000,(BQ181-70000)*20%+1500+2250,
IF(BQ181&lt;=400000,(BQ181-200000)*22.5%+1500+2250+26000,
IF(BQ181&lt;=600000,(BQ181-400000)*25%+1500+2250+26000+45000,
IF(AND(BQ181&gt;600000,BQ181&lt;=1200000),(BQ181-400000)*25%+1500+2250+26000+45000
+IFERROR(LOOKUP(BQ181,{600001;700001;800001;900001},{4000;6750;10250;15250}),0),IF(BQ181&gt;1200000,((BQ181-1200000)*27.5%)+300000,0)
)))))))</f>
        <v>9761.2984799999977</v>
      </c>
      <c r="BS181" s="32">
        <f>(BR181/12*'11-2025'!$J181)</f>
        <v>813.4415399999998</v>
      </c>
      <c r="BT181" s="33">
        <f>BS181-'11-2025'!$V181</f>
        <v>702.33053999999981</v>
      </c>
      <c r="BU181" s="32">
        <f>IFERROR(+'11-2025'!$W181+AL181+AM181+BJ181-'11-2025'!$AJ181-BT181+AN181+AO181,"")-AL181+AP181+AQ181</f>
        <v>9191.266160000001</v>
      </c>
      <c r="BV181" s="36"/>
      <c r="BW181" s="37"/>
      <c r="BX181" s="37">
        <f t="shared" si="34"/>
        <v>9191.266160000001</v>
      </c>
      <c r="BY181" s="37"/>
    </row>
    <row r="182" spans="1:77" s="75" customFormat="1" x14ac:dyDescent="0.25">
      <c r="A182" s="44">
        <v>784</v>
      </c>
      <c r="B182" s="40" t="s">
        <v>293</v>
      </c>
      <c r="C182" s="40" t="s">
        <v>81</v>
      </c>
      <c r="D182" s="40" t="s">
        <v>72</v>
      </c>
      <c r="E182" s="40">
        <v>0</v>
      </c>
      <c r="F182" s="40" t="s">
        <v>102</v>
      </c>
      <c r="G182" s="61">
        <v>45945</v>
      </c>
      <c r="H182" s="40"/>
      <c r="I182" s="62" t="s">
        <v>269</v>
      </c>
      <c r="J182" s="63">
        <v>1</v>
      </c>
      <c r="K182" s="63">
        <v>2500</v>
      </c>
      <c r="L182" s="63"/>
      <c r="M182" s="64"/>
      <c r="N182" s="63">
        <f>SUM('11-2025'!$K182:$M182)</f>
        <v>2500</v>
      </c>
      <c r="O182" s="63"/>
      <c r="P182" s="63">
        <f t="shared" si="27"/>
        <v>0</v>
      </c>
      <c r="Q182" s="63">
        <f t="shared" si="28"/>
        <v>0</v>
      </c>
      <c r="R182" s="63">
        <v>1666.6666666666667</v>
      </c>
      <c r="S182" s="65">
        <f t="shared" si="29"/>
        <v>833.33333333333326</v>
      </c>
      <c r="T182" s="63">
        <f t="shared" si="30"/>
        <v>10000</v>
      </c>
      <c r="U182" s="63">
        <f>IF(T182&lt;=40000,0,
IF(T182&lt;=55000,(T182-40000)*10%,
IF(T182&lt;=70000,(T182-55000)*15%+1500,
IF(T182&lt;=200000,(T182-70000)*20%+1500+2250,
IF(T182&lt;=400000,(T182-200000)*22.5%+1500+2250+26000,
IF(T182&lt;=600000,(T182-400000)*25%+1500+2250+26000+45000,
IF(AND(T182&gt;600000,T182&lt;=1200000),(T182-400000)*25%+1500+2250+26000+45000
+IFERROR(LOOKUP(T182,{600001;700001;800001;900001},{4000;6750;10250;15250}),0),IF(T182&gt;1200000,((T182-1200000)*27.5%)+300000,0)
)))))))</f>
        <v>0</v>
      </c>
      <c r="V182" s="63">
        <f t="shared" si="31"/>
        <v>0</v>
      </c>
      <c r="W182" s="66">
        <f>+'11-2025'!$S182-'11-2025'!$V182+'11-2025'!$R182</f>
        <v>2500</v>
      </c>
      <c r="X182" s="66">
        <f t="shared" si="32"/>
        <v>83.333333333333329</v>
      </c>
      <c r="Y182" s="67"/>
      <c r="Z182" s="67">
        <f>IFERROR(+'11-2025'!$X182*'11-2025'!$Y182,"")</f>
        <v>0</v>
      </c>
      <c r="AA182" s="67"/>
      <c r="AB182" s="67">
        <f>IFERROR(+'11-2025'!$X182*'11-2025'!$AA182,"")</f>
        <v>0</v>
      </c>
      <c r="AC182" s="67">
        <v>30</v>
      </c>
      <c r="AD182" s="67">
        <f>IFERROR(+'11-2025'!$X182*'11-2025'!$AC182,"")</f>
        <v>2500</v>
      </c>
      <c r="AE182" s="67"/>
      <c r="AF182" s="67">
        <f>IFERROR(+'11-2025'!$X182*'11-2025'!$AE182,"")</f>
        <v>0</v>
      </c>
      <c r="AG182" s="67"/>
      <c r="AH182" s="67">
        <f>IFERROR(+'11-2025'!$X182*'11-2025'!$AG182,"")</f>
        <v>0</v>
      </c>
      <c r="AI182" s="29">
        <v>0</v>
      </c>
      <c r="AJ182" s="67">
        <f>IFERROR('11-2025'!$Z182+'11-2025'!$AB182+'11-2025'!$AD182+'11-2025'!$AF182+'11-2025'!$AH182+'11-2025'!$AI182,"")</f>
        <v>2500</v>
      </c>
      <c r="AK182" s="68">
        <f>IFERROR('11-2025'!$W182-'11-2025'!$AJ182,"")</f>
        <v>0</v>
      </c>
      <c r="AL182" s="69"/>
      <c r="AM182" s="69"/>
      <c r="AN182" s="69"/>
      <c r="AO182" s="69"/>
      <c r="AP182" s="69"/>
      <c r="AQ182" s="69"/>
      <c r="AR182" s="31">
        <v>0</v>
      </c>
      <c r="AS182" s="31">
        <v>0</v>
      </c>
      <c r="AT182" s="31">
        <v>0</v>
      </c>
      <c r="AU182" s="31">
        <v>0</v>
      </c>
      <c r="AV182" s="31">
        <v>0</v>
      </c>
      <c r="AW182" s="31">
        <v>0</v>
      </c>
      <c r="AX182" s="31">
        <v>0</v>
      </c>
      <c r="AY182" s="31">
        <v>0</v>
      </c>
      <c r="AZ182" s="31">
        <v>0</v>
      </c>
      <c r="BA182" s="31">
        <v>0</v>
      </c>
      <c r="BB182" s="31">
        <v>0</v>
      </c>
      <c r="BC182" s="31">
        <v>0</v>
      </c>
      <c r="BD182" s="31">
        <v>0</v>
      </c>
      <c r="BE182" s="31">
        <v>0</v>
      </c>
      <c r="BF182" s="31">
        <v>0</v>
      </c>
      <c r="BG182" s="31">
        <v>0</v>
      </c>
      <c r="BH182" s="31">
        <v>0</v>
      </c>
      <c r="BI182" s="31">
        <v>0</v>
      </c>
      <c r="BJ182" s="39">
        <f t="shared" si="35"/>
        <v>0</v>
      </c>
      <c r="BK182" s="77">
        <f>BJ182+AM182+AL182+'11-2025'!$N182+AN182+AO182</f>
        <v>2500</v>
      </c>
      <c r="BL182" s="71">
        <f>'11-2025'!$O182</f>
        <v>0</v>
      </c>
      <c r="BM182" s="71">
        <f t="shared" si="24"/>
        <v>0</v>
      </c>
      <c r="BN182" s="71">
        <f t="shared" si="25"/>
        <v>0</v>
      </c>
      <c r="BO182" s="71">
        <f t="shared" si="33"/>
        <v>1666.6666666666667</v>
      </c>
      <c r="BP182" s="72">
        <f t="shared" si="26"/>
        <v>833.33333333333326</v>
      </c>
      <c r="BQ182" s="71">
        <f>IFERROR(BP182/'11-2025'!$J182,0)*12</f>
        <v>10000</v>
      </c>
      <c r="BR182" s="71">
        <f>IF(BQ182&lt;=40000,0,
IF(BQ182&lt;=55000,(BQ182-40000)*10%,
IF(BQ182&lt;=70000,(BQ182-55000)*15%+1500,
IF(BQ182&lt;=200000,(BQ182-70000)*20%+1500+2250,
IF(BQ182&lt;=400000,(BQ182-200000)*22.5%+1500+2250+26000,
IF(BQ182&lt;=600000,(BQ182-400000)*25%+1500+2250+26000+45000,
IF(AND(BQ182&gt;600000,BQ182&lt;=1200000),(BQ182-400000)*25%+1500+2250+26000+45000
+IFERROR(LOOKUP(BQ182,{600001;700001;800001;900001},{4000;6750;10250;15250}),0),IF(BQ182&gt;1200000,((BQ182-1200000)*27.5%)+300000,0)
)))))))</f>
        <v>0</v>
      </c>
      <c r="BS182" s="39">
        <f>(BR182/12*'11-2025'!$J182)</f>
        <v>0</v>
      </c>
      <c r="BT182" s="70">
        <f>BS182-'11-2025'!$V182</f>
        <v>0</v>
      </c>
      <c r="BU182" s="39">
        <f>IFERROR(+'11-2025'!$W182+AL182+AM182+BJ182-'11-2025'!$AJ182-BT182+AN182+AO182,"")-AL182+AP182+AQ182</f>
        <v>0</v>
      </c>
      <c r="BV182" s="73"/>
      <c r="BW182" s="74"/>
      <c r="BX182" s="74">
        <f t="shared" si="34"/>
        <v>0</v>
      </c>
      <c r="BY182" s="74"/>
    </row>
    <row r="183" spans="1:77" s="75" customFormat="1" x14ac:dyDescent="0.25">
      <c r="A183" s="44">
        <v>786</v>
      </c>
      <c r="B183" s="40" t="s">
        <v>294</v>
      </c>
      <c r="C183" s="40" t="s">
        <v>106</v>
      </c>
      <c r="D183" s="40" t="s">
        <v>72</v>
      </c>
      <c r="E183" s="40">
        <v>0</v>
      </c>
      <c r="F183" s="40" t="s">
        <v>139</v>
      </c>
      <c r="G183" s="61">
        <v>45946</v>
      </c>
      <c r="H183" s="40"/>
      <c r="I183" s="62" t="s">
        <v>269</v>
      </c>
      <c r="J183" s="63">
        <v>1</v>
      </c>
      <c r="K183" s="63">
        <v>3000</v>
      </c>
      <c r="L183" s="63"/>
      <c r="M183" s="64"/>
      <c r="N183" s="63">
        <f>SUM('11-2025'!$K183:$M183)</f>
        <v>3000</v>
      </c>
      <c r="O183" s="63"/>
      <c r="P183" s="63">
        <f t="shared" si="27"/>
        <v>0</v>
      </c>
      <c r="Q183" s="63">
        <f t="shared" si="28"/>
        <v>0</v>
      </c>
      <c r="R183" s="63">
        <v>1666.6666666666667</v>
      </c>
      <c r="S183" s="65">
        <f t="shared" si="29"/>
        <v>1333.3333333333333</v>
      </c>
      <c r="T183" s="63">
        <f t="shared" si="30"/>
        <v>16000</v>
      </c>
      <c r="U183" s="63">
        <f>IF(T183&lt;=40000,0,
IF(T183&lt;=55000,(T183-40000)*10%,
IF(T183&lt;=70000,(T183-55000)*15%+1500,
IF(T183&lt;=200000,(T183-70000)*20%+1500+2250,
IF(T183&lt;=400000,(T183-200000)*22.5%+1500+2250+26000,
IF(T183&lt;=600000,(T183-400000)*25%+1500+2250+26000+45000,
IF(AND(T183&gt;600000,T183&lt;=1200000),(T183-400000)*25%+1500+2250+26000+45000
+IFERROR(LOOKUP(T183,{600001;700001;800001;900001},{4000;6750;10250;15250}),0),IF(T183&gt;1200000,((T183-1200000)*27.5%)+300000,0)
)))))))</f>
        <v>0</v>
      </c>
      <c r="V183" s="63">
        <f t="shared" si="31"/>
        <v>0</v>
      </c>
      <c r="W183" s="66">
        <f>+'11-2025'!$S183-'11-2025'!$V183+'11-2025'!$R183</f>
        <v>3000</v>
      </c>
      <c r="X183" s="66">
        <f t="shared" si="32"/>
        <v>100</v>
      </c>
      <c r="Y183" s="67"/>
      <c r="Z183" s="67">
        <f>IFERROR(+'11-2025'!$X183*'11-2025'!$Y183,"")</f>
        <v>0</v>
      </c>
      <c r="AA183" s="67"/>
      <c r="AB183" s="67">
        <f>IFERROR(+'11-2025'!$X183*'11-2025'!$AA183,"")</f>
        <v>0</v>
      </c>
      <c r="AC183" s="67">
        <v>30</v>
      </c>
      <c r="AD183" s="67">
        <f>IFERROR(+'11-2025'!$X183*'11-2025'!$AC183,"")</f>
        <v>3000</v>
      </c>
      <c r="AE183" s="67"/>
      <c r="AF183" s="67">
        <f>IFERROR(+'11-2025'!$X183*'11-2025'!$AE183,"")</f>
        <v>0</v>
      </c>
      <c r="AG183" s="67"/>
      <c r="AH183" s="67">
        <f>IFERROR(+'11-2025'!$X183*'11-2025'!$AG183,"")</f>
        <v>0</v>
      </c>
      <c r="AI183" s="29">
        <v>0</v>
      </c>
      <c r="AJ183" s="67">
        <f>IFERROR('11-2025'!$Z183+'11-2025'!$AB183+'11-2025'!$AD183+'11-2025'!$AF183+'11-2025'!$AH183+'11-2025'!$AI183,"")</f>
        <v>3000</v>
      </c>
      <c r="AK183" s="68">
        <f>IFERROR('11-2025'!$W183-'11-2025'!$AJ183,"")</f>
        <v>0</v>
      </c>
      <c r="AL183" s="69"/>
      <c r="AM183" s="69"/>
      <c r="AN183" s="69"/>
      <c r="AO183" s="69"/>
      <c r="AP183" s="69"/>
      <c r="AQ183" s="69"/>
      <c r="AR183" s="31">
        <v>0</v>
      </c>
      <c r="AS183" s="31">
        <v>0</v>
      </c>
      <c r="AT183" s="31">
        <v>0</v>
      </c>
      <c r="AU183" s="31">
        <v>0</v>
      </c>
      <c r="AV183" s="31">
        <v>0</v>
      </c>
      <c r="AW183" s="31">
        <v>0</v>
      </c>
      <c r="AX183" s="31">
        <v>0</v>
      </c>
      <c r="AY183" s="31">
        <v>0</v>
      </c>
      <c r="AZ183" s="31">
        <v>0</v>
      </c>
      <c r="BA183" s="31">
        <v>0</v>
      </c>
      <c r="BB183" s="31">
        <v>0</v>
      </c>
      <c r="BC183" s="31">
        <v>0</v>
      </c>
      <c r="BD183" s="31">
        <v>0</v>
      </c>
      <c r="BE183" s="31">
        <v>0</v>
      </c>
      <c r="BF183" s="31">
        <v>0</v>
      </c>
      <c r="BG183" s="31">
        <v>0</v>
      </c>
      <c r="BH183" s="31">
        <v>0</v>
      </c>
      <c r="BI183" s="31">
        <v>0</v>
      </c>
      <c r="BJ183" s="39">
        <f t="shared" si="35"/>
        <v>0</v>
      </c>
      <c r="BK183" s="77">
        <f>BJ183+AM183+AL183+'11-2025'!$N183+AN183+AO183</f>
        <v>3000</v>
      </c>
      <c r="BL183" s="71">
        <f>'11-2025'!$O183</f>
        <v>0</v>
      </c>
      <c r="BM183" s="71">
        <f t="shared" si="24"/>
        <v>0</v>
      </c>
      <c r="BN183" s="71">
        <f t="shared" si="25"/>
        <v>0</v>
      </c>
      <c r="BO183" s="71">
        <f t="shared" si="33"/>
        <v>1666.6666666666667</v>
      </c>
      <c r="BP183" s="72">
        <f t="shared" si="26"/>
        <v>1333.3333333333333</v>
      </c>
      <c r="BQ183" s="71">
        <f>IFERROR(BP183/'11-2025'!$J183,0)*12</f>
        <v>16000</v>
      </c>
      <c r="BR183" s="71">
        <f>IF(BQ183&lt;=40000,0,
IF(BQ183&lt;=55000,(BQ183-40000)*10%,
IF(BQ183&lt;=70000,(BQ183-55000)*15%+1500,
IF(BQ183&lt;=200000,(BQ183-70000)*20%+1500+2250,
IF(BQ183&lt;=400000,(BQ183-200000)*22.5%+1500+2250+26000,
IF(BQ183&lt;=600000,(BQ183-400000)*25%+1500+2250+26000+45000,
IF(AND(BQ183&gt;600000,BQ183&lt;=1200000),(BQ183-400000)*25%+1500+2250+26000+45000
+IFERROR(LOOKUP(BQ183,{600001;700001;800001;900001},{4000;6750;10250;15250}),0),IF(BQ183&gt;1200000,((BQ183-1200000)*27.5%)+300000,0)
)))))))</f>
        <v>0</v>
      </c>
      <c r="BS183" s="39">
        <f>(BR183/12*'11-2025'!$J183)</f>
        <v>0</v>
      </c>
      <c r="BT183" s="70">
        <f>BS183-'11-2025'!$V183</f>
        <v>0</v>
      </c>
      <c r="BU183" s="39">
        <f>IFERROR(+'11-2025'!$W183+AL183+AM183+BJ183-'11-2025'!$AJ183-BT183+AN183+AO183,"")-AL183+AP183+AQ183</f>
        <v>0</v>
      </c>
      <c r="BV183" s="73"/>
      <c r="BW183" s="74"/>
      <c r="BX183" s="74">
        <f t="shared" si="34"/>
        <v>0</v>
      </c>
      <c r="BY183" s="74"/>
    </row>
    <row r="184" spans="1:77" x14ac:dyDescent="0.25">
      <c r="A184" s="43">
        <v>787</v>
      </c>
      <c r="B184" s="22" t="s">
        <v>327</v>
      </c>
      <c r="C184" s="22" t="s">
        <v>106</v>
      </c>
      <c r="D184" s="22" t="s">
        <v>72</v>
      </c>
      <c r="E184" s="22" t="s">
        <v>110</v>
      </c>
      <c r="F184" s="22" t="s">
        <v>102</v>
      </c>
      <c r="G184" s="23">
        <v>45949</v>
      </c>
      <c r="H184" s="22"/>
      <c r="I184" s="24" t="s">
        <v>269</v>
      </c>
      <c r="J184" s="25">
        <v>1</v>
      </c>
      <c r="K184" s="25">
        <v>2500</v>
      </c>
      <c r="L184" s="25"/>
      <c r="M184" s="26"/>
      <c r="N184" s="25">
        <f>SUM('11-2025'!$K184:$M184)</f>
        <v>2500</v>
      </c>
      <c r="O184" s="25"/>
      <c r="P184" s="25">
        <f t="shared" si="27"/>
        <v>0</v>
      </c>
      <c r="Q184" s="25">
        <f t="shared" si="28"/>
        <v>0</v>
      </c>
      <c r="R184" s="25">
        <v>1666.6666666666667</v>
      </c>
      <c r="S184" s="27">
        <f t="shared" si="29"/>
        <v>833.33333333333326</v>
      </c>
      <c r="T184" s="25">
        <f t="shared" si="30"/>
        <v>10000</v>
      </c>
      <c r="U184" s="25">
        <f>IF(T184&lt;=40000,0,
IF(T184&lt;=55000,(T184-40000)*10%,
IF(T184&lt;=70000,(T184-55000)*15%+1500,
IF(T184&lt;=200000,(T184-70000)*20%+1500+2250,
IF(T184&lt;=400000,(T184-200000)*22.5%+1500+2250+26000,
IF(T184&lt;=600000,(T184-400000)*25%+1500+2250+26000+45000,
IF(AND(T184&gt;600000,T184&lt;=1200000),(T184-400000)*25%+1500+2250+26000+45000
+IFERROR(LOOKUP(T184,{600001;700001;800001;900001},{4000;6750;10250;15250}),0),IF(T184&gt;1200000,((T184-1200000)*27.5%)+300000,0)
)))))))</f>
        <v>0</v>
      </c>
      <c r="V184" s="25">
        <f t="shared" si="31"/>
        <v>0</v>
      </c>
      <c r="W184" s="28">
        <f>+'11-2025'!$S184-'11-2025'!$V184+'11-2025'!$R184</f>
        <v>2500</v>
      </c>
      <c r="X184" s="28">
        <f t="shared" si="32"/>
        <v>83.333333333333329</v>
      </c>
      <c r="Y184" s="29">
        <v>0</v>
      </c>
      <c r="Z184" s="29">
        <f>IFERROR(+'11-2025'!$X184*'11-2025'!$Y184,"")</f>
        <v>0</v>
      </c>
      <c r="AA184" s="29">
        <v>0</v>
      </c>
      <c r="AB184" s="29">
        <f>IFERROR(+'11-2025'!$X184*'11-2025'!$AA184,"")</f>
        <v>0</v>
      </c>
      <c r="AC184" s="29">
        <v>0</v>
      </c>
      <c r="AD184" s="29">
        <f>IFERROR(+'11-2025'!$X184*'11-2025'!$AC184,"")</f>
        <v>0</v>
      </c>
      <c r="AE184" s="29">
        <v>0</v>
      </c>
      <c r="AF184" s="29">
        <f>IFERROR(+'11-2025'!$X184*'11-2025'!$AE184,"")</f>
        <v>0</v>
      </c>
      <c r="AG184" s="29">
        <v>0</v>
      </c>
      <c r="AH184" s="29">
        <f>IFERROR(+'11-2025'!$X184*'11-2025'!$AG184,"")</f>
        <v>0</v>
      </c>
      <c r="AI184" s="29">
        <v>300</v>
      </c>
      <c r="AJ184" s="29">
        <f>IFERROR('11-2025'!$Z184+'11-2025'!$AB184+'11-2025'!$AD184+'11-2025'!$AF184+'11-2025'!$AH184+'11-2025'!$AI184,"")</f>
        <v>300</v>
      </c>
      <c r="AK184" s="30">
        <f>IFERROR('11-2025'!$W184-'11-2025'!$AJ184,"")</f>
        <v>2200</v>
      </c>
      <c r="AL184" s="31"/>
      <c r="AM184" s="31"/>
      <c r="AN184" s="31"/>
      <c r="AO184" s="31">
        <v>0</v>
      </c>
      <c r="AP184" s="31"/>
      <c r="AQ184" s="31"/>
      <c r="AR184" s="31">
        <v>0</v>
      </c>
      <c r="AS184" s="31">
        <v>0</v>
      </c>
      <c r="AT184" s="31">
        <v>0</v>
      </c>
      <c r="AU184" s="31">
        <v>0</v>
      </c>
      <c r="AV184" s="31">
        <v>0</v>
      </c>
      <c r="AW184" s="31">
        <v>0</v>
      </c>
      <c r="AX184" s="31">
        <v>0</v>
      </c>
      <c r="AY184" s="31">
        <v>0</v>
      </c>
      <c r="AZ184" s="31">
        <v>0</v>
      </c>
      <c r="BA184" s="31">
        <v>0</v>
      </c>
      <c r="BB184" s="31">
        <v>0</v>
      </c>
      <c r="BC184" s="31">
        <v>0</v>
      </c>
      <c r="BD184" s="31">
        <v>0</v>
      </c>
      <c r="BE184" s="31">
        <v>109.125</v>
      </c>
      <c r="BF184" s="31">
        <v>0</v>
      </c>
      <c r="BG184" s="31">
        <v>0</v>
      </c>
      <c r="BH184" s="31">
        <v>0</v>
      </c>
      <c r="BI184" s="31">
        <v>0</v>
      </c>
      <c r="BJ184" s="32">
        <f t="shared" si="35"/>
        <v>109.125</v>
      </c>
      <c r="BK184" s="41">
        <f>BJ184+AM184+AL184+'11-2025'!$N184+AN184+AO184</f>
        <v>2609.125</v>
      </c>
      <c r="BL184" s="34">
        <f>'11-2025'!$O184</f>
        <v>0</v>
      </c>
      <c r="BM184" s="34">
        <f t="shared" si="24"/>
        <v>0</v>
      </c>
      <c r="BN184" s="34">
        <f t="shared" si="25"/>
        <v>0</v>
      </c>
      <c r="BO184" s="34">
        <f t="shared" si="33"/>
        <v>1666.6666666666667</v>
      </c>
      <c r="BP184" s="35">
        <f t="shared" si="26"/>
        <v>942.45833333333326</v>
      </c>
      <c r="BQ184" s="34">
        <f>IFERROR(BP184/'11-2025'!$J184,0)*12</f>
        <v>11309.5</v>
      </c>
      <c r="BR184" s="34">
        <f>IF(BQ184&lt;=40000,0,
IF(BQ184&lt;=55000,(BQ184-40000)*10%,
IF(BQ184&lt;=70000,(BQ184-55000)*15%+1500,
IF(BQ184&lt;=200000,(BQ184-70000)*20%+1500+2250,
IF(BQ184&lt;=400000,(BQ184-200000)*22.5%+1500+2250+26000,
IF(BQ184&lt;=600000,(BQ184-400000)*25%+1500+2250+26000+45000,
IF(AND(BQ184&gt;600000,BQ184&lt;=1200000),(BQ184-400000)*25%+1500+2250+26000+45000
+IFERROR(LOOKUP(BQ184,{600001;700001;800001;900001},{4000;6750;10250;15250}),0),IF(BQ184&gt;1200000,((BQ184-1200000)*27.5%)+300000,0)
)))))))</f>
        <v>0</v>
      </c>
      <c r="BS184" s="32">
        <f>(BR184/12*'11-2025'!$J184)</f>
        <v>0</v>
      </c>
      <c r="BT184" s="33">
        <f>BS184-'11-2025'!$V184</f>
        <v>0</v>
      </c>
      <c r="BU184" s="32">
        <f>IFERROR(+'11-2025'!$W184+AL184+AM184+BJ184-'11-2025'!$AJ184-BT184+AN184+AO184,"")-AL184+AP184+AQ184</f>
        <v>2309.125</v>
      </c>
      <c r="BV184" s="36"/>
      <c r="BW184" s="37"/>
      <c r="BX184" s="37">
        <f t="shared" si="34"/>
        <v>2309.125</v>
      </c>
      <c r="BY184" s="37"/>
    </row>
    <row r="185" spans="1:77" x14ac:dyDescent="0.25">
      <c r="A185" s="44">
        <v>788</v>
      </c>
      <c r="B185" s="22" t="s">
        <v>295</v>
      </c>
      <c r="C185" s="22" t="s">
        <v>106</v>
      </c>
      <c r="D185" s="22" t="s">
        <v>72</v>
      </c>
      <c r="E185" s="22">
        <v>0</v>
      </c>
      <c r="F185" s="22" t="s">
        <v>139</v>
      </c>
      <c r="G185" s="23">
        <v>45949</v>
      </c>
      <c r="H185" s="23">
        <v>45970</v>
      </c>
      <c r="I185" s="24" t="s">
        <v>269</v>
      </c>
      <c r="J185" s="25">
        <v>1</v>
      </c>
      <c r="K185" s="25">
        <v>3000</v>
      </c>
      <c r="L185" s="25"/>
      <c r="M185" s="26"/>
      <c r="N185" s="25">
        <f>SUM('11-2025'!$K185:$M185)</f>
        <v>3000</v>
      </c>
      <c r="O185" s="25"/>
      <c r="P185" s="25">
        <f t="shared" si="27"/>
        <v>0</v>
      </c>
      <c r="Q185" s="25">
        <f t="shared" si="28"/>
        <v>0</v>
      </c>
      <c r="R185" s="25">
        <v>1666.6666666666667</v>
      </c>
      <c r="S185" s="27">
        <f t="shared" si="29"/>
        <v>1333.3333333333333</v>
      </c>
      <c r="T185" s="25">
        <f t="shared" si="30"/>
        <v>16000</v>
      </c>
      <c r="U185" s="25">
        <f>IF(T185&lt;=40000,0,
IF(T185&lt;=55000,(T185-40000)*10%,
IF(T185&lt;=70000,(T185-55000)*15%+1500,
IF(T185&lt;=200000,(T185-70000)*20%+1500+2250,
IF(T185&lt;=400000,(T185-200000)*22.5%+1500+2250+26000,
IF(T185&lt;=600000,(T185-400000)*25%+1500+2250+26000+45000,
IF(AND(T185&gt;600000,T185&lt;=1200000),(T185-400000)*25%+1500+2250+26000+45000
+IFERROR(LOOKUP(T185,{600001;700001;800001;900001},{4000;6750;10250;15250}),0),IF(T185&gt;1200000,((T185-1200000)*27.5%)+300000,0)
)))))))</f>
        <v>0</v>
      </c>
      <c r="V185" s="25">
        <f t="shared" si="31"/>
        <v>0</v>
      </c>
      <c r="W185" s="28">
        <f>+'11-2025'!$S185-'11-2025'!$V185+'11-2025'!$R185</f>
        <v>3000</v>
      </c>
      <c r="X185" s="28">
        <f t="shared" si="32"/>
        <v>100</v>
      </c>
      <c r="Y185" s="29"/>
      <c r="Z185" s="29">
        <f>IFERROR(+'11-2025'!$X185*'11-2025'!$Y185,"")</f>
        <v>0</v>
      </c>
      <c r="AA185" s="29">
        <v>4</v>
      </c>
      <c r="AB185" s="29">
        <f>IFERROR(+'11-2025'!$X185*'11-2025'!$AA185,"")</f>
        <v>400</v>
      </c>
      <c r="AC185" s="29">
        <v>14</v>
      </c>
      <c r="AD185" s="29">
        <f>IFERROR(+'11-2025'!$X185*'11-2025'!$AC185,"")</f>
        <v>1400</v>
      </c>
      <c r="AE185" s="29">
        <v>0.5</v>
      </c>
      <c r="AF185" s="29">
        <f>IFERROR(+'11-2025'!$X185*'11-2025'!$AE185,"")</f>
        <v>50</v>
      </c>
      <c r="AG185" s="29"/>
      <c r="AH185" s="29">
        <f>IFERROR(+'11-2025'!$X185*'11-2025'!$AG185,"")</f>
        <v>0</v>
      </c>
      <c r="AI185" s="29">
        <v>0</v>
      </c>
      <c r="AJ185" s="29">
        <f>IFERROR('11-2025'!$Z185+'11-2025'!$AB185+'11-2025'!$AD185+'11-2025'!$AF185+'11-2025'!$AH185+'11-2025'!$AI185,"")</f>
        <v>1850</v>
      </c>
      <c r="AK185" s="30">
        <f>IFERROR('11-2025'!$W185-'11-2025'!$AJ185,"")</f>
        <v>1150</v>
      </c>
      <c r="AL185" s="31"/>
      <c r="AM185" s="31"/>
      <c r="AN185" s="31"/>
      <c r="AO185" s="31"/>
      <c r="AP185" s="31"/>
      <c r="AQ185" s="31"/>
      <c r="AR185" s="31">
        <v>0</v>
      </c>
      <c r="AS185" s="31">
        <v>0</v>
      </c>
      <c r="AT185" s="31">
        <v>0</v>
      </c>
      <c r="AU185" s="31">
        <v>0</v>
      </c>
      <c r="AV185" s="31">
        <v>0</v>
      </c>
      <c r="AW185" s="31">
        <v>0</v>
      </c>
      <c r="AX185" s="31">
        <v>0</v>
      </c>
      <c r="AY185" s="31">
        <v>0</v>
      </c>
      <c r="AZ185" s="31">
        <v>0</v>
      </c>
      <c r="BA185" s="31">
        <v>0</v>
      </c>
      <c r="BB185" s="31">
        <v>0</v>
      </c>
      <c r="BC185" s="31">
        <v>0</v>
      </c>
      <c r="BD185" s="31">
        <v>0</v>
      </c>
      <c r="BE185" s="31">
        <v>0</v>
      </c>
      <c r="BF185" s="31">
        <v>0</v>
      </c>
      <c r="BG185" s="31">
        <v>0</v>
      </c>
      <c r="BH185" s="31">
        <v>0</v>
      </c>
      <c r="BI185" s="31">
        <v>0</v>
      </c>
      <c r="BJ185" s="32">
        <f t="shared" si="35"/>
        <v>0</v>
      </c>
      <c r="BK185" s="41">
        <f>BJ185+AM185+AL185+'11-2025'!$N185+AN185+AO185</f>
        <v>3000</v>
      </c>
      <c r="BL185" s="34">
        <f>'11-2025'!$O185</f>
        <v>0</v>
      </c>
      <c r="BM185" s="34">
        <f t="shared" si="24"/>
        <v>0</v>
      </c>
      <c r="BN185" s="34">
        <f t="shared" si="25"/>
        <v>0</v>
      </c>
      <c r="BO185" s="34">
        <f t="shared" si="33"/>
        <v>1666.6666666666667</v>
      </c>
      <c r="BP185" s="35">
        <f t="shared" si="26"/>
        <v>1333.3333333333333</v>
      </c>
      <c r="BQ185" s="34">
        <f>IFERROR(BP185/'11-2025'!$J185,0)*12</f>
        <v>16000</v>
      </c>
      <c r="BR185" s="34">
        <f>IF(BQ185&lt;=40000,0,
IF(BQ185&lt;=55000,(BQ185-40000)*10%,
IF(BQ185&lt;=70000,(BQ185-55000)*15%+1500,
IF(BQ185&lt;=200000,(BQ185-70000)*20%+1500+2250,
IF(BQ185&lt;=400000,(BQ185-200000)*22.5%+1500+2250+26000,
IF(BQ185&lt;=600000,(BQ185-400000)*25%+1500+2250+26000+45000,
IF(AND(BQ185&gt;600000,BQ185&lt;=1200000),(BQ185-400000)*25%+1500+2250+26000+45000
+IFERROR(LOOKUP(BQ185,{600001;700001;800001;900001},{4000;6750;10250;15250}),0),IF(BQ185&gt;1200000,((BQ185-1200000)*27.5%)+300000,0)
)))))))</f>
        <v>0</v>
      </c>
      <c r="BS185" s="32">
        <f>(BR185/12*'11-2025'!$J185)</f>
        <v>0</v>
      </c>
      <c r="BT185" s="33">
        <f>BS185-'11-2025'!$V185</f>
        <v>0</v>
      </c>
      <c r="BU185" s="32">
        <f>IFERROR(+'11-2025'!$W185+AL185+AM185+BJ185-'11-2025'!$AJ185-BT185+AN185+AO185,"")-AL185+AP185+AQ185</f>
        <v>1150</v>
      </c>
      <c r="BV185" s="36"/>
      <c r="BW185" s="37"/>
      <c r="BX185" s="37">
        <f t="shared" si="34"/>
        <v>1150</v>
      </c>
      <c r="BY185" s="37"/>
    </row>
    <row r="186" spans="1:77" x14ac:dyDescent="0.25">
      <c r="A186" s="44">
        <v>789</v>
      </c>
      <c r="B186" s="22" t="s">
        <v>296</v>
      </c>
      <c r="C186" s="22" t="s">
        <v>81</v>
      </c>
      <c r="D186" s="22" t="s">
        <v>77</v>
      </c>
      <c r="E186" s="22" t="s">
        <v>132</v>
      </c>
      <c r="F186" s="22" t="s">
        <v>133</v>
      </c>
      <c r="G186" s="23">
        <v>45949</v>
      </c>
      <c r="H186" s="23">
        <v>45967</v>
      </c>
      <c r="I186" s="24" t="s">
        <v>269</v>
      </c>
      <c r="J186" s="25">
        <v>1</v>
      </c>
      <c r="K186" s="25">
        <v>4000</v>
      </c>
      <c r="L186" s="25"/>
      <c r="M186" s="26"/>
      <c r="N186" s="25">
        <f>SUM('11-2025'!$K186:$M186)</f>
        <v>4000</v>
      </c>
      <c r="O186" s="25"/>
      <c r="P186" s="25">
        <f t="shared" si="27"/>
        <v>0</v>
      </c>
      <c r="Q186" s="25">
        <f t="shared" si="28"/>
        <v>0</v>
      </c>
      <c r="R186" s="25">
        <v>1666.6666666666667</v>
      </c>
      <c r="S186" s="27">
        <f t="shared" si="29"/>
        <v>2333.333333333333</v>
      </c>
      <c r="T186" s="25">
        <f t="shared" si="30"/>
        <v>27999.999999999996</v>
      </c>
      <c r="U186" s="25">
        <f>IF(T186&lt;=40000,0,
IF(T186&lt;=55000,(T186-40000)*10%,
IF(T186&lt;=70000,(T186-55000)*15%+1500,
IF(T186&lt;=200000,(T186-70000)*20%+1500+2250,
IF(T186&lt;=400000,(T186-200000)*22.5%+1500+2250+26000,
IF(T186&lt;=600000,(T186-400000)*25%+1500+2250+26000+45000,
IF(AND(T186&gt;600000,T186&lt;=1200000),(T186-400000)*25%+1500+2250+26000+45000
+IFERROR(LOOKUP(T186,{600001;700001;800001;900001},{4000;6750;10250;15250}),0),IF(T186&gt;1200000,((T186-1200000)*27.5%)+300000,0)
)))))))</f>
        <v>0</v>
      </c>
      <c r="V186" s="25">
        <f t="shared" si="31"/>
        <v>0</v>
      </c>
      <c r="W186" s="28">
        <f>+'11-2025'!$S186-'11-2025'!$V186+'11-2025'!$R186</f>
        <v>4000</v>
      </c>
      <c r="X186" s="28">
        <f t="shared" si="32"/>
        <v>133.33333333333334</v>
      </c>
      <c r="Y186" s="29"/>
      <c r="Z186" s="29">
        <f>IFERROR(+'11-2025'!$X186*'11-2025'!$Y186,"")</f>
        <v>0</v>
      </c>
      <c r="AA186" s="29">
        <v>0</v>
      </c>
      <c r="AB186" s="29">
        <f>IFERROR(+'11-2025'!$X186*'11-2025'!$AA186,"")</f>
        <v>0</v>
      </c>
      <c r="AC186" s="29">
        <v>17</v>
      </c>
      <c r="AD186" s="29">
        <f>IFERROR(+'11-2025'!$X186*'11-2025'!$AC186,"")</f>
        <v>2266.666666666667</v>
      </c>
      <c r="AE186" s="29">
        <v>0.5</v>
      </c>
      <c r="AF186" s="29">
        <f>IFERROR(+'11-2025'!$X186*'11-2025'!$AE186,"")</f>
        <v>66.666666666666671</v>
      </c>
      <c r="AG186" s="29"/>
      <c r="AH186" s="29">
        <f>IFERROR(+'11-2025'!$X186*'11-2025'!$AG186,"")</f>
        <v>0</v>
      </c>
      <c r="AI186" s="29">
        <v>0</v>
      </c>
      <c r="AJ186" s="29">
        <f>IFERROR('11-2025'!$Z186+'11-2025'!$AB186+'11-2025'!$AD186+'11-2025'!$AF186+'11-2025'!$AH186+'11-2025'!$AI186,"")</f>
        <v>2333.3333333333335</v>
      </c>
      <c r="AK186" s="30">
        <f>IFERROR('11-2025'!$W186-'11-2025'!$AJ186,"")</f>
        <v>1666.6666666666665</v>
      </c>
      <c r="AL186" s="31"/>
      <c r="AM186" s="31"/>
      <c r="AN186" s="31"/>
      <c r="AO186" s="31"/>
      <c r="AP186" s="31"/>
      <c r="AQ186" s="31"/>
      <c r="AR186" s="31">
        <v>0</v>
      </c>
      <c r="AS186" s="31">
        <v>0</v>
      </c>
      <c r="AT186" s="31">
        <v>0</v>
      </c>
      <c r="AU186" s="31">
        <v>0</v>
      </c>
      <c r="AV186" s="31">
        <v>0</v>
      </c>
      <c r="AW186" s="31">
        <v>0</v>
      </c>
      <c r="AX186" s="31">
        <v>0</v>
      </c>
      <c r="AY186" s="31">
        <v>0</v>
      </c>
      <c r="AZ186" s="31">
        <v>0</v>
      </c>
      <c r="BA186" s="31">
        <v>0</v>
      </c>
      <c r="BB186" s="31">
        <v>0</v>
      </c>
      <c r="BC186" s="31">
        <v>0</v>
      </c>
      <c r="BD186" s="31">
        <v>0</v>
      </c>
      <c r="BE186" s="31">
        <v>0</v>
      </c>
      <c r="BF186" s="31">
        <v>0</v>
      </c>
      <c r="BG186" s="31">
        <v>0</v>
      </c>
      <c r="BH186" s="31">
        <v>0</v>
      </c>
      <c r="BI186" s="31">
        <v>0</v>
      </c>
      <c r="BJ186" s="32">
        <f t="shared" si="35"/>
        <v>0</v>
      </c>
      <c r="BK186" s="41">
        <f>BJ186+AM186+AL186+'11-2025'!$N186+AN186+AO186</f>
        <v>4000</v>
      </c>
      <c r="BL186" s="34">
        <f>'11-2025'!$O186</f>
        <v>0</v>
      </c>
      <c r="BM186" s="34">
        <f t="shared" si="24"/>
        <v>0</v>
      </c>
      <c r="BN186" s="34">
        <f t="shared" si="25"/>
        <v>0</v>
      </c>
      <c r="BO186" s="34">
        <f t="shared" si="33"/>
        <v>1666.6666666666667</v>
      </c>
      <c r="BP186" s="35">
        <f t="shared" si="26"/>
        <v>2333.333333333333</v>
      </c>
      <c r="BQ186" s="34">
        <f>IFERROR(BP186/'11-2025'!$J186,0)*12</f>
        <v>27999.999999999996</v>
      </c>
      <c r="BR186" s="34">
        <f>IF(BQ186&lt;=40000,0,
IF(BQ186&lt;=55000,(BQ186-40000)*10%,
IF(BQ186&lt;=70000,(BQ186-55000)*15%+1500,
IF(BQ186&lt;=200000,(BQ186-70000)*20%+1500+2250,
IF(BQ186&lt;=400000,(BQ186-200000)*22.5%+1500+2250+26000,
IF(BQ186&lt;=600000,(BQ186-400000)*25%+1500+2250+26000+45000,
IF(AND(BQ186&gt;600000,BQ186&lt;=1200000),(BQ186-400000)*25%+1500+2250+26000+45000
+IFERROR(LOOKUP(BQ186,{600001;700001;800001;900001},{4000;6750;10250;15250}),0),IF(BQ186&gt;1200000,((BQ186-1200000)*27.5%)+300000,0)
)))))))</f>
        <v>0</v>
      </c>
      <c r="BS186" s="32">
        <f>(BR186/12*'11-2025'!$J186)</f>
        <v>0</v>
      </c>
      <c r="BT186" s="33">
        <f>BS186-'11-2025'!$V186</f>
        <v>0</v>
      </c>
      <c r="BU186" s="32">
        <f>IFERROR(+'11-2025'!$W186+AL186+AM186+BJ186-'11-2025'!$AJ186-BT186+AN186+AO186,"")-AL186+AP186+AQ186</f>
        <v>1666.6666666666665</v>
      </c>
      <c r="BV186" s="36"/>
      <c r="BW186" s="37"/>
      <c r="BX186" s="37">
        <f t="shared" si="34"/>
        <v>1666.6666666666665</v>
      </c>
      <c r="BY186" s="37"/>
    </row>
    <row r="187" spans="1:77" x14ac:dyDescent="0.25">
      <c r="A187" s="44">
        <v>790</v>
      </c>
      <c r="B187" s="22" t="s">
        <v>297</v>
      </c>
      <c r="C187" s="22" t="s">
        <v>71</v>
      </c>
      <c r="D187" s="22" t="s">
        <v>72</v>
      </c>
      <c r="E187" s="22">
        <v>0</v>
      </c>
      <c r="F187" s="22" t="s">
        <v>102</v>
      </c>
      <c r="G187" s="23">
        <v>45952</v>
      </c>
      <c r="H187" s="23">
        <v>45956</v>
      </c>
      <c r="I187" s="24" t="s">
        <v>269</v>
      </c>
      <c r="J187" s="25">
        <v>1</v>
      </c>
      <c r="K187" s="25">
        <v>2500</v>
      </c>
      <c r="L187" s="25"/>
      <c r="M187" s="26"/>
      <c r="N187" s="25">
        <f>SUM('11-2025'!$K187:$M187)</f>
        <v>2500</v>
      </c>
      <c r="O187" s="25"/>
      <c r="P187" s="25">
        <f t="shared" si="27"/>
        <v>0</v>
      </c>
      <c r="Q187" s="25">
        <f t="shared" si="28"/>
        <v>0</v>
      </c>
      <c r="R187" s="25">
        <v>1666.6666666666667</v>
      </c>
      <c r="S187" s="27">
        <f t="shared" si="29"/>
        <v>833.33333333333326</v>
      </c>
      <c r="T187" s="25">
        <f t="shared" si="30"/>
        <v>10000</v>
      </c>
      <c r="U187" s="25">
        <f>IF(T187&lt;=40000,0,
IF(T187&lt;=55000,(T187-40000)*10%,
IF(T187&lt;=70000,(T187-55000)*15%+1500,
IF(T187&lt;=200000,(T187-70000)*20%+1500+2250,
IF(T187&lt;=400000,(T187-200000)*22.5%+1500+2250+26000,
IF(T187&lt;=600000,(T187-400000)*25%+1500+2250+26000+45000,
IF(AND(T187&gt;600000,T187&lt;=1200000),(T187-400000)*25%+1500+2250+26000+45000
+IFERROR(LOOKUP(T187,{600001;700001;800001;900001},{4000;6750;10250;15250}),0),IF(T187&gt;1200000,((T187-1200000)*27.5%)+300000,0)
)))))))</f>
        <v>0</v>
      </c>
      <c r="V187" s="25">
        <f t="shared" si="31"/>
        <v>0</v>
      </c>
      <c r="W187" s="28">
        <f>+'11-2025'!$S187-'11-2025'!$V187+'11-2025'!$R187</f>
        <v>2500</v>
      </c>
      <c r="X187" s="28">
        <f t="shared" si="32"/>
        <v>83.333333333333329</v>
      </c>
      <c r="Y187" s="29"/>
      <c r="Z187" s="29">
        <f>IFERROR(+'11-2025'!$X187*'11-2025'!$Y187,"")</f>
        <v>0</v>
      </c>
      <c r="AA187" s="29">
        <v>0</v>
      </c>
      <c r="AB187" s="29">
        <f>IFERROR(+'11-2025'!$X187*'11-2025'!$AA187,"")</f>
        <v>0</v>
      </c>
      <c r="AC187" s="29">
        <v>28</v>
      </c>
      <c r="AD187" s="29">
        <f>IFERROR(+'11-2025'!$X187*'11-2025'!$AC187,"")</f>
        <v>2333.333333333333</v>
      </c>
      <c r="AE187" s="29">
        <v>1</v>
      </c>
      <c r="AF187" s="29">
        <f>IFERROR(+'11-2025'!$X187*'11-2025'!$AE187,"")</f>
        <v>83.333333333333329</v>
      </c>
      <c r="AG187" s="29"/>
      <c r="AH187" s="29">
        <f>IFERROR(+'11-2025'!$X187*'11-2025'!$AG187,"")</f>
        <v>0</v>
      </c>
      <c r="AI187" s="29">
        <v>0</v>
      </c>
      <c r="AJ187" s="29">
        <f>IFERROR('11-2025'!$Z187+'11-2025'!$AB187+'11-2025'!$AD187+'11-2025'!$AF187+'11-2025'!$AH187+'11-2025'!$AI187,"")</f>
        <v>2416.6666666666665</v>
      </c>
      <c r="AK187" s="30">
        <f>IFERROR('11-2025'!$W187-'11-2025'!$AJ187,"")</f>
        <v>83.333333333333485</v>
      </c>
      <c r="AL187" s="31"/>
      <c r="AM187" s="31"/>
      <c r="AN187" s="31"/>
      <c r="AO187" s="31"/>
      <c r="AP187" s="31"/>
      <c r="AQ187" s="31"/>
      <c r="AR187" s="31">
        <v>0</v>
      </c>
      <c r="AS187" s="31">
        <v>0</v>
      </c>
      <c r="AT187" s="31">
        <v>0</v>
      </c>
      <c r="AU187" s="31">
        <v>0</v>
      </c>
      <c r="AV187" s="31">
        <v>0</v>
      </c>
      <c r="AW187" s="31">
        <v>0</v>
      </c>
      <c r="AX187" s="31">
        <v>0</v>
      </c>
      <c r="AY187" s="31">
        <v>0</v>
      </c>
      <c r="AZ187" s="31">
        <v>0</v>
      </c>
      <c r="BA187" s="31">
        <v>0</v>
      </c>
      <c r="BB187" s="31">
        <v>0</v>
      </c>
      <c r="BC187" s="31">
        <v>0</v>
      </c>
      <c r="BD187" s="31">
        <v>0</v>
      </c>
      <c r="BE187" s="31">
        <v>0</v>
      </c>
      <c r="BF187" s="31">
        <v>0</v>
      </c>
      <c r="BG187" s="31">
        <v>0</v>
      </c>
      <c r="BH187" s="31">
        <v>0</v>
      </c>
      <c r="BI187" s="31">
        <v>0</v>
      </c>
      <c r="BJ187" s="32">
        <f t="shared" si="35"/>
        <v>0</v>
      </c>
      <c r="BK187" s="41">
        <f>BJ187+AM187+AL187+'11-2025'!$N187+AN187+AO187</f>
        <v>2500</v>
      </c>
      <c r="BL187" s="34">
        <f>'11-2025'!$O187</f>
        <v>0</v>
      </c>
      <c r="BM187" s="34">
        <f t="shared" si="24"/>
        <v>0</v>
      </c>
      <c r="BN187" s="34">
        <f t="shared" si="25"/>
        <v>0</v>
      </c>
      <c r="BO187" s="34">
        <f t="shared" si="33"/>
        <v>1666.6666666666667</v>
      </c>
      <c r="BP187" s="35">
        <f t="shared" si="26"/>
        <v>833.33333333333326</v>
      </c>
      <c r="BQ187" s="34">
        <f>IFERROR(BP187/'11-2025'!$J187,0)*12</f>
        <v>10000</v>
      </c>
      <c r="BR187" s="34">
        <f>IF(BQ187&lt;=40000,0,
IF(BQ187&lt;=55000,(BQ187-40000)*10%,
IF(BQ187&lt;=70000,(BQ187-55000)*15%+1500,
IF(BQ187&lt;=200000,(BQ187-70000)*20%+1500+2250,
IF(BQ187&lt;=400000,(BQ187-200000)*22.5%+1500+2250+26000,
IF(BQ187&lt;=600000,(BQ187-400000)*25%+1500+2250+26000+45000,
IF(AND(BQ187&gt;600000,BQ187&lt;=1200000),(BQ187-400000)*25%+1500+2250+26000+45000
+IFERROR(LOOKUP(BQ187,{600001;700001;800001;900001},{4000;6750;10250;15250}),0),IF(BQ187&gt;1200000,((BQ187-1200000)*27.5%)+300000,0)
)))))))</f>
        <v>0</v>
      </c>
      <c r="BS187" s="32">
        <f>(BR187/12*'11-2025'!$J187)</f>
        <v>0</v>
      </c>
      <c r="BT187" s="33">
        <f>BS187-'11-2025'!$V187</f>
        <v>0</v>
      </c>
      <c r="BU187" s="32">
        <f>IFERROR(+'11-2025'!$W187+AL187+AM187+BJ187-'11-2025'!$AJ187-BT187+AN187+AO187,"")-AL187+AP187+AQ187</f>
        <v>83.333333333333485</v>
      </c>
      <c r="BV187" s="36"/>
      <c r="BW187" s="37"/>
      <c r="BX187" s="37">
        <f t="shared" si="34"/>
        <v>83.333333333333485</v>
      </c>
      <c r="BY187" s="37"/>
    </row>
    <row r="188" spans="1:77" x14ac:dyDescent="0.25">
      <c r="A188" s="44">
        <v>791</v>
      </c>
      <c r="B188" s="22" t="s">
        <v>298</v>
      </c>
      <c r="C188" s="22" t="s">
        <v>106</v>
      </c>
      <c r="D188" s="22" t="s">
        <v>72</v>
      </c>
      <c r="E188" s="22">
        <v>0</v>
      </c>
      <c r="F188" s="22" t="s">
        <v>139</v>
      </c>
      <c r="G188" s="23">
        <v>45951</v>
      </c>
      <c r="H188" s="23">
        <v>45976</v>
      </c>
      <c r="I188" s="24" t="s">
        <v>269</v>
      </c>
      <c r="J188" s="25">
        <v>1</v>
      </c>
      <c r="K188" s="25">
        <v>3000</v>
      </c>
      <c r="L188" s="25"/>
      <c r="M188" s="26"/>
      <c r="N188" s="25">
        <f>SUM('11-2025'!$K188:$M188)</f>
        <v>3000</v>
      </c>
      <c r="O188" s="25"/>
      <c r="P188" s="25">
        <f t="shared" si="27"/>
        <v>0</v>
      </c>
      <c r="Q188" s="25">
        <f t="shared" si="28"/>
        <v>0</v>
      </c>
      <c r="R188" s="25">
        <v>1666.6666666666667</v>
      </c>
      <c r="S188" s="27">
        <f t="shared" si="29"/>
        <v>1333.3333333333333</v>
      </c>
      <c r="T188" s="25">
        <f t="shared" si="30"/>
        <v>16000</v>
      </c>
      <c r="U188" s="25">
        <f>IF(T188&lt;=40000,0,
IF(T188&lt;=55000,(T188-40000)*10%,
IF(T188&lt;=70000,(T188-55000)*15%+1500,
IF(T188&lt;=200000,(T188-70000)*20%+1500+2250,
IF(T188&lt;=400000,(T188-200000)*22.5%+1500+2250+26000,
IF(T188&lt;=600000,(T188-400000)*25%+1500+2250+26000+45000,
IF(AND(T188&gt;600000,T188&lt;=1200000),(T188-400000)*25%+1500+2250+26000+45000
+IFERROR(LOOKUP(T188,{600001;700001;800001;900001},{4000;6750;10250;15250}),0),IF(T188&gt;1200000,((T188-1200000)*27.5%)+300000,0)
)))))))</f>
        <v>0</v>
      </c>
      <c r="V188" s="25">
        <f t="shared" si="31"/>
        <v>0</v>
      </c>
      <c r="W188" s="28">
        <f>+'11-2025'!$S188-'11-2025'!$V188+'11-2025'!$R188</f>
        <v>3000</v>
      </c>
      <c r="X188" s="28">
        <f t="shared" si="32"/>
        <v>100</v>
      </c>
      <c r="Y188" s="29"/>
      <c r="Z188" s="29">
        <f>IFERROR(+'11-2025'!$X188*'11-2025'!$Y188,"")</f>
        <v>0</v>
      </c>
      <c r="AA188" s="29">
        <v>2</v>
      </c>
      <c r="AB188" s="29">
        <f>IFERROR(+'11-2025'!$X188*'11-2025'!$AA188,"")</f>
        <v>200</v>
      </c>
      <c r="AC188" s="29">
        <v>11</v>
      </c>
      <c r="AD188" s="29">
        <f>IFERROR(+'11-2025'!$X188*'11-2025'!$AC188,"")</f>
        <v>1100</v>
      </c>
      <c r="AE188" s="29">
        <v>1.5</v>
      </c>
      <c r="AF188" s="29">
        <f>IFERROR(+'11-2025'!$X188*'11-2025'!$AE188,"")</f>
        <v>150</v>
      </c>
      <c r="AG188" s="29"/>
      <c r="AH188" s="29">
        <f>IFERROR(+'11-2025'!$X188*'11-2025'!$AG188,"")</f>
        <v>0</v>
      </c>
      <c r="AI188" s="29">
        <v>0</v>
      </c>
      <c r="AJ188" s="29">
        <f>IFERROR('11-2025'!$Z188+'11-2025'!$AB188+'11-2025'!$AD188+'11-2025'!$AF188+'11-2025'!$AH188+'11-2025'!$AI188,"")</f>
        <v>1450</v>
      </c>
      <c r="AK188" s="30">
        <f>IFERROR('11-2025'!$W188-'11-2025'!$AJ188,"")</f>
        <v>1550</v>
      </c>
      <c r="AL188" s="31"/>
      <c r="AM188" s="31"/>
      <c r="AN188" s="31"/>
      <c r="AO188" s="31"/>
      <c r="AP188" s="31"/>
      <c r="AQ188" s="31"/>
      <c r="AR188" s="31">
        <v>0</v>
      </c>
      <c r="AS188" s="31">
        <v>0</v>
      </c>
      <c r="AT188" s="31">
        <v>0</v>
      </c>
      <c r="AU188" s="31">
        <v>0</v>
      </c>
      <c r="AV188" s="31">
        <v>0</v>
      </c>
      <c r="AW188" s="31">
        <v>0</v>
      </c>
      <c r="AX188" s="31">
        <v>0</v>
      </c>
      <c r="AY188" s="31">
        <v>0</v>
      </c>
      <c r="AZ188" s="31">
        <v>0</v>
      </c>
      <c r="BA188" s="31">
        <v>0</v>
      </c>
      <c r="BB188" s="31">
        <v>0</v>
      </c>
      <c r="BC188" s="31">
        <v>0</v>
      </c>
      <c r="BD188" s="31">
        <v>0</v>
      </c>
      <c r="BE188" s="31">
        <v>0</v>
      </c>
      <c r="BF188" s="31">
        <v>0</v>
      </c>
      <c r="BG188" s="31">
        <v>0</v>
      </c>
      <c r="BH188" s="31">
        <v>0</v>
      </c>
      <c r="BI188" s="31">
        <v>0</v>
      </c>
      <c r="BJ188" s="32">
        <f t="shared" si="35"/>
        <v>0</v>
      </c>
      <c r="BK188" s="41">
        <f>BJ188+AM188+AL188+'11-2025'!$N188+AN188+AO188</f>
        <v>3000</v>
      </c>
      <c r="BL188" s="34">
        <f>'11-2025'!$O188</f>
        <v>0</v>
      </c>
      <c r="BM188" s="34">
        <f t="shared" si="24"/>
        <v>0</v>
      </c>
      <c r="BN188" s="34">
        <f t="shared" si="25"/>
        <v>0</v>
      </c>
      <c r="BO188" s="34">
        <f t="shared" si="33"/>
        <v>1666.6666666666667</v>
      </c>
      <c r="BP188" s="35">
        <f t="shared" si="26"/>
        <v>1333.3333333333333</v>
      </c>
      <c r="BQ188" s="34">
        <f>IFERROR(BP188/'11-2025'!$J188,0)*12</f>
        <v>16000</v>
      </c>
      <c r="BR188" s="34">
        <f>IF(BQ188&lt;=40000,0,
IF(BQ188&lt;=55000,(BQ188-40000)*10%,
IF(BQ188&lt;=70000,(BQ188-55000)*15%+1500,
IF(BQ188&lt;=200000,(BQ188-70000)*20%+1500+2250,
IF(BQ188&lt;=400000,(BQ188-200000)*22.5%+1500+2250+26000,
IF(BQ188&lt;=600000,(BQ188-400000)*25%+1500+2250+26000+45000,
IF(AND(BQ188&gt;600000,BQ188&lt;=1200000),(BQ188-400000)*25%+1500+2250+26000+45000
+IFERROR(LOOKUP(BQ188,{600001;700001;800001;900001},{4000;6750;10250;15250}),0),IF(BQ188&gt;1200000,((BQ188-1200000)*27.5%)+300000,0)
)))))))</f>
        <v>0</v>
      </c>
      <c r="BS188" s="32">
        <f>(BR188/12*'11-2025'!$J188)</f>
        <v>0</v>
      </c>
      <c r="BT188" s="33">
        <f>BS188-'11-2025'!$V188</f>
        <v>0</v>
      </c>
      <c r="BU188" s="32">
        <f>IFERROR(+'11-2025'!$W188+AL188+AM188+BJ188-'11-2025'!$AJ188-BT188+AN188+AO188,"")-AL188+AP188+AQ188</f>
        <v>1550</v>
      </c>
      <c r="BV188" s="36"/>
      <c r="BW188" s="37"/>
      <c r="BX188" s="37">
        <f t="shared" si="34"/>
        <v>1550</v>
      </c>
      <c r="BY188" s="37"/>
    </row>
    <row r="189" spans="1:77" x14ac:dyDescent="0.25">
      <c r="A189" s="44">
        <v>792</v>
      </c>
      <c r="B189" s="22" t="s">
        <v>299</v>
      </c>
      <c r="C189" s="22" t="s">
        <v>106</v>
      </c>
      <c r="D189" s="22" t="s">
        <v>72</v>
      </c>
      <c r="E189" s="22">
        <v>0</v>
      </c>
      <c r="F189" s="22" t="s">
        <v>139</v>
      </c>
      <c r="G189" s="23">
        <v>45951</v>
      </c>
      <c r="H189" s="23">
        <v>45966</v>
      </c>
      <c r="I189" s="24" t="s">
        <v>269</v>
      </c>
      <c r="J189" s="25">
        <v>1</v>
      </c>
      <c r="K189" s="25">
        <v>3000</v>
      </c>
      <c r="L189" s="25"/>
      <c r="M189" s="26"/>
      <c r="N189" s="25">
        <f>SUM('11-2025'!$K189:$M189)</f>
        <v>3000</v>
      </c>
      <c r="O189" s="25"/>
      <c r="P189" s="25">
        <f t="shared" si="27"/>
        <v>0</v>
      </c>
      <c r="Q189" s="25">
        <f t="shared" si="28"/>
        <v>0</v>
      </c>
      <c r="R189" s="25">
        <v>1666.6666666666667</v>
      </c>
      <c r="S189" s="27">
        <f t="shared" si="29"/>
        <v>1333.3333333333333</v>
      </c>
      <c r="T189" s="25">
        <f t="shared" si="30"/>
        <v>16000</v>
      </c>
      <c r="U189" s="25">
        <f>IF(T189&lt;=40000,0,
IF(T189&lt;=55000,(T189-40000)*10%,
IF(T189&lt;=70000,(T189-55000)*15%+1500,
IF(T189&lt;=200000,(T189-70000)*20%+1500+2250,
IF(T189&lt;=400000,(T189-200000)*22.5%+1500+2250+26000,
IF(T189&lt;=600000,(T189-400000)*25%+1500+2250+26000+45000,
IF(AND(T189&gt;600000,T189&lt;=1200000),(T189-400000)*25%+1500+2250+26000+45000
+IFERROR(LOOKUP(T189,{600001;700001;800001;900001},{4000;6750;10250;15250}),0),IF(T189&gt;1200000,((T189-1200000)*27.5%)+300000,0)
)))))))</f>
        <v>0</v>
      </c>
      <c r="V189" s="25">
        <f t="shared" si="31"/>
        <v>0</v>
      </c>
      <c r="W189" s="28">
        <f>+'11-2025'!$S189-'11-2025'!$V189+'11-2025'!$R189</f>
        <v>3000</v>
      </c>
      <c r="X189" s="28">
        <f t="shared" si="32"/>
        <v>100</v>
      </c>
      <c r="Y189" s="29"/>
      <c r="Z189" s="29">
        <f>IFERROR(+'11-2025'!$X189*'11-2025'!$Y189,"")</f>
        <v>0</v>
      </c>
      <c r="AA189" s="29">
        <v>0</v>
      </c>
      <c r="AB189" s="29">
        <f>IFERROR(+'11-2025'!$X189*'11-2025'!$AA189,"")</f>
        <v>0</v>
      </c>
      <c r="AC189" s="29">
        <v>21</v>
      </c>
      <c r="AD189" s="29">
        <f>IFERROR(+'11-2025'!$X189*'11-2025'!$AC189,"")</f>
        <v>2100</v>
      </c>
      <c r="AE189" s="29">
        <v>0</v>
      </c>
      <c r="AF189" s="29">
        <f>IFERROR(+'11-2025'!$X189*'11-2025'!$AE189,"")</f>
        <v>0</v>
      </c>
      <c r="AG189" s="29"/>
      <c r="AH189" s="29">
        <f>IFERROR(+'11-2025'!$X189*'11-2025'!$AG189,"")</f>
        <v>0</v>
      </c>
      <c r="AI189" s="29">
        <v>0</v>
      </c>
      <c r="AJ189" s="29">
        <f>IFERROR('11-2025'!$Z189+'11-2025'!$AB189+'11-2025'!$AD189+'11-2025'!$AF189+'11-2025'!$AH189+'11-2025'!$AI189,"")</f>
        <v>2100</v>
      </c>
      <c r="AK189" s="30">
        <f>IFERROR('11-2025'!$W189-'11-2025'!$AJ189,"")</f>
        <v>900</v>
      </c>
      <c r="AL189" s="31"/>
      <c r="AM189" s="31"/>
      <c r="AN189" s="31"/>
      <c r="AO189" s="31"/>
      <c r="AP189" s="31"/>
      <c r="AQ189" s="31"/>
      <c r="AR189" s="31">
        <v>0</v>
      </c>
      <c r="AS189" s="31">
        <v>0</v>
      </c>
      <c r="AT189" s="31">
        <v>0</v>
      </c>
      <c r="AU189" s="31">
        <v>0</v>
      </c>
      <c r="AV189" s="31">
        <v>0</v>
      </c>
      <c r="AW189" s="31">
        <v>0</v>
      </c>
      <c r="AX189" s="31">
        <v>0</v>
      </c>
      <c r="AY189" s="31">
        <v>0</v>
      </c>
      <c r="AZ189" s="31">
        <v>0</v>
      </c>
      <c r="BA189" s="31">
        <v>0</v>
      </c>
      <c r="BB189" s="31">
        <v>0</v>
      </c>
      <c r="BC189" s="31">
        <v>0</v>
      </c>
      <c r="BD189" s="31">
        <v>0</v>
      </c>
      <c r="BE189" s="31">
        <v>0</v>
      </c>
      <c r="BF189" s="31">
        <v>0</v>
      </c>
      <c r="BG189" s="31">
        <v>0</v>
      </c>
      <c r="BH189" s="31">
        <v>0</v>
      </c>
      <c r="BI189" s="31">
        <v>0</v>
      </c>
      <c r="BJ189" s="32">
        <f t="shared" si="35"/>
        <v>0</v>
      </c>
      <c r="BK189" s="41">
        <f>BJ189+AM189+AL189+'11-2025'!$N189+AN189+AO189</f>
        <v>3000</v>
      </c>
      <c r="BL189" s="34">
        <f>'11-2025'!$O189</f>
        <v>0</v>
      </c>
      <c r="BM189" s="34">
        <f t="shared" si="24"/>
        <v>0</v>
      </c>
      <c r="BN189" s="34">
        <f t="shared" si="25"/>
        <v>0</v>
      </c>
      <c r="BO189" s="34">
        <f t="shared" si="33"/>
        <v>1666.6666666666667</v>
      </c>
      <c r="BP189" s="35">
        <f t="shared" si="26"/>
        <v>1333.3333333333333</v>
      </c>
      <c r="BQ189" s="34">
        <f>IFERROR(BP189/'11-2025'!$J189,0)*12</f>
        <v>16000</v>
      </c>
      <c r="BR189" s="34">
        <f>IF(BQ189&lt;=40000,0,
IF(BQ189&lt;=55000,(BQ189-40000)*10%,
IF(BQ189&lt;=70000,(BQ189-55000)*15%+1500,
IF(BQ189&lt;=200000,(BQ189-70000)*20%+1500+2250,
IF(BQ189&lt;=400000,(BQ189-200000)*22.5%+1500+2250+26000,
IF(BQ189&lt;=600000,(BQ189-400000)*25%+1500+2250+26000+45000,
IF(AND(BQ189&gt;600000,BQ189&lt;=1200000),(BQ189-400000)*25%+1500+2250+26000+45000
+IFERROR(LOOKUP(BQ189,{600001;700001;800001;900001},{4000;6750;10250;15250}),0),IF(BQ189&gt;1200000,((BQ189-1200000)*27.5%)+300000,0)
)))))))</f>
        <v>0</v>
      </c>
      <c r="BS189" s="32">
        <f>(BR189/12*'11-2025'!$J189)</f>
        <v>0</v>
      </c>
      <c r="BT189" s="33">
        <f>BS189-'11-2025'!$V189</f>
        <v>0</v>
      </c>
      <c r="BU189" s="32">
        <f>IFERROR(+'11-2025'!$W189+AL189+AM189+BJ189-'11-2025'!$AJ189-BT189+AN189+AO189,"")-AL189+AP189+AQ189</f>
        <v>900</v>
      </c>
      <c r="BV189" s="36"/>
      <c r="BW189" s="37"/>
      <c r="BX189" s="37">
        <f t="shared" si="34"/>
        <v>900</v>
      </c>
      <c r="BY189" s="37"/>
    </row>
    <row r="190" spans="1:77" x14ac:dyDescent="0.25">
      <c r="A190" s="43">
        <v>797</v>
      </c>
      <c r="B190" s="22" t="s">
        <v>300</v>
      </c>
      <c r="C190" s="22" t="s">
        <v>71</v>
      </c>
      <c r="D190" s="22" t="s">
        <v>77</v>
      </c>
      <c r="E190" s="22" t="s">
        <v>78</v>
      </c>
      <c r="F190" s="22" t="s">
        <v>102</v>
      </c>
      <c r="G190" s="23">
        <v>45942</v>
      </c>
      <c r="H190" s="22"/>
      <c r="I190" s="24" t="s">
        <v>269</v>
      </c>
      <c r="J190" s="25">
        <v>1</v>
      </c>
      <c r="K190" s="25">
        <v>10000</v>
      </c>
      <c r="L190" s="25"/>
      <c r="M190" s="26"/>
      <c r="N190" s="25">
        <f>SUM('11-2025'!$K190:$M190)</f>
        <v>10000</v>
      </c>
      <c r="O190" s="25"/>
      <c r="P190" s="25">
        <f t="shared" si="27"/>
        <v>0</v>
      </c>
      <c r="Q190" s="25">
        <f t="shared" si="28"/>
        <v>0</v>
      </c>
      <c r="R190" s="25">
        <v>1666.6666666666667</v>
      </c>
      <c r="S190" s="27">
        <f t="shared" si="29"/>
        <v>8333.3333333333339</v>
      </c>
      <c r="T190" s="25">
        <f t="shared" si="30"/>
        <v>100000</v>
      </c>
      <c r="U190" s="25">
        <f>IF(T190&lt;=40000,0,
IF(T190&lt;=55000,(T190-40000)*10%,
IF(T190&lt;=70000,(T190-55000)*15%+1500,
IF(T190&lt;=200000,(T190-70000)*20%+1500+2250,
IF(T190&lt;=400000,(T190-200000)*22.5%+1500+2250+26000,
IF(T190&lt;=600000,(T190-400000)*25%+1500+2250+26000+45000,
IF(AND(T190&gt;600000,T190&lt;=1200000),(T190-400000)*25%+1500+2250+26000+45000
+IFERROR(LOOKUP(T190,{600001;700001;800001;900001},{4000;6750;10250;15250}),0),IF(T190&gt;1200000,((T190-1200000)*27.5%)+300000,0)
)))))))</f>
        <v>9750</v>
      </c>
      <c r="V190" s="25">
        <f t="shared" si="31"/>
        <v>812.5</v>
      </c>
      <c r="W190" s="28">
        <f>+'11-2025'!$S190-'11-2025'!$V190+'11-2025'!$R190</f>
        <v>9187.5</v>
      </c>
      <c r="X190" s="28">
        <f t="shared" si="32"/>
        <v>306.25</v>
      </c>
      <c r="Y190" s="29">
        <v>0</v>
      </c>
      <c r="Z190" s="29">
        <f>IFERROR(+'11-2025'!$X190*'11-2025'!$Y190,"")</f>
        <v>0</v>
      </c>
      <c r="AA190" s="29">
        <v>0</v>
      </c>
      <c r="AB190" s="29">
        <f>IFERROR(+'11-2025'!$X190*'11-2025'!$AA190,"")</f>
        <v>0</v>
      </c>
      <c r="AC190" s="29">
        <v>0</v>
      </c>
      <c r="AD190" s="29">
        <f>IFERROR(+'11-2025'!$X190*'11-2025'!$AC190,"")</f>
        <v>0</v>
      </c>
      <c r="AE190" s="29">
        <v>0</v>
      </c>
      <c r="AF190" s="29">
        <f>IFERROR(+'11-2025'!$X190*'11-2025'!$AE190,"")</f>
        <v>0</v>
      </c>
      <c r="AG190" s="29">
        <v>0</v>
      </c>
      <c r="AH190" s="29">
        <f>IFERROR(+'11-2025'!$X190*'11-2025'!$AG190,"")</f>
        <v>0</v>
      </c>
      <c r="AI190" s="29">
        <v>0</v>
      </c>
      <c r="AJ190" s="29">
        <f>IFERROR('11-2025'!$Z190+'11-2025'!$AB190+'11-2025'!$AD190+'11-2025'!$AF190+'11-2025'!$AH190+'11-2025'!$AI190,"")</f>
        <v>0</v>
      </c>
      <c r="AK190" s="30">
        <f>IFERROR('11-2025'!$W190-'11-2025'!$AJ190,"")</f>
        <v>9187.5</v>
      </c>
      <c r="AL190" s="31"/>
      <c r="AM190" s="31"/>
      <c r="AN190" s="31"/>
      <c r="AO190" s="31">
        <v>0</v>
      </c>
      <c r="AP190" s="31"/>
      <c r="AQ190" s="31"/>
      <c r="AR190" s="31">
        <v>0</v>
      </c>
      <c r="AS190" s="31">
        <v>0</v>
      </c>
      <c r="AT190" s="31">
        <v>0</v>
      </c>
      <c r="AU190" s="31">
        <v>0</v>
      </c>
      <c r="AV190" s="31">
        <v>0</v>
      </c>
      <c r="AW190" s="31">
        <v>0</v>
      </c>
      <c r="AX190" s="31">
        <v>0</v>
      </c>
      <c r="AY190" s="31">
        <v>0</v>
      </c>
      <c r="AZ190" s="31">
        <v>0</v>
      </c>
      <c r="BA190" s="31">
        <v>0</v>
      </c>
      <c r="BB190" s="31">
        <v>0</v>
      </c>
      <c r="BC190" s="31">
        <v>0</v>
      </c>
      <c r="BD190" s="31">
        <v>0</v>
      </c>
      <c r="BE190" s="31">
        <v>0</v>
      </c>
      <c r="BF190" s="31">
        <v>0</v>
      </c>
      <c r="BG190" s="31">
        <v>0</v>
      </c>
      <c r="BH190" s="31">
        <v>0</v>
      </c>
      <c r="BI190" s="31">
        <v>0</v>
      </c>
      <c r="BJ190" s="32">
        <f t="shared" si="35"/>
        <v>0</v>
      </c>
      <c r="BK190" s="41">
        <f>BJ190+AM190+AL190+'11-2025'!$N190+AN190+AO190</f>
        <v>10000</v>
      </c>
      <c r="BL190" s="34">
        <f>'11-2025'!$O190</f>
        <v>0</v>
      </c>
      <c r="BM190" s="34">
        <f t="shared" si="24"/>
        <v>0</v>
      </c>
      <c r="BN190" s="34">
        <f t="shared" si="25"/>
        <v>0</v>
      </c>
      <c r="BO190" s="34">
        <f t="shared" si="33"/>
        <v>1666.6666666666667</v>
      </c>
      <c r="BP190" s="35">
        <f t="shared" si="26"/>
        <v>8333.3333333333339</v>
      </c>
      <c r="BQ190" s="34">
        <f>IFERROR(BP190/'11-2025'!$J190,0)*12</f>
        <v>100000</v>
      </c>
      <c r="BR190" s="34">
        <f>IF(BQ190&lt;=40000,0,
IF(BQ190&lt;=55000,(BQ190-40000)*10%,
IF(BQ190&lt;=70000,(BQ190-55000)*15%+1500,
IF(BQ190&lt;=200000,(BQ190-70000)*20%+1500+2250,
IF(BQ190&lt;=400000,(BQ190-200000)*22.5%+1500+2250+26000,
IF(BQ190&lt;=600000,(BQ190-400000)*25%+1500+2250+26000+45000,
IF(AND(BQ190&gt;600000,BQ190&lt;=1200000),(BQ190-400000)*25%+1500+2250+26000+45000
+IFERROR(LOOKUP(BQ190,{600001;700001;800001;900001},{4000;6750;10250;15250}),0),IF(BQ190&gt;1200000,((BQ190-1200000)*27.5%)+300000,0)
)))))))</f>
        <v>9750</v>
      </c>
      <c r="BS190" s="32">
        <f>(BR190/12*'11-2025'!$J190)</f>
        <v>812.5</v>
      </c>
      <c r="BT190" s="33">
        <f>BS190-'11-2025'!$V190</f>
        <v>0</v>
      </c>
      <c r="BU190" s="32">
        <f>IFERROR(+'11-2025'!$W190+AL190+AM190+BJ190-'11-2025'!$AJ190-BT190+AN190+AO190,"")-AL190+AP190+AQ190</f>
        <v>9187.5</v>
      </c>
      <c r="BV190" s="36"/>
      <c r="BW190" s="37"/>
      <c r="BX190" s="37">
        <f t="shared" si="34"/>
        <v>9187.5</v>
      </c>
      <c r="BY190" s="37"/>
    </row>
    <row r="191" spans="1:77" s="75" customFormat="1" x14ac:dyDescent="0.25">
      <c r="A191" s="44">
        <v>785</v>
      </c>
      <c r="B191" s="40" t="s">
        <v>301</v>
      </c>
      <c r="C191" s="40" t="s">
        <v>106</v>
      </c>
      <c r="D191" s="40" t="s">
        <v>72</v>
      </c>
      <c r="E191" s="40">
        <v>0</v>
      </c>
      <c r="F191" s="40" t="s">
        <v>139</v>
      </c>
      <c r="G191" s="61">
        <v>45945</v>
      </c>
      <c r="H191" s="61">
        <v>45948</v>
      </c>
      <c r="I191" s="62" t="s">
        <v>269</v>
      </c>
      <c r="J191" s="63">
        <v>1</v>
      </c>
      <c r="K191" s="63">
        <v>3000</v>
      </c>
      <c r="L191" s="63"/>
      <c r="M191" s="64"/>
      <c r="N191" s="63">
        <f>SUM('11-2025'!$K191:$M191)</f>
        <v>3000</v>
      </c>
      <c r="O191" s="63"/>
      <c r="P191" s="63">
        <f t="shared" si="27"/>
        <v>0</v>
      </c>
      <c r="Q191" s="63">
        <f t="shared" si="28"/>
        <v>0</v>
      </c>
      <c r="R191" s="63">
        <v>1666.6666666666667</v>
      </c>
      <c r="S191" s="65">
        <f t="shared" si="29"/>
        <v>1333.3333333333333</v>
      </c>
      <c r="T191" s="63">
        <f t="shared" si="30"/>
        <v>16000</v>
      </c>
      <c r="U191" s="63">
        <f>IF(T191&lt;=40000,0,
IF(T191&lt;=55000,(T191-40000)*10%,
IF(T191&lt;=70000,(T191-55000)*15%+1500,
IF(T191&lt;=200000,(T191-70000)*20%+1500+2250,
IF(T191&lt;=400000,(T191-200000)*22.5%+1500+2250+26000,
IF(T191&lt;=600000,(T191-400000)*25%+1500+2250+26000+45000,
IF(AND(T191&gt;600000,T191&lt;=1200000),(T191-400000)*25%+1500+2250+26000+45000
+IFERROR(LOOKUP(T191,{600001;700001;800001;900001},{4000;6750;10250;15250}),0),IF(T191&gt;1200000,((T191-1200000)*27.5%)+300000,0)
)))))))</f>
        <v>0</v>
      </c>
      <c r="V191" s="63">
        <f t="shared" si="31"/>
        <v>0</v>
      </c>
      <c r="W191" s="66">
        <f>+'11-2025'!$S191-'11-2025'!$V191+'11-2025'!$R191</f>
        <v>3000</v>
      </c>
      <c r="X191" s="66">
        <f t="shared" si="32"/>
        <v>100</v>
      </c>
      <c r="Y191" s="67"/>
      <c r="Z191" s="67">
        <f>IFERROR(+'11-2025'!$X191*'11-2025'!$Y191,"")</f>
        <v>0</v>
      </c>
      <c r="AA191" s="67"/>
      <c r="AB191" s="67">
        <f>IFERROR(+'11-2025'!$X191*'11-2025'!$AA191,"")</f>
        <v>0</v>
      </c>
      <c r="AC191" s="67">
        <v>30</v>
      </c>
      <c r="AD191" s="67">
        <f>IFERROR(+'11-2025'!$X191*'11-2025'!$AC191,"")</f>
        <v>3000</v>
      </c>
      <c r="AE191" s="67"/>
      <c r="AF191" s="67">
        <f>IFERROR(+'11-2025'!$X191*'11-2025'!$AE191,"")</f>
        <v>0</v>
      </c>
      <c r="AG191" s="67"/>
      <c r="AH191" s="67">
        <f>IFERROR(+'11-2025'!$X191*'11-2025'!$AG191,"")</f>
        <v>0</v>
      </c>
      <c r="AI191" s="29">
        <v>0</v>
      </c>
      <c r="AJ191" s="67">
        <f>IFERROR('11-2025'!$Z191+'11-2025'!$AB191+'11-2025'!$AD191+'11-2025'!$AF191+'11-2025'!$AH191+'11-2025'!$AI191,"")</f>
        <v>3000</v>
      </c>
      <c r="AK191" s="68">
        <f>IFERROR('11-2025'!$W191-'11-2025'!$AJ191,"")</f>
        <v>0</v>
      </c>
      <c r="AL191" s="69"/>
      <c r="AM191" s="69"/>
      <c r="AN191" s="69"/>
      <c r="AO191" s="69"/>
      <c r="AP191" s="69"/>
      <c r="AQ191" s="69"/>
      <c r="AR191" s="31">
        <v>0</v>
      </c>
      <c r="AS191" s="31">
        <v>0</v>
      </c>
      <c r="AT191" s="31">
        <v>0</v>
      </c>
      <c r="AU191" s="31">
        <v>0</v>
      </c>
      <c r="AV191" s="31">
        <v>0</v>
      </c>
      <c r="AW191" s="31">
        <v>0</v>
      </c>
      <c r="AX191" s="31">
        <v>0</v>
      </c>
      <c r="AY191" s="31">
        <v>0</v>
      </c>
      <c r="AZ191" s="31">
        <v>0</v>
      </c>
      <c r="BA191" s="31">
        <v>0</v>
      </c>
      <c r="BB191" s="31">
        <v>0</v>
      </c>
      <c r="BC191" s="31">
        <v>0</v>
      </c>
      <c r="BD191" s="31">
        <v>0</v>
      </c>
      <c r="BE191" s="31">
        <v>0</v>
      </c>
      <c r="BF191" s="31">
        <v>0</v>
      </c>
      <c r="BG191" s="31">
        <v>0</v>
      </c>
      <c r="BH191" s="31">
        <v>0</v>
      </c>
      <c r="BI191" s="31">
        <v>0</v>
      </c>
      <c r="BJ191" s="39">
        <f t="shared" si="35"/>
        <v>0</v>
      </c>
      <c r="BK191" s="77">
        <f>BJ191+AM191+AL191+'11-2025'!$N191+AN191+AO191</f>
        <v>3000</v>
      </c>
      <c r="BL191" s="71">
        <f>'11-2025'!$O191</f>
        <v>0</v>
      </c>
      <c r="BM191" s="71">
        <f t="shared" si="24"/>
        <v>0</v>
      </c>
      <c r="BN191" s="71">
        <f t="shared" si="25"/>
        <v>0</v>
      </c>
      <c r="BO191" s="71">
        <f t="shared" si="33"/>
        <v>1666.6666666666667</v>
      </c>
      <c r="BP191" s="72">
        <f t="shared" si="26"/>
        <v>1333.3333333333333</v>
      </c>
      <c r="BQ191" s="71">
        <f>IFERROR(BP191/'11-2025'!$J191,0)*12</f>
        <v>16000</v>
      </c>
      <c r="BR191" s="71">
        <f>IF(BQ191&lt;=40000,0,
IF(BQ191&lt;=55000,(BQ191-40000)*10%,
IF(BQ191&lt;=70000,(BQ191-55000)*15%+1500,
IF(BQ191&lt;=200000,(BQ191-70000)*20%+1500+2250,
IF(BQ191&lt;=400000,(BQ191-200000)*22.5%+1500+2250+26000,
IF(BQ191&lt;=600000,(BQ191-400000)*25%+1500+2250+26000+45000,
IF(AND(BQ191&gt;600000,BQ191&lt;=1200000),(BQ191-400000)*25%+1500+2250+26000+45000
+IFERROR(LOOKUP(BQ191,{600001;700001;800001;900001},{4000;6750;10250;15250}),0),IF(BQ191&gt;1200000,((BQ191-1200000)*27.5%)+300000,0)
)))))))</f>
        <v>0</v>
      </c>
      <c r="BS191" s="39">
        <f>(BR191/12*'11-2025'!$J191)</f>
        <v>0</v>
      </c>
      <c r="BT191" s="70">
        <f>BS191-'11-2025'!$V191</f>
        <v>0</v>
      </c>
      <c r="BU191" s="39">
        <f>IFERROR(+'11-2025'!$W191+AL191+AM191+BJ191-'11-2025'!$AJ191-BT191+AN191+AO191,"")-AL191+AP191+AQ191</f>
        <v>0</v>
      </c>
      <c r="BV191" s="73"/>
      <c r="BW191" s="74"/>
      <c r="BX191" s="74">
        <f t="shared" si="34"/>
        <v>0</v>
      </c>
      <c r="BY191" s="74"/>
    </row>
    <row r="192" spans="1:77" s="75" customFormat="1" x14ac:dyDescent="0.25">
      <c r="A192" s="44">
        <v>777</v>
      </c>
      <c r="B192" s="40" t="s">
        <v>302</v>
      </c>
      <c r="C192" s="40" t="s">
        <v>71</v>
      </c>
      <c r="D192" s="40" t="s">
        <v>72</v>
      </c>
      <c r="E192" s="40">
        <v>0</v>
      </c>
      <c r="F192" s="40" t="s">
        <v>102</v>
      </c>
      <c r="G192" s="61">
        <v>45936</v>
      </c>
      <c r="H192" s="61">
        <v>45936</v>
      </c>
      <c r="I192" s="62" t="s">
        <v>269</v>
      </c>
      <c r="J192" s="63">
        <v>1</v>
      </c>
      <c r="K192" s="63">
        <v>2500</v>
      </c>
      <c r="L192" s="63"/>
      <c r="M192" s="64"/>
      <c r="N192" s="63">
        <f>SUM('11-2025'!$K192:$M192)</f>
        <v>2500</v>
      </c>
      <c r="O192" s="63"/>
      <c r="P192" s="63">
        <f t="shared" si="27"/>
        <v>0</v>
      </c>
      <c r="Q192" s="63">
        <f t="shared" si="28"/>
        <v>0</v>
      </c>
      <c r="R192" s="63">
        <v>1666.6666666666667</v>
      </c>
      <c r="S192" s="65">
        <f t="shared" si="29"/>
        <v>833.33333333333326</v>
      </c>
      <c r="T192" s="63">
        <f t="shared" si="30"/>
        <v>10000</v>
      </c>
      <c r="U192" s="63">
        <f>IF(T192&lt;=40000,0,
IF(T192&lt;=55000,(T192-40000)*10%,
IF(T192&lt;=70000,(T192-55000)*15%+1500,
IF(T192&lt;=200000,(T192-70000)*20%+1500+2250,
IF(T192&lt;=400000,(T192-200000)*22.5%+1500+2250+26000,
IF(T192&lt;=600000,(T192-400000)*25%+1500+2250+26000+45000,
IF(AND(T192&gt;600000,T192&lt;=1200000),(T192-400000)*25%+1500+2250+26000+45000
+IFERROR(LOOKUP(T192,{600001;700001;800001;900001},{4000;6750;10250;15250}),0),IF(T192&gt;1200000,((T192-1200000)*27.5%)+300000,0)
)))))))</f>
        <v>0</v>
      </c>
      <c r="V192" s="63">
        <f t="shared" si="31"/>
        <v>0</v>
      </c>
      <c r="W192" s="66">
        <f>+'11-2025'!$S192-'11-2025'!$V192+'11-2025'!$R192</f>
        <v>2500</v>
      </c>
      <c r="X192" s="66">
        <f t="shared" si="32"/>
        <v>83.333333333333329</v>
      </c>
      <c r="Y192" s="67"/>
      <c r="Z192" s="67">
        <f>IFERROR(+'11-2025'!$X192*'11-2025'!$Y192,"")</f>
        <v>0</v>
      </c>
      <c r="AA192" s="67"/>
      <c r="AB192" s="67">
        <f>IFERROR(+'11-2025'!$X192*'11-2025'!$AA192,"")</f>
        <v>0</v>
      </c>
      <c r="AC192" s="67">
        <v>30</v>
      </c>
      <c r="AD192" s="67">
        <f>IFERROR(+'11-2025'!$X192*'11-2025'!$AC192,"")</f>
        <v>2500</v>
      </c>
      <c r="AE192" s="67"/>
      <c r="AF192" s="67">
        <f>IFERROR(+'11-2025'!$X192*'11-2025'!$AE192,"")</f>
        <v>0</v>
      </c>
      <c r="AG192" s="67"/>
      <c r="AH192" s="67">
        <f>IFERROR(+'11-2025'!$X192*'11-2025'!$AG192,"")</f>
        <v>0</v>
      </c>
      <c r="AI192" s="29">
        <v>0</v>
      </c>
      <c r="AJ192" s="67">
        <f>IFERROR('11-2025'!$Z192+'11-2025'!$AB192+'11-2025'!$AD192+'11-2025'!$AF192+'11-2025'!$AH192+'11-2025'!$AI192,"")</f>
        <v>2500</v>
      </c>
      <c r="AK192" s="68">
        <f>IFERROR('11-2025'!$W192-'11-2025'!$AJ192,"")</f>
        <v>0</v>
      </c>
      <c r="AL192" s="69"/>
      <c r="AM192" s="69"/>
      <c r="AN192" s="69"/>
      <c r="AO192" s="69"/>
      <c r="AP192" s="69"/>
      <c r="AQ192" s="69"/>
      <c r="AR192" s="31">
        <v>0</v>
      </c>
      <c r="AS192" s="31">
        <v>0</v>
      </c>
      <c r="AT192" s="31">
        <v>0</v>
      </c>
      <c r="AU192" s="31">
        <v>0</v>
      </c>
      <c r="AV192" s="31">
        <v>0</v>
      </c>
      <c r="AW192" s="31">
        <v>0</v>
      </c>
      <c r="AX192" s="31">
        <v>0</v>
      </c>
      <c r="AY192" s="31">
        <v>0</v>
      </c>
      <c r="AZ192" s="31">
        <v>0</v>
      </c>
      <c r="BA192" s="31">
        <v>0</v>
      </c>
      <c r="BB192" s="31">
        <v>0</v>
      </c>
      <c r="BC192" s="31">
        <v>0</v>
      </c>
      <c r="BD192" s="31">
        <v>0</v>
      </c>
      <c r="BE192" s="31">
        <v>0</v>
      </c>
      <c r="BF192" s="31">
        <v>0</v>
      </c>
      <c r="BG192" s="31">
        <v>0</v>
      </c>
      <c r="BH192" s="31">
        <v>0</v>
      </c>
      <c r="BI192" s="31">
        <v>0</v>
      </c>
      <c r="BJ192" s="39">
        <f t="shared" si="35"/>
        <v>0</v>
      </c>
      <c r="BK192" s="77">
        <f>BJ192+AM192+AL192+'11-2025'!$N192+AN192+AO192</f>
        <v>2500</v>
      </c>
      <c r="BL192" s="71">
        <f>'11-2025'!$O192</f>
        <v>0</v>
      </c>
      <c r="BM192" s="71">
        <f t="shared" si="24"/>
        <v>0</v>
      </c>
      <c r="BN192" s="71">
        <f t="shared" si="25"/>
        <v>0</v>
      </c>
      <c r="BO192" s="71">
        <f t="shared" si="33"/>
        <v>1666.6666666666667</v>
      </c>
      <c r="BP192" s="72">
        <f t="shared" si="26"/>
        <v>833.33333333333326</v>
      </c>
      <c r="BQ192" s="71">
        <f>IFERROR(BP192/'11-2025'!$J192,0)*12</f>
        <v>10000</v>
      </c>
      <c r="BR192" s="71">
        <f>IF(BQ192&lt;=40000,0,
IF(BQ192&lt;=55000,(BQ192-40000)*10%,
IF(BQ192&lt;=70000,(BQ192-55000)*15%+1500,
IF(BQ192&lt;=200000,(BQ192-70000)*20%+1500+2250,
IF(BQ192&lt;=400000,(BQ192-200000)*22.5%+1500+2250+26000,
IF(BQ192&lt;=600000,(BQ192-400000)*25%+1500+2250+26000+45000,
IF(AND(BQ192&gt;600000,BQ192&lt;=1200000),(BQ192-400000)*25%+1500+2250+26000+45000
+IFERROR(LOOKUP(BQ192,{600001;700001;800001;900001},{4000;6750;10250;15250}),0),IF(BQ192&gt;1200000,((BQ192-1200000)*27.5%)+300000,0)
)))))))</f>
        <v>0</v>
      </c>
      <c r="BS192" s="39">
        <f>(BR192/12*'11-2025'!$J192)</f>
        <v>0</v>
      </c>
      <c r="BT192" s="70">
        <f>BS192-'11-2025'!$V192</f>
        <v>0</v>
      </c>
      <c r="BU192" s="39">
        <f>IFERROR(+'11-2025'!$W192+AL192+AM192+BJ192-'11-2025'!$AJ192-BT192+AN192+AO192,"")-AL192+AP192+AQ192</f>
        <v>0</v>
      </c>
      <c r="BV192" s="73"/>
      <c r="BW192" s="74"/>
      <c r="BX192" s="74">
        <f t="shared" si="34"/>
        <v>0</v>
      </c>
      <c r="BY192" s="74"/>
    </row>
    <row r="193" spans="1:77" s="75" customFormat="1" x14ac:dyDescent="0.25">
      <c r="A193" s="44">
        <v>778</v>
      </c>
      <c r="B193" s="40" t="s">
        <v>303</v>
      </c>
      <c r="C193" s="40" t="s">
        <v>71</v>
      </c>
      <c r="D193" s="40" t="s">
        <v>72</v>
      </c>
      <c r="E193" s="40">
        <v>0</v>
      </c>
      <c r="F193" s="40" t="s">
        <v>102</v>
      </c>
      <c r="G193" s="61">
        <v>45936</v>
      </c>
      <c r="H193" s="61">
        <v>45936</v>
      </c>
      <c r="I193" s="62" t="s">
        <v>269</v>
      </c>
      <c r="J193" s="63">
        <v>1</v>
      </c>
      <c r="K193" s="63">
        <v>2500</v>
      </c>
      <c r="L193" s="63"/>
      <c r="M193" s="64"/>
      <c r="N193" s="63">
        <f>SUM('11-2025'!$K193:$M193)</f>
        <v>2500</v>
      </c>
      <c r="O193" s="63"/>
      <c r="P193" s="63">
        <f t="shared" si="27"/>
        <v>0</v>
      </c>
      <c r="Q193" s="63">
        <f t="shared" si="28"/>
        <v>0</v>
      </c>
      <c r="R193" s="63">
        <v>1666.6666666666667</v>
      </c>
      <c r="S193" s="65">
        <f t="shared" si="29"/>
        <v>833.33333333333326</v>
      </c>
      <c r="T193" s="63">
        <f t="shared" si="30"/>
        <v>10000</v>
      </c>
      <c r="U193" s="63">
        <f>IF(T193&lt;=40000,0,
IF(T193&lt;=55000,(T193-40000)*10%,
IF(T193&lt;=70000,(T193-55000)*15%+1500,
IF(T193&lt;=200000,(T193-70000)*20%+1500+2250,
IF(T193&lt;=400000,(T193-200000)*22.5%+1500+2250+26000,
IF(T193&lt;=600000,(T193-400000)*25%+1500+2250+26000+45000,
IF(AND(T193&gt;600000,T193&lt;=1200000),(T193-400000)*25%+1500+2250+26000+45000
+IFERROR(LOOKUP(T193,{600001;700001;800001;900001},{4000;6750;10250;15250}),0),IF(T193&gt;1200000,((T193-1200000)*27.5%)+300000,0)
)))))))</f>
        <v>0</v>
      </c>
      <c r="V193" s="63">
        <f t="shared" si="31"/>
        <v>0</v>
      </c>
      <c r="W193" s="66">
        <f>+'11-2025'!$S193-'11-2025'!$V193+'11-2025'!$R193</f>
        <v>2500</v>
      </c>
      <c r="X193" s="66">
        <f t="shared" si="32"/>
        <v>83.333333333333329</v>
      </c>
      <c r="Y193" s="67"/>
      <c r="Z193" s="67">
        <f>IFERROR(+'11-2025'!$X193*'11-2025'!$Y193,"")</f>
        <v>0</v>
      </c>
      <c r="AA193" s="67"/>
      <c r="AB193" s="67">
        <f>IFERROR(+'11-2025'!$X193*'11-2025'!$AA193,"")</f>
        <v>0</v>
      </c>
      <c r="AC193" s="67">
        <v>30</v>
      </c>
      <c r="AD193" s="67">
        <f>IFERROR(+'11-2025'!$X193*'11-2025'!$AC193,"")</f>
        <v>2500</v>
      </c>
      <c r="AE193" s="67"/>
      <c r="AF193" s="67">
        <f>IFERROR(+'11-2025'!$X193*'11-2025'!$AE193,"")</f>
        <v>0</v>
      </c>
      <c r="AG193" s="67"/>
      <c r="AH193" s="67">
        <f>IFERROR(+'11-2025'!$X193*'11-2025'!$AG193,"")</f>
        <v>0</v>
      </c>
      <c r="AI193" s="29">
        <v>0</v>
      </c>
      <c r="AJ193" s="67">
        <f>IFERROR('11-2025'!$Z193+'11-2025'!$AB193+'11-2025'!$AD193+'11-2025'!$AF193+'11-2025'!$AH193+'11-2025'!$AI193,"")</f>
        <v>2500</v>
      </c>
      <c r="AK193" s="68">
        <f>IFERROR('11-2025'!$W193-'11-2025'!$AJ193,"")</f>
        <v>0</v>
      </c>
      <c r="AL193" s="69"/>
      <c r="AM193" s="69"/>
      <c r="AN193" s="69"/>
      <c r="AO193" s="69"/>
      <c r="AP193" s="69"/>
      <c r="AQ193" s="69"/>
      <c r="AR193" s="31">
        <v>0</v>
      </c>
      <c r="AS193" s="31">
        <v>0</v>
      </c>
      <c r="AT193" s="31">
        <v>0</v>
      </c>
      <c r="AU193" s="31">
        <v>0</v>
      </c>
      <c r="AV193" s="31">
        <v>0</v>
      </c>
      <c r="AW193" s="31">
        <v>0</v>
      </c>
      <c r="AX193" s="31">
        <v>0</v>
      </c>
      <c r="AY193" s="31">
        <v>0</v>
      </c>
      <c r="AZ193" s="31">
        <v>0</v>
      </c>
      <c r="BA193" s="31">
        <v>0</v>
      </c>
      <c r="BB193" s="31">
        <v>0</v>
      </c>
      <c r="BC193" s="31">
        <v>0</v>
      </c>
      <c r="BD193" s="31">
        <v>0</v>
      </c>
      <c r="BE193" s="31">
        <v>0</v>
      </c>
      <c r="BF193" s="31">
        <v>0</v>
      </c>
      <c r="BG193" s="31">
        <v>0</v>
      </c>
      <c r="BH193" s="31">
        <v>0</v>
      </c>
      <c r="BI193" s="31">
        <v>0</v>
      </c>
      <c r="BJ193" s="39">
        <f t="shared" si="35"/>
        <v>0</v>
      </c>
      <c r="BK193" s="77">
        <f>BJ193+AM193+AL193+'11-2025'!$N193+AN193+AO193</f>
        <v>2500</v>
      </c>
      <c r="BL193" s="71">
        <f>'11-2025'!$O193</f>
        <v>0</v>
      </c>
      <c r="BM193" s="71">
        <f t="shared" si="24"/>
        <v>0</v>
      </c>
      <c r="BN193" s="71">
        <f t="shared" si="25"/>
        <v>0</v>
      </c>
      <c r="BO193" s="71">
        <f t="shared" si="33"/>
        <v>1666.6666666666667</v>
      </c>
      <c r="BP193" s="72">
        <f t="shared" si="26"/>
        <v>833.33333333333326</v>
      </c>
      <c r="BQ193" s="71">
        <f>IFERROR(BP193/'11-2025'!$J193,0)*12</f>
        <v>10000</v>
      </c>
      <c r="BR193" s="71">
        <f>IF(BQ193&lt;=40000,0,
IF(BQ193&lt;=55000,(BQ193-40000)*10%,
IF(BQ193&lt;=70000,(BQ193-55000)*15%+1500,
IF(BQ193&lt;=200000,(BQ193-70000)*20%+1500+2250,
IF(BQ193&lt;=400000,(BQ193-200000)*22.5%+1500+2250+26000,
IF(BQ193&lt;=600000,(BQ193-400000)*25%+1500+2250+26000+45000,
IF(AND(BQ193&gt;600000,BQ193&lt;=1200000),(BQ193-400000)*25%+1500+2250+26000+45000
+IFERROR(LOOKUP(BQ193,{600001;700001;800001;900001},{4000;6750;10250;15250}),0),IF(BQ193&gt;1200000,((BQ193-1200000)*27.5%)+300000,0)
)))))))</f>
        <v>0</v>
      </c>
      <c r="BS193" s="39">
        <f>(BR193/12*'11-2025'!$J193)</f>
        <v>0</v>
      </c>
      <c r="BT193" s="70">
        <f>BS193-'11-2025'!$V193</f>
        <v>0</v>
      </c>
      <c r="BU193" s="39">
        <f>IFERROR(+'11-2025'!$W193+AL193+AM193+BJ193-'11-2025'!$AJ193-BT193+AN193+AO193,"")-AL193+AP193+AQ193</f>
        <v>0</v>
      </c>
      <c r="BV193" s="73"/>
      <c r="BW193" s="74"/>
      <c r="BX193" s="74">
        <f t="shared" si="34"/>
        <v>0</v>
      </c>
      <c r="BY193" s="74"/>
    </row>
    <row r="194" spans="1:77" s="75" customFormat="1" x14ac:dyDescent="0.25">
      <c r="A194" s="44">
        <v>768</v>
      </c>
      <c r="B194" s="40" t="s">
        <v>304</v>
      </c>
      <c r="C194" s="40" t="s">
        <v>106</v>
      </c>
      <c r="D194" s="40" t="s">
        <v>72</v>
      </c>
      <c r="E194" s="40">
        <v>0</v>
      </c>
      <c r="F194" s="40" t="s">
        <v>102</v>
      </c>
      <c r="G194" s="61">
        <v>45934</v>
      </c>
      <c r="H194" s="61">
        <v>45936</v>
      </c>
      <c r="I194" s="62" t="s">
        <v>269</v>
      </c>
      <c r="J194" s="63">
        <v>1</v>
      </c>
      <c r="K194" s="63">
        <v>2500</v>
      </c>
      <c r="L194" s="63"/>
      <c r="M194" s="64"/>
      <c r="N194" s="63">
        <f>SUM('11-2025'!$K194:$M194)</f>
        <v>2500</v>
      </c>
      <c r="O194" s="63"/>
      <c r="P194" s="63">
        <f t="shared" si="27"/>
        <v>0</v>
      </c>
      <c r="Q194" s="63">
        <f t="shared" si="28"/>
        <v>0</v>
      </c>
      <c r="R194" s="63">
        <v>1666.6666666666667</v>
      </c>
      <c r="S194" s="65">
        <f t="shared" si="29"/>
        <v>833.33333333333326</v>
      </c>
      <c r="T194" s="63">
        <f t="shared" si="30"/>
        <v>10000</v>
      </c>
      <c r="U194" s="63">
        <f>IF(T194&lt;=40000,0,
IF(T194&lt;=55000,(T194-40000)*10%,
IF(T194&lt;=70000,(T194-55000)*15%+1500,
IF(T194&lt;=200000,(T194-70000)*20%+1500+2250,
IF(T194&lt;=400000,(T194-200000)*22.5%+1500+2250+26000,
IF(T194&lt;=600000,(T194-400000)*25%+1500+2250+26000+45000,
IF(AND(T194&gt;600000,T194&lt;=1200000),(T194-400000)*25%+1500+2250+26000+45000
+IFERROR(LOOKUP(T194,{600001;700001;800001;900001},{4000;6750;10250;15250}),0),IF(T194&gt;1200000,((T194-1200000)*27.5%)+300000,0)
)))))))</f>
        <v>0</v>
      </c>
      <c r="V194" s="63">
        <f t="shared" si="31"/>
        <v>0</v>
      </c>
      <c r="W194" s="66">
        <f>+'11-2025'!$S194-'11-2025'!$V194+'11-2025'!$R194</f>
        <v>2500</v>
      </c>
      <c r="X194" s="66">
        <f t="shared" si="32"/>
        <v>83.333333333333329</v>
      </c>
      <c r="Y194" s="67"/>
      <c r="Z194" s="67">
        <f>IFERROR(+'11-2025'!$X194*'11-2025'!$Y194,"")</f>
        <v>0</v>
      </c>
      <c r="AA194" s="67"/>
      <c r="AB194" s="67">
        <f>IFERROR(+'11-2025'!$X194*'11-2025'!$AA194,"")</f>
        <v>0</v>
      </c>
      <c r="AC194" s="67">
        <v>30</v>
      </c>
      <c r="AD194" s="67">
        <f>IFERROR(+'11-2025'!$X194*'11-2025'!$AC194,"")</f>
        <v>2500</v>
      </c>
      <c r="AE194" s="67"/>
      <c r="AF194" s="67">
        <f>IFERROR(+'11-2025'!$X194*'11-2025'!$AE194,"")</f>
        <v>0</v>
      </c>
      <c r="AG194" s="67"/>
      <c r="AH194" s="67">
        <f>IFERROR(+'11-2025'!$X194*'11-2025'!$AG194,"")</f>
        <v>0</v>
      </c>
      <c r="AI194" s="29">
        <v>0</v>
      </c>
      <c r="AJ194" s="67">
        <f>IFERROR('11-2025'!$Z194+'11-2025'!$AB194+'11-2025'!$AD194+'11-2025'!$AF194+'11-2025'!$AH194+'11-2025'!$AI194,"")</f>
        <v>2500</v>
      </c>
      <c r="AK194" s="68">
        <f>IFERROR('11-2025'!$W194-'11-2025'!$AJ194,"")</f>
        <v>0</v>
      </c>
      <c r="AL194" s="69"/>
      <c r="AM194" s="69"/>
      <c r="AN194" s="69"/>
      <c r="AO194" s="69"/>
      <c r="AP194" s="69"/>
      <c r="AQ194" s="69"/>
      <c r="AR194" s="31">
        <v>0</v>
      </c>
      <c r="AS194" s="31">
        <v>0</v>
      </c>
      <c r="AT194" s="31">
        <v>0</v>
      </c>
      <c r="AU194" s="31">
        <v>0</v>
      </c>
      <c r="AV194" s="31">
        <v>0</v>
      </c>
      <c r="AW194" s="31">
        <v>0</v>
      </c>
      <c r="AX194" s="31">
        <v>0</v>
      </c>
      <c r="AY194" s="31">
        <v>0</v>
      </c>
      <c r="AZ194" s="31">
        <v>0</v>
      </c>
      <c r="BA194" s="31">
        <v>0</v>
      </c>
      <c r="BB194" s="31">
        <v>0</v>
      </c>
      <c r="BC194" s="31">
        <v>0</v>
      </c>
      <c r="BD194" s="31">
        <v>0</v>
      </c>
      <c r="BE194" s="31">
        <v>0</v>
      </c>
      <c r="BF194" s="31">
        <v>0</v>
      </c>
      <c r="BG194" s="31">
        <v>0</v>
      </c>
      <c r="BH194" s="31">
        <v>0</v>
      </c>
      <c r="BI194" s="31">
        <v>0</v>
      </c>
      <c r="BJ194" s="39">
        <f t="shared" si="35"/>
        <v>0</v>
      </c>
      <c r="BK194" s="77">
        <f>BJ194+AM194+AL194+'11-2025'!$N194+AN194+AO194</f>
        <v>2500</v>
      </c>
      <c r="BL194" s="71">
        <f>'11-2025'!$O194</f>
        <v>0</v>
      </c>
      <c r="BM194" s="71">
        <f t="shared" si="24"/>
        <v>0</v>
      </c>
      <c r="BN194" s="71">
        <f t="shared" si="25"/>
        <v>0</v>
      </c>
      <c r="BO194" s="71">
        <f t="shared" si="33"/>
        <v>1666.6666666666667</v>
      </c>
      <c r="BP194" s="72">
        <f t="shared" si="26"/>
        <v>833.33333333333326</v>
      </c>
      <c r="BQ194" s="71">
        <f>IFERROR(BP194/'11-2025'!$J194,0)*12</f>
        <v>10000</v>
      </c>
      <c r="BR194" s="71">
        <f>IF(BQ194&lt;=40000,0,
IF(BQ194&lt;=55000,(BQ194-40000)*10%,
IF(BQ194&lt;=70000,(BQ194-55000)*15%+1500,
IF(BQ194&lt;=200000,(BQ194-70000)*20%+1500+2250,
IF(BQ194&lt;=400000,(BQ194-200000)*22.5%+1500+2250+26000,
IF(BQ194&lt;=600000,(BQ194-400000)*25%+1500+2250+26000+45000,
IF(AND(BQ194&gt;600000,BQ194&lt;=1200000),(BQ194-400000)*25%+1500+2250+26000+45000
+IFERROR(LOOKUP(BQ194,{600001;700001;800001;900001},{4000;6750;10250;15250}),0),IF(BQ194&gt;1200000,((BQ194-1200000)*27.5%)+300000,0)
)))))))</f>
        <v>0</v>
      </c>
      <c r="BS194" s="39">
        <f>(BR194/12*'11-2025'!$J194)</f>
        <v>0</v>
      </c>
      <c r="BT194" s="70">
        <f>BS194-'11-2025'!$V194</f>
        <v>0</v>
      </c>
      <c r="BU194" s="39">
        <f>IFERROR(+'11-2025'!$W194+AL194+AM194+BJ194-'11-2025'!$AJ194-BT194+AN194+AO194,"")-AL194+AP194+AQ194</f>
        <v>0</v>
      </c>
      <c r="BV194" s="73"/>
      <c r="BW194" s="74"/>
      <c r="BX194" s="74">
        <f t="shared" si="34"/>
        <v>0</v>
      </c>
      <c r="BY194" s="74"/>
    </row>
    <row r="195" spans="1:77" s="75" customFormat="1" x14ac:dyDescent="0.25">
      <c r="A195" s="44">
        <v>769</v>
      </c>
      <c r="B195" s="40" t="s">
        <v>305</v>
      </c>
      <c r="C195" s="40" t="s">
        <v>106</v>
      </c>
      <c r="D195" s="40" t="s">
        <v>72</v>
      </c>
      <c r="E195" s="40">
        <v>0</v>
      </c>
      <c r="F195" s="40" t="s">
        <v>102</v>
      </c>
      <c r="G195" s="61">
        <v>45934</v>
      </c>
      <c r="H195" s="61">
        <v>45936</v>
      </c>
      <c r="I195" s="62" t="s">
        <v>269</v>
      </c>
      <c r="J195" s="63">
        <v>1</v>
      </c>
      <c r="K195" s="63">
        <v>2500</v>
      </c>
      <c r="L195" s="63"/>
      <c r="M195" s="64"/>
      <c r="N195" s="63">
        <f>SUM('11-2025'!$K195:$M195)</f>
        <v>2500</v>
      </c>
      <c r="O195" s="63"/>
      <c r="P195" s="63">
        <f t="shared" si="27"/>
        <v>0</v>
      </c>
      <c r="Q195" s="63">
        <f t="shared" si="28"/>
        <v>0</v>
      </c>
      <c r="R195" s="63">
        <v>1666.6666666666667</v>
      </c>
      <c r="S195" s="65">
        <f t="shared" si="29"/>
        <v>833.33333333333326</v>
      </c>
      <c r="T195" s="63">
        <f t="shared" si="30"/>
        <v>10000</v>
      </c>
      <c r="U195" s="63">
        <f>IF(T195&lt;=40000,0,
IF(T195&lt;=55000,(T195-40000)*10%,
IF(T195&lt;=70000,(T195-55000)*15%+1500,
IF(T195&lt;=200000,(T195-70000)*20%+1500+2250,
IF(T195&lt;=400000,(T195-200000)*22.5%+1500+2250+26000,
IF(T195&lt;=600000,(T195-400000)*25%+1500+2250+26000+45000,
IF(AND(T195&gt;600000,T195&lt;=1200000),(T195-400000)*25%+1500+2250+26000+45000
+IFERROR(LOOKUP(T195,{600001;700001;800001;900001},{4000;6750;10250;15250}),0),IF(T195&gt;1200000,((T195-1200000)*27.5%)+300000,0)
)))))))</f>
        <v>0</v>
      </c>
      <c r="V195" s="63">
        <f t="shared" si="31"/>
        <v>0</v>
      </c>
      <c r="W195" s="66">
        <f>+'11-2025'!$S195-'11-2025'!$V195+'11-2025'!$R195</f>
        <v>2500</v>
      </c>
      <c r="X195" s="66">
        <f t="shared" si="32"/>
        <v>83.333333333333329</v>
      </c>
      <c r="Y195" s="67"/>
      <c r="Z195" s="67">
        <f>IFERROR(+'11-2025'!$X195*'11-2025'!$Y195,"")</f>
        <v>0</v>
      </c>
      <c r="AA195" s="67"/>
      <c r="AB195" s="67">
        <f>IFERROR(+'11-2025'!$X195*'11-2025'!$AA195,"")</f>
        <v>0</v>
      </c>
      <c r="AC195" s="67">
        <v>30</v>
      </c>
      <c r="AD195" s="67">
        <f>IFERROR(+'11-2025'!$X195*'11-2025'!$AC195,"")</f>
        <v>2500</v>
      </c>
      <c r="AE195" s="67"/>
      <c r="AF195" s="67">
        <f>IFERROR(+'11-2025'!$X195*'11-2025'!$AE195,"")</f>
        <v>0</v>
      </c>
      <c r="AG195" s="67"/>
      <c r="AH195" s="67">
        <f>IFERROR(+'11-2025'!$X195*'11-2025'!$AG195,"")</f>
        <v>0</v>
      </c>
      <c r="AI195" s="29">
        <v>0</v>
      </c>
      <c r="AJ195" s="67">
        <f>IFERROR('11-2025'!$Z195+'11-2025'!$AB195+'11-2025'!$AD195+'11-2025'!$AF195+'11-2025'!$AH195+'11-2025'!$AI195,"")</f>
        <v>2500</v>
      </c>
      <c r="AK195" s="68">
        <f>IFERROR('11-2025'!$W195-'11-2025'!$AJ195,"")</f>
        <v>0</v>
      </c>
      <c r="AL195" s="69"/>
      <c r="AM195" s="69"/>
      <c r="AN195" s="69"/>
      <c r="AO195" s="69"/>
      <c r="AP195" s="69"/>
      <c r="AQ195" s="69"/>
      <c r="AR195" s="31">
        <v>0</v>
      </c>
      <c r="AS195" s="31">
        <v>0</v>
      </c>
      <c r="AT195" s="31">
        <v>0</v>
      </c>
      <c r="AU195" s="31">
        <v>0</v>
      </c>
      <c r="AV195" s="31">
        <v>0</v>
      </c>
      <c r="AW195" s="31">
        <v>0</v>
      </c>
      <c r="AX195" s="31">
        <v>0</v>
      </c>
      <c r="AY195" s="31">
        <v>0</v>
      </c>
      <c r="AZ195" s="31">
        <v>0</v>
      </c>
      <c r="BA195" s="31">
        <v>0</v>
      </c>
      <c r="BB195" s="31">
        <v>0</v>
      </c>
      <c r="BC195" s="31">
        <v>0</v>
      </c>
      <c r="BD195" s="31">
        <v>0</v>
      </c>
      <c r="BE195" s="31">
        <v>0</v>
      </c>
      <c r="BF195" s="31">
        <v>0</v>
      </c>
      <c r="BG195" s="31">
        <v>0</v>
      </c>
      <c r="BH195" s="31">
        <v>0</v>
      </c>
      <c r="BI195" s="31">
        <v>0</v>
      </c>
      <c r="BJ195" s="39">
        <f t="shared" si="35"/>
        <v>0</v>
      </c>
      <c r="BK195" s="77">
        <f>BJ195+AM195+AL195+'11-2025'!$N195+AN195+AO195</f>
        <v>2500</v>
      </c>
      <c r="BL195" s="71">
        <f>'11-2025'!$O195</f>
        <v>0</v>
      </c>
      <c r="BM195" s="71">
        <f t="shared" si="24"/>
        <v>0</v>
      </c>
      <c r="BN195" s="71">
        <f t="shared" si="25"/>
        <v>0</v>
      </c>
      <c r="BO195" s="71">
        <f t="shared" si="33"/>
        <v>1666.6666666666667</v>
      </c>
      <c r="BP195" s="72">
        <f t="shared" si="26"/>
        <v>833.33333333333326</v>
      </c>
      <c r="BQ195" s="71">
        <f>IFERROR(BP195/'11-2025'!$J195,0)*12</f>
        <v>10000</v>
      </c>
      <c r="BR195" s="71">
        <f>IF(BQ195&lt;=40000,0,
IF(BQ195&lt;=55000,(BQ195-40000)*10%,
IF(BQ195&lt;=70000,(BQ195-55000)*15%+1500,
IF(BQ195&lt;=200000,(BQ195-70000)*20%+1500+2250,
IF(BQ195&lt;=400000,(BQ195-200000)*22.5%+1500+2250+26000,
IF(BQ195&lt;=600000,(BQ195-400000)*25%+1500+2250+26000+45000,
IF(AND(BQ195&gt;600000,BQ195&lt;=1200000),(BQ195-400000)*25%+1500+2250+26000+45000
+IFERROR(LOOKUP(BQ195,{600001;700001;800001;900001},{4000;6750;10250;15250}),0),IF(BQ195&gt;1200000,((BQ195-1200000)*27.5%)+300000,0)
)))))))</f>
        <v>0</v>
      </c>
      <c r="BS195" s="39">
        <f>(BR195/12*'11-2025'!$J195)</f>
        <v>0</v>
      </c>
      <c r="BT195" s="70">
        <f>BS195-'11-2025'!$V195</f>
        <v>0</v>
      </c>
      <c r="BU195" s="39">
        <f>IFERROR(+'11-2025'!$W195+AL195+AM195+BJ195-'11-2025'!$AJ195-BT195+AN195+AO195,"")-AL195+AP195+AQ195</f>
        <v>0</v>
      </c>
      <c r="BV195" s="73"/>
      <c r="BW195" s="74"/>
      <c r="BX195" s="74">
        <f t="shared" si="34"/>
        <v>0</v>
      </c>
      <c r="BY195" s="74"/>
    </row>
    <row r="196" spans="1:77" s="75" customFormat="1" x14ac:dyDescent="0.25">
      <c r="A196" s="44">
        <v>770</v>
      </c>
      <c r="B196" s="40" t="s">
        <v>306</v>
      </c>
      <c r="C196" s="40" t="s">
        <v>106</v>
      </c>
      <c r="D196" s="40" t="s">
        <v>72</v>
      </c>
      <c r="E196" s="40">
        <v>0</v>
      </c>
      <c r="F196" s="40" t="s">
        <v>102</v>
      </c>
      <c r="G196" s="61">
        <v>45934</v>
      </c>
      <c r="H196" s="61">
        <v>45936</v>
      </c>
      <c r="I196" s="62" t="s">
        <v>269</v>
      </c>
      <c r="J196" s="63">
        <v>1</v>
      </c>
      <c r="K196" s="63">
        <v>2500</v>
      </c>
      <c r="L196" s="63"/>
      <c r="M196" s="64"/>
      <c r="N196" s="63">
        <f>SUM('11-2025'!$K196:$M196)</f>
        <v>2500</v>
      </c>
      <c r="O196" s="63"/>
      <c r="P196" s="63">
        <f t="shared" si="27"/>
        <v>0</v>
      </c>
      <c r="Q196" s="63">
        <f t="shared" si="28"/>
        <v>0</v>
      </c>
      <c r="R196" s="63">
        <v>1666.6666666666667</v>
      </c>
      <c r="S196" s="65">
        <f t="shared" si="29"/>
        <v>833.33333333333326</v>
      </c>
      <c r="T196" s="63">
        <f t="shared" si="30"/>
        <v>10000</v>
      </c>
      <c r="U196" s="63">
        <f>IF(T196&lt;=40000,0,
IF(T196&lt;=55000,(T196-40000)*10%,
IF(T196&lt;=70000,(T196-55000)*15%+1500,
IF(T196&lt;=200000,(T196-70000)*20%+1500+2250,
IF(T196&lt;=400000,(T196-200000)*22.5%+1500+2250+26000,
IF(T196&lt;=600000,(T196-400000)*25%+1500+2250+26000+45000,
IF(AND(T196&gt;600000,T196&lt;=1200000),(T196-400000)*25%+1500+2250+26000+45000
+IFERROR(LOOKUP(T196,{600001;700001;800001;900001},{4000;6750;10250;15250}),0),IF(T196&gt;1200000,((T196-1200000)*27.5%)+300000,0)
)))))))</f>
        <v>0</v>
      </c>
      <c r="V196" s="63">
        <f t="shared" si="31"/>
        <v>0</v>
      </c>
      <c r="W196" s="66">
        <f>+'11-2025'!$S196-'11-2025'!$V196+'11-2025'!$R196</f>
        <v>2500</v>
      </c>
      <c r="X196" s="66">
        <f t="shared" si="32"/>
        <v>83.333333333333329</v>
      </c>
      <c r="Y196" s="67"/>
      <c r="Z196" s="67">
        <f>IFERROR(+'11-2025'!$X196*'11-2025'!$Y196,"")</f>
        <v>0</v>
      </c>
      <c r="AA196" s="67"/>
      <c r="AB196" s="67">
        <f>IFERROR(+'11-2025'!$X196*'11-2025'!$AA196,"")</f>
        <v>0</v>
      </c>
      <c r="AC196" s="67">
        <v>30</v>
      </c>
      <c r="AD196" s="67">
        <f>IFERROR(+'11-2025'!$X196*'11-2025'!$AC196,"")</f>
        <v>2500</v>
      </c>
      <c r="AE196" s="67"/>
      <c r="AF196" s="67">
        <f>IFERROR(+'11-2025'!$X196*'11-2025'!$AE196,"")</f>
        <v>0</v>
      </c>
      <c r="AG196" s="67"/>
      <c r="AH196" s="67">
        <f>IFERROR(+'11-2025'!$X196*'11-2025'!$AG196,"")</f>
        <v>0</v>
      </c>
      <c r="AI196" s="29">
        <v>0</v>
      </c>
      <c r="AJ196" s="67">
        <f>IFERROR('11-2025'!$Z196+'11-2025'!$AB196+'11-2025'!$AD196+'11-2025'!$AF196+'11-2025'!$AH196+'11-2025'!$AI196,"")</f>
        <v>2500</v>
      </c>
      <c r="AK196" s="68">
        <f>IFERROR('11-2025'!$W196-'11-2025'!$AJ196,"")</f>
        <v>0</v>
      </c>
      <c r="AL196" s="69"/>
      <c r="AM196" s="69"/>
      <c r="AN196" s="69"/>
      <c r="AO196" s="69"/>
      <c r="AP196" s="69"/>
      <c r="AQ196" s="69"/>
      <c r="AR196" s="31">
        <v>0</v>
      </c>
      <c r="AS196" s="31">
        <v>0</v>
      </c>
      <c r="AT196" s="31">
        <v>0</v>
      </c>
      <c r="AU196" s="31">
        <v>0</v>
      </c>
      <c r="AV196" s="31">
        <v>0</v>
      </c>
      <c r="AW196" s="31">
        <v>0</v>
      </c>
      <c r="AX196" s="31">
        <v>0</v>
      </c>
      <c r="AY196" s="31">
        <v>0</v>
      </c>
      <c r="AZ196" s="31">
        <v>0</v>
      </c>
      <c r="BA196" s="31">
        <v>0</v>
      </c>
      <c r="BB196" s="31">
        <v>0</v>
      </c>
      <c r="BC196" s="31">
        <v>0</v>
      </c>
      <c r="BD196" s="31">
        <v>0</v>
      </c>
      <c r="BE196" s="31">
        <v>0</v>
      </c>
      <c r="BF196" s="31">
        <v>0</v>
      </c>
      <c r="BG196" s="31">
        <v>0</v>
      </c>
      <c r="BH196" s="31">
        <v>0</v>
      </c>
      <c r="BI196" s="31">
        <v>0</v>
      </c>
      <c r="BJ196" s="39">
        <f t="shared" ref="BJ196:BJ242" si="36">BD196+BC196+BB196+BA196+AZ196+AY196+AX196+AW196+AV196+AU196+AT196+AS196+AR196+BE196+BF196+BG196+BH196+BI196</f>
        <v>0</v>
      </c>
      <c r="BK196" s="77">
        <f>BJ196+AM196+AL196+'11-2025'!$N196+AN196+AO196</f>
        <v>2500</v>
      </c>
      <c r="BL196" s="71">
        <f>'11-2025'!$O196</f>
        <v>0</v>
      </c>
      <c r="BM196" s="71">
        <f t="shared" si="24"/>
        <v>0</v>
      </c>
      <c r="BN196" s="71">
        <f t="shared" si="25"/>
        <v>0</v>
      </c>
      <c r="BO196" s="71">
        <f t="shared" si="33"/>
        <v>1666.6666666666667</v>
      </c>
      <c r="BP196" s="72">
        <f t="shared" si="26"/>
        <v>833.33333333333326</v>
      </c>
      <c r="BQ196" s="71">
        <f>IFERROR(BP196/'11-2025'!$J196,0)*12</f>
        <v>10000</v>
      </c>
      <c r="BR196" s="71">
        <f>IF(BQ196&lt;=40000,0,
IF(BQ196&lt;=55000,(BQ196-40000)*10%,
IF(BQ196&lt;=70000,(BQ196-55000)*15%+1500,
IF(BQ196&lt;=200000,(BQ196-70000)*20%+1500+2250,
IF(BQ196&lt;=400000,(BQ196-200000)*22.5%+1500+2250+26000,
IF(BQ196&lt;=600000,(BQ196-400000)*25%+1500+2250+26000+45000,
IF(AND(BQ196&gt;600000,BQ196&lt;=1200000),(BQ196-400000)*25%+1500+2250+26000+45000
+IFERROR(LOOKUP(BQ196,{600001;700001;800001;900001},{4000;6750;10250;15250}),0),IF(BQ196&gt;1200000,((BQ196-1200000)*27.5%)+300000,0)
)))))))</f>
        <v>0</v>
      </c>
      <c r="BS196" s="39">
        <f>(BR196/12*'11-2025'!$J196)</f>
        <v>0</v>
      </c>
      <c r="BT196" s="70">
        <f>BS196-'11-2025'!$V196</f>
        <v>0</v>
      </c>
      <c r="BU196" s="39">
        <f>IFERROR(+'11-2025'!$W196+AL196+AM196+BJ196-'11-2025'!$AJ196-BT196+AN196+AO196,"")-AL196+AP196+AQ196</f>
        <v>0</v>
      </c>
      <c r="BV196" s="73"/>
      <c r="BW196" s="74"/>
      <c r="BX196" s="74">
        <f t="shared" si="34"/>
        <v>0</v>
      </c>
      <c r="BY196" s="74"/>
    </row>
    <row r="197" spans="1:77" s="75" customFormat="1" x14ac:dyDescent="0.25">
      <c r="A197" s="44">
        <v>779</v>
      </c>
      <c r="B197" s="40" t="s">
        <v>307</v>
      </c>
      <c r="C197" s="40" t="s">
        <v>71</v>
      </c>
      <c r="D197" s="40" t="s">
        <v>72</v>
      </c>
      <c r="E197" s="40">
        <v>0</v>
      </c>
      <c r="F197" s="40" t="s">
        <v>102</v>
      </c>
      <c r="G197" s="61">
        <v>45936</v>
      </c>
      <c r="H197" s="61">
        <v>45937</v>
      </c>
      <c r="I197" s="62" t="s">
        <v>269</v>
      </c>
      <c r="J197" s="63">
        <v>1</v>
      </c>
      <c r="K197" s="63">
        <v>2500</v>
      </c>
      <c r="L197" s="63"/>
      <c r="M197" s="64"/>
      <c r="N197" s="63">
        <f>SUM('11-2025'!$K197:$M197)</f>
        <v>2500</v>
      </c>
      <c r="O197" s="63"/>
      <c r="P197" s="63">
        <f t="shared" si="27"/>
        <v>0</v>
      </c>
      <c r="Q197" s="63">
        <f t="shared" si="28"/>
        <v>0</v>
      </c>
      <c r="R197" s="63">
        <v>1666.6666666666667</v>
      </c>
      <c r="S197" s="65">
        <f t="shared" si="29"/>
        <v>833.33333333333326</v>
      </c>
      <c r="T197" s="63">
        <f t="shared" si="30"/>
        <v>10000</v>
      </c>
      <c r="U197" s="63">
        <f>IF(T197&lt;=40000,0,
IF(T197&lt;=55000,(T197-40000)*10%,
IF(T197&lt;=70000,(T197-55000)*15%+1500,
IF(T197&lt;=200000,(T197-70000)*20%+1500+2250,
IF(T197&lt;=400000,(T197-200000)*22.5%+1500+2250+26000,
IF(T197&lt;=600000,(T197-400000)*25%+1500+2250+26000+45000,
IF(AND(T197&gt;600000,T197&lt;=1200000),(T197-400000)*25%+1500+2250+26000+45000
+IFERROR(LOOKUP(T197,{600001;700001;800001;900001},{4000;6750;10250;15250}),0),IF(T197&gt;1200000,((T197-1200000)*27.5%)+300000,0)
)))))))</f>
        <v>0</v>
      </c>
      <c r="V197" s="63">
        <f t="shared" si="31"/>
        <v>0</v>
      </c>
      <c r="W197" s="66">
        <f>+'11-2025'!$S197-'11-2025'!$V197+'11-2025'!$R197</f>
        <v>2500</v>
      </c>
      <c r="X197" s="66">
        <f t="shared" si="32"/>
        <v>83.333333333333329</v>
      </c>
      <c r="Y197" s="67"/>
      <c r="Z197" s="67">
        <f>IFERROR(+'11-2025'!$X197*'11-2025'!$Y197,"")</f>
        <v>0</v>
      </c>
      <c r="AA197" s="67"/>
      <c r="AB197" s="67">
        <f>IFERROR(+'11-2025'!$X197*'11-2025'!$AA197,"")</f>
        <v>0</v>
      </c>
      <c r="AC197" s="67">
        <v>30</v>
      </c>
      <c r="AD197" s="67">
        <f>IFERROR(+'11-2025'!$X197*'11-2025'!$AC197,"")</f>
        <v>2500</v>
      </c>
      <c r="AE197" s="67"/>
      <c r="AF197" s="67">
        <f>IFERROR(+'11-2025'!$X197*'11-2025'!$AE197,"")</f>
        <v>0</v>
      </c>
      <c r="AG197" s="67"/>
      <c r="AH197" s="67">
        <f>IFERROR(+'11-2025'!$X197*'11-2025'!$AG197,"")</f>
        <v>0</v>
      </c>
      <c r="AI197" s="29">
        <v>0</v>
      </c>
      <c r="AJ197" s="67">
        <f>IFERROR('11-2025'!$Z197+'11-2025'!$AB197+'11-2025'!$AD197+'11-2025'!$AF197+'11-2025'!$AH197+'11-2025'!$AI197,"")</f>
        <v>2500</v>
      </c>
      <c r="AK197" s="68">
        <f>IFERROR('11-2025'!$W197-'11-2025'!$AJ197,"")</f>
        <v>0</v>
      </c>
      <c r="AL197" s="69"/>
      <c r="AM197" s="69"/>
      <c r="AN197" s="69"/>
      <c r="AO197" s="69"/>
      <c r="AP197" s="69"/>
      <c r="AQ197" s="69"/>
      <c r="AR197" s="31">
        <v>0</v>
      </c>
      <c r="AS197" s="31">
        <v>0</v>
      </c>
      <c r="AT197" s="31">
        <v>0</v>
      </c>
      <c r="AU197" s="31">
        <v>0</v>
      </c>
      <c r="AV197" s="31">
        <v>0</v>
      </c>
      <c r="AW197" s="31">
        <v>0</v>
      </c>
      <c r="AX197" s="31">
        <v>0</v>
      </c>
      <c r="AY197" s="31">
        <v>0</v>
      </c>
      <c r="AZ197" s="31">
        <v>0</v>
      </c>
      <c r="BA197" s="31">
        <v>0</v>
      </c>
      <c r="BB197" s="31">
        <v>0</v>
      </c>
      <c r="BC197" s="31">
        <v>0</v>
      </c>
      <c r="BD197" s="31">
        <v>0</v>
      </c>
      <c r="BE197" s="31">
        <v>0</v>
      </c>
      <c r="BF197" s="31">
        <v>0</v>
      </c>
      <c r="BG197" s="31">
        <v>0</v>
      </c>
      <c r="BH197" s="31">
        <v>0</v>
      </c>
      <c r="BI197" s="31">
        <v>0</v>
      </c>
      <c r="BJ197" s="39">
        <f t="shared" si="36"/>
        <v>0</v>
      </c>
      <c r="BK197" s="77">
        <f>BJ197+AM197+AL197+'11-2025'!$N197+AN197+AO197</f>
        <v>2500</v>
      </c>
      <c r="BL197" s="71">
        <f>'11-2025'!$O197</f>
        <v>0</v>
      </c>
      <c r="BM197" s="71">
        <f t="shared" si="24"/>
        <v>0</v>
      </c>
      <c r="BN197" s="71">
        <f t="shared" si="25"/>
        <v>0</v>
      </c>
      <c r="BO197" s="71">
        <f t="shared" si="33"/>
        <v>1666.6666666666667</v>
      </c>
      <c r="BP197" s="72">
        <f t="shared" si="26"/>
        <v>833.33333333333326</v>
      </c>
      <c r="BQ197" s="71">
        <f>IFERROR(BP197/'11-2025'!$J197,0)*12</f>
        <v>10000</v>
      </c>
      <c r="BR197" s="71">
        <f>IF(BQ197&lt;=40000,0,
IF(BQ197&lt;=55000,(BQ197-40000)*10%,
IF(BQ197&lt;=70000,(BQ197-55000)*15%+1500,
IF(BQ197&lt;=200000,(BQ197-70000)*20%+1500+2250,
IF(BQ197&lt;=400000,(BQ197-200000)*22.5%+1500+2250+26000,
IF(BQ197&lt;=600000,(BQ197-400000)*25%+1500+2250+26000+45000,
IF(AND(BQ197&gt;600000,BQ197&lt;=1200000),(BQ197-400000)*25%+1500+2250+26000+45000
+IFERROR(LOOKUP(BQ197,{600001;700001;800001;900001},{4000;6750;10250;15250}),0),IF(BQ197&gt;1200000,((BQ197-1200000)*27.5%)+300000,0)
)))))))</f>
        <v>0</v>
      </c>
      <c r="BS197" s="39">
        <f>(BR197/12*'11-2025'!$J197)</f>
        <v>0</v>
      </c>
      <c r="BT197" s="70">
        <f>BS197-'11-2025'!$V197</f>
        <v>0</v>
      </c>
      <c r="BU197" s="39">
        <f>IFERROR(+'11-2025'!$W197+AL197+AM197+BJ197-'11-2025'!$AJ197-BT197+AN197+AO197,"")-AL197+AP197+AQ197</f>
        <v>0</v>
      </c>
      <c r="BV197" s="73"/>
      <c r="BW197" s="74"/>
      <c r="BX197" s="74">
        <f t="shared" si="34"/>
        <v>0</v>
      </c>
      <c r="BY197" s="74"/>
    </row>
    <row r="198" spans="1:77" s="75" customFormat="1" x14ac:dyDescent="0.25">
      <c r="A198" s="44">
        <v>773</v>
      </c>
      <c r="B198" s="40" t="s">
        <v>308</v>
      </c>
      <c r="C198" s="40" t="s">
        <v>81</v>
      </c>
      <c r="D198" s="40" t="s">
        <v>72</v>
      </c>
      <c r="E198" s="40">
        <v>0</v>
      </c>
      <c r="F198" s="40" t="s">
        <v>139</v>
      </c>
      <c r="G198" s="61">
        <v>45935</v>
      </c>
      <c r="H198" s="61">
        <v>45938</v>
      </c>
      <c r="I198" s="62" t="s">
        <v>269</v>
      </c>
      <c r="J198" s="63">
        <v>1</v>
      </c>
      <c r="K198" s="63">
        <v>3000</v>
      </c>
      <c r="L198" s="63"/>
      <c r="M198" s="64"/>
      <c r="N198" s="63">
        <f>SUM('11-2025'!$K198:$M198)</f>
        <v>3000</v>
      </c>
      <c r="O198" s="63"/>
      <c r="P198" s="63">
        <f t="shared" si="27"/>
        <v>0</v>
      </c>
      <c r="Q198" s="63">
        <f t="shared" si="28"/>
        <v>0</v>
      </c>
      <c r="R198" s="63">
        <v>1666.6666666666667</v>
      </c>
      <c r="S198" s="65">
        <f t="shared" si="29"/>
        <v>1333.3333333333333</v>
      </c>
      <c r="T198" s="63">
        <f t="shared" si="30"/>
        <v>16000</v>
      </c>
      <c r="U198" s="63">
        <f>IF(T198&lt;=40000,0,
IF(T198&lt;=55000,(T198-40000)*10%,
IF(T198&lt;=70000,(T198-55000)*15%+1500,
IF(T198&lt;=200000,(T198-70000)*20%+1500+2250,
IF(T198&lt;=400000,(T198-200000)*22.5%+1500+2250+26000,
IF(T198&lt;=600000,(T198-400000)*25%+1500+2250+26000+45000,
IF(AND(T198&gt;600000,T198&lt;=1200000),(T198-400000)*25%+1500+2250+26000+45000
+IFERROR(LOOKUP(T198,{600001;700001;800001;900001},{4000;6750;10250;15250}),0),IF(T198&gt;1200000,((T198-1200000)*27.5%)+300000,0)
)))))))</f>
        <v>0</v>
      </c>
      <c r="V198" s="63">
        <f t="shared" si="31"/>
        <v>0</v>
      </c>
      <c r="W198" s="66">
        <f>+'11-2025'!$S198-'11-2025'!$V198+'11-2025'!$R198</f>
        <v>3000</v>
      </c>
      <c r="X198" s="66">
        <f t="shared" si="32"/>
        <v>100</v>
      </c>
      <c r="Y198" s="67"/>
      <c r="Z198" s="67">
        <f>IFERROR(+'11-2025'!$X198*'11-2025'!$Y198,"")</f>
        <v>0</v>
      </c>
      <c r="AA198" s="67"/>
      <c r="AB198" s="67">
        <f>IFERROR(+'11-2025'!$X198*'11-2025'!$AA198,"")</f>
        <v>0</v>
      </c>
      <c r="AC198" s="67">
        <v>30</v>
      </c>
      <c r="AD198" s="67">
        <f>IFERROR(+'11-2025'!$X198*'11-2025'!$AC198,"")</f>
        <v>3000</v>
      </c>
      <c r="AE198" s="67"/>
      <c r="AF198" s="67">
        <f>IFERROR(+'11-2025'!$X198*'11-2025'!$AE198,"")</f>
        <v>0</v>
      </c>
      <c r="AG198" s="67"/>
      <c r="AH198" s="67">
        <f>IFERROR(+'11-2025'!$X198*'11-2025'!$AG198,"")</f>
        <v>0</v>
      </c>
      <c r="AI198" s="29">
        <v>0</v>
      </c>
      <c r="AJ198" s="67">
        <f>IFERROR('11-2025'!$Z198+'11-2025'!$AB198+'11-2025'!$AD198+'11-2025'!$AF198+'11-2025'!$AH198+'11-2025'!$AI198,"")</f>
        <v>3000</v>
      </c>
      <c r="AK198" s="68">
        <f>IFERROR('11-2025'!$W198-'11-2025'!$AJ198,"")</f>
        <v>0</v>
      </c>
      <c r="AL198" s="69"/>
      <c r="AM198" s="69"/>
      <c r="AN198" s="69"/>
      <c r="AO198" s="69"/>
      <c r="AP198" s="69"/>
      <c r="AQ198" s="69"/>
      <c r="AR198" s="31">
        <v>0</v>
      </c>
      <c r="AS198" s="31">
        <v>0</v>
      </c>
      <c r="AT198" s="31">
        <v>0</v>
      </c>
      <c r="AU198" s="31">
        <v>0</v>
      </c>
      <c r="AV198" s="31">
        <v>0</v>
      </c>
      <c r="AW198" s="31">
        <v>0</v>
      </c>
      <c r="AX198" s="31">
        <v>0</v>
      </c>
      <c r="AY198" s="31">
        <v>0</v>
      </c>
      <c r="AZ198" s="31">
        <v>0</v>
      </c>
      <c r="BA198" s="31">
        <v>0</v>
      </c>
      <c r="BB198" s="31">
        <v>0</v>
      </c>
      <c r="BC198" s="31">
        <v>0</v>
      </c>
      <c r="BD198" s="31">
        <v>0</v>
      </c>
      <c r="BE198" s="31">
        <v>0</v>
      </c>
      <c r="BF198" s="31">
        <v>0</v>
      </c>
      <c r="BG198" s="31">
        <v>0</v>
      </c>
      <c r="BH198" s="31">
        <v>0</v>
      </c>
      <c r="BI198" s="31">
        <v>0</v>
      </c>
      <c r="BJ198" s="39">
        <f t="shared" si="36"/>
        <v>0</v>
      </c>
      <c r="BK198" s="77">
        <f>BJ198+AM198+AL198+'11-2025'!$N198+AN198+AO198</f>
        <v>3000</v>
      </c>
      <c r="BL198" s="71">
        <f>'11-2025'!$O198</f>
        <v>0</v>
      </c>
      <c r="BM198" s="71">
        <f t="shared" si="24"/>
        <v>0</v>
      </c>
      <c r="BN198" s="71">
        <f t="shared" si="25"/>
        <v>0</v>
      </c>
      <c r="BO198" s="71">
        <f t="shared" si="33"/>
        <v>1666.6666666666667</v>
      </c>
      <c r="BP198" s="72">
        <f t="shared" si="26"/>
        <v>1333.3333333333333</v>
      </c>
      <c r="BQ198" s="71">
        <f>IFERROR(BP198/'11-2025'!$J198,0)*12</f>
        <v>16000</v>
      </c>
      <c r="BR198" s="71">
        <f>IF(BQ198&lt;=40000,0,
IF(BQ198&lt;=55000,(BQ198-40000)*10%,
IF(BQ198&lt;=70000,(BQ198-55000)*15%+1500,
IF(BQ198&lt;=200000,(BQ198-70000)*20%+1500+2250,
IF(BQ198&lt;=400000,(BQ198-200000)*22.5%+1500+2250+26000,
IF(BQ198&lt;=600000,(BQ198-400000)*25%+1500+2250+26000+45000,
IF(AND(BQ198&gt;600000,BQ198&lt;=1200000),(BQ198-400000)*25%+1500+2250+26000+45000
+IFERROR(LOOKUP(BQ198,{600001;700001;800001;900001},{4000;6750;10250;15250}),0),IF(BQ198&gt;1200000,((BQ198-1200000)*27.5%)+300000,0)
)))))))</f>
        <v>0</v>
      </c>
      <c r="BS198" s="39">
        <f>(BR198/12*'11-2025'!$J198)</f>
        <v>0</v>
      </c>
      <c r="BT198" s="70">
        <f>BS198-'11-2025'!$V198</f>
        <v>0</v>
      </c>
      <c r="BU198" s="39">
        <f>IFERROR(+'11-2025'!$W198+AL198+AM198+BJ198-'11-2025'!$AJ198-BT198+AN198+AO198,"")-AL198+AP198+AQ198</f>
        <v>0</v>
      </c>
      <c r="BV198" s="73"/>
      <c r="BW198" s="74"/>
      <c r="BX198" s="74">
        <f t="shared" si="34"/>
        <v>0</v>
      </c>
      <c r="BY198" s="74"/>
    </row>
    <row r="199" spans="1:77" s="75" customFormat="1" x14ac:dyDescent="0.25">
      <c r="A199" s="44">
        <v>775</v>
      </c>
      <c r="B199" s="40" t="s">
        <v>309</v>
      </c>
      <c r="C199" s="40" t="s">
        <v>106</v>
      </c>
      <c r="D199" s="40" t="s">
        <v>77</v>
      </c>
      <c r="E199" s="40" t="s">
        <v>85</v>
      </c>
      <c r="F199" s="40" t="s">
        <v>180</v>
      </c>
      <c r="G199" s="61">
        <v>45935</v>
      </c>
      <c r="H199" s="61">
        <v>45946</v>
      </c>
      <c r="I199" s="62" t="s">
        <v>269</v>
      </c>
      <c r="J199" s="63">
        <v>1</v>
      </c>
      <c r="K199" s="63">
        <v>3500</v>
      </c>
      <c r="L199" s="63"/>
      <c r="M199" s="64"/>
      <c r="N199" s="63">
        <f>SUM('11-2025'!$K199:$M199)</f>
        <v>3500</v>
      </c>
      <c r="O199" s="63"/>
      <c r="P199" s="63">
        <f t="shared" si="27"/>
        <v>0</v>
      </c>
      <c r="Q199" s="63">
        <f t="shared" si="28"/>
        <v>0</v>
      </c>
      <c r="R199" s="63">
        <v>1666.6666666666667</v>
      </c>
      <c r="S199" s="65">
        <f t="shared" si="29"/>
        <v>1833.3333333333333</v>
      </c>
      <c r="T199" s="63">
        <f t="shared" si="30"/>
        <v>22000</v>
      </c>
      <c r="U199" s="63">
        <f>IF(T199&lt;=40000,0,
IF(T199&lt;=55000,(T199-40000)*10%,
IF(T199&lt;=70000,(T199-55000)*15%+1500,
IF(T199&lt;=200000,(T199-70000)*20%+1500+2250,
IF(T199&lt;=400000,(T199-200000)*22.5%+1500+2250+26000,
IF(T199&lt;=600000,(T199-400000)*25%+1500+2250+26000+45000,
IF(AND(T199&gt;600000,T199&lt;=1200000),(T199-400000)*25%+1500+2250+26000+45000
+IFERROR(LOOKUP(T199,{600001;700001;800001;900001},{4000;6750;10250;15250}),0),IF(T199&gt;1200000,((T199-1200000)*27.5%)+300000,0)
)))))))</f>
        <v>0</v>
      </c>
      <c r="V199" s="63">
        <f t="shared" si="31"/>
        <v>0</v>
      </c>
      <c r="W199" s="66">
        <f>+'11-2025'!$S199-'11-2025'!$V199+'11-2025'!$R199</f>
        <v>3500</v>
      </c>
      <c r="X199" s="66">
        <f t="shared" si="32"/>
        <v>116.66666666666667</v>
      </c>
      <c r="Y199" s="67"/>
      <c r="Z199" s="67">
        <f>IFERROR(+'11-2025'!$X199*'11-2025'!$Y199,"")</f>
        <v>0</v>
      </c>
      <c r="AA199" s="67"/>
      <c r="AB199" s="67">
        <f>IFERROR(+'11-2025'!$X199*'11-2025'!$AA199,"")</f>
        <v>0</v>
      </c>
      <c r="AC199" s="67">
        <v>30</v>
      </c>
      <c r="AD199" s="67">
        <f>IFERROR(+'11-2025'!$X199*'11-2025'!$AC199,"")</f>
        <v>3500</v>
      </c>
      <c r="AE199" s="67"/>
      <c r="AF199" s="67">
        <f>IFERROR(+'11-2025'!$X199*'11-2025'!$AE199,"")</f>
        <v>0</v>
      </c>
      <c r="AG199" s="67"/>
      <c r="AH199" s="67">
        <f>IFERROR(+'11-2025'!$X199*'11-2025'!$AG199,"")</f>
        <v>0</v>
      </c>
      <c r="AI199" s="29">
        <v>0</v>
      </c>
      <c r="AJ199" s="67">
        <f>IFERROR('11-2025'!$Z199+'11-2025'!$AB199+'11-2025'!$AD199+'11-2025'!$AF199+'11-2025'!$AH199+'11-2025'!$AI199,"")</f>
        <v>3500</v>
      </c>
      <c r="AK199" s="68">
        <f>IFERROR('11-2025'!$W199-'11-2025'!$AJ199,"")</f>
        <v>0</v>
      </c>
      <c r="AL199" s="69"/>
      <c r="AM199" s="69"/>
      <c r="AN199" s="69"/>
      <c r="AO199" s="69"/>
      <c r="AP199" s="69"/>
      <c r="AQ199" s="69"/>
      <c r="AR199" s="31">
        <v>0</v>
      </c>
      <c r="AS199" s="31">
        <v>0</v>
      </c>
      <c r="AT199" s="31">
        <v>0</v>
      </c>
      <c r="AU199" s="31">
        <v>0</v>
      </c>
      <c r="AV199" s="31">
        <v>0</v>
      </c>
      <c r="AW199" s="31">
        <v>0</v>
      </c>
      <c r="AX199" s="31">
        <v>0</v>
      </c>
      <c r="AY199" s="31">
        <v>0</v>
      </c>
      <c r="AZ199" s="31">
        <v>0</v>
      </c>
      <c r="BA199" s="31">
        <v>0</v>
      </c>
      <c r="BB199" s="31">
        <v>0</v>
      </c>
      <c r="BC199" s="31">
        <v>0</v>
      </c>
      <c r="BD199" s="31">
        <v>0</v>
      </c>
      <c r="BE199" s="31">
        <v>0</v>
      </c>
      <c r="BF199" s="31">
        <v>0</v>
      </c>
      <c r="BG199" s="31">
        <v>0</v>
      </c>
      <c r="BH199" s="31">
        <v>0</v>
      </c>
      <c r="BI199" s="31">
        <v>0</v>
      </c>
      <c r="BJ199" s="39">
        <f t="shared" si="36"/>
        <v>0</v>
      </c>
      <c r="BK199" s="77">
        <f>BJ199+AM199+AL199+'11-2025'!$N199+AN199+AO199</f>
        <v>3500</v>
      </c>
      <c r="BL199" s="71">
        <f>'11-2025'!$O199</f>
        <v>0</v>
      </c>
      <c r="BM199" s="71">
        <f t="shared" si="24"/>
        <v>0</v>
      </c>
      <c r="BN199" s="71">
        <f t="shared" si="25"/>
        <v>0</v>
      </c>
      <c r="BO199" s="71">
        <f t="shared" si="33"/>
        <v>1666.6666666666667</v>
      </c>
      <c r="BP199" s="72">
        <f t="shared" si="26"/>
        <v>1833.3333333333333</v>
      </c>
      <c r="BQ199" s="71">
        <f>IFERROR(BP199/'11-2025'!$J199,0)*12</f>
        <v>22000</v>
      </c>
      <c r="BR199" s="71">
        <f>IF(BQ199&lt;=40000,0,
IF(BQ199&lt;=55000,(BQ199-40000)*10%,
IF(BQ199&lt;=70000,(BQ199-55000)*15%+1500,
IF(BQ199&lt;=200000,(BQ199-70000)*20%+1500+2250,
IF(BQ199&lt;=400000,(BQ199-200000)*22.5%+1500+2250+26000,
IF(BQ199&lt;=600000,(BQ199-400000)*25%+1500+2250+26000+45000,
IF(AND(BQ199&gt;600000,BQ199&lt;=1200000),(BQ199-400000)*25%+1500+2250+26000+45000
+IFERROR(LOOKUP(BQ199,{600001;700001;800001;900001},{4000;6750;10250;15250}),0),IF(BQ199&gt;1200000,((BQ199-1200000)*27.5%)+300000,0)
)))))))</f>
        <v>0</v>
      </c>
      <c r="BS199" s="39">
        <f>(BR199/12*'11-2025'!$J199)</f>
        <v>0</v>
      </c>
      <c r="BT199" s="70">
        <f>BS199-'11-2025'!$V199</f>
        <v>0</v>
      </c>
      <c r="BU199" s="39">
        <f>IFERROR(+'11-2025'!$W199+AL199+AM199+BJ199-'11-2025'!$AJ199-BT199+AN199+AO199,"")-AL199+AP199+AQ199</f>
        <v>0</v>
      </c>
      <c r="BV199" s="73"/>
      <c r="BW199" s="74"/>
      <c r="BX199" s="74">
        <f t="shared" si="34"/>
        <v>0</v>
      </c>
      <c r="BY199" s="74"/>
    </row>
    <row r="200" spans="1:77" x14ac:dyDescent="0.25">
      <c r="A200" s="43">
        <v>762</v>
      </c>
      <c r="B200" s="22" t="s">
        <v>310</v>
      </c>
      <c r="C200" s="22" t="s">
        <v>106</v>
      </c>
      <c r="D200" s="22" t="s">
        <v>72</v>
      </c>
      <c r="E200" s="22" t="s">
        <v>110</v>
      </c>
      <c r="F200" s="22" t="s">
        <v>86</v>
      </c>
      <c r="G200" s="23">
        <v>45967</v>
      </c>
      <c r="H200" s="23">
        <v>45931</v>
      </c>
      <c r="I200" s="24" t="s">
        <v>269</v>
      </c>
      <c r="J200" s="25">
        <v>1</v>
      </c>
      <c r="K200" s="25">
        <v>4200</v>
      </c>
      <c r="L200" s="25"/>
      <c r="M200" s="26"/>
      <c r="N200" s="25">
        <f>SUM('11-2025'!$K200:$M200)</f>
        <v>4200</v>
      </c>
      <c r="O200" s="25"/>
      <c r="P200" s="25">
        <f t="shared" si="27"/>
        <v>0</v>
      </c>
      <c r="Q200" s="25">
        <f t="shared" si="28"/>
        <v>0</v>
      </c>
      <c r="R200" s="25">
        <v>1666.6666666666667</v>
      </c>
      <c r="S200" s="27">
        <f t="shared" si="29"/>
        <v>2533.333333333333</v>
      </c>
      <c r="T200" s="25">
        <f t="shared" si="30"/>
        <v>30399.999999999996</v>
      </c>
      <c r="U200" s="25">
        <f>IF(T200&lt;=40000,0,
IF(T200&lt;=55000,(T200-40000)*10%,
IF(T200&lt;=70000,(T200-55000)*15%+1500,
IF(T200&lt;=200000,(T200-70000)*20%+1500+2250,
IF(T200&lt;=400000,(T200-200000)*22.5%+1500+2250+26000,
IF(T200&lt;=600000,(T200-400000)*25%+1500+2250+26000+45000,
IF(AND(T200&gt;600000,T200&lt;=1200000),(T200-400000)*25%+1500+2250+26000+45000
+IFERROR(LOOKUP(T200,{600001;700001;800001;900001},{4000;6750;10250;15250}),0),IF(T200&gt;1200000,((T200-1200000)*27.5%)+300000,0)
)))))))</f>
        <v>0</v>
      </c>
      <c r="V200" s="25">
        <f t="shared" si="31"/>
        <v>0</v>
      </c>
      <c r="W200" s="28">
        <f>+'11-2025'!$S200-'11-2025'!$V200+'11-2025'!$R200</f>
        <v>4200</v>
      </c>
      <c r="X200" s="28">
        <f t="shared" si="32"/>
        <v>140</v>
      </c>
      <c r="Y200" s="29">
        <v>0</v>
      </c>
      <c r="Z200" s="29">
        <f>IFERROR(+'11-2025'!$X200*'11-2025'!$Y200,"")</f>
        <v>0</v>
      </c>
      <c r="AA200" s="29">
        <v>0</v>
      </c>
      <c r="AB200" s="29">
        <f>IFERROR(+'11-2025'!$X200*'11-2025'!$AA200,"")</f>
        <v>0</v>
      </c>
      <c r="AC200" s="29">
        <v>0</v>
      </c>
      <c r="AD200" s="29">
        <f>IFERROR(+'11-2025'!$X200*'11-2025'!$AC200,"")</f>
        <v>0</v>
      </c>
      <c r="AE200" s="29">
        <v>0</v>
      </c>
      <c r="AF200" s="29">
        <f>IFERROR(+'11-2025'!$X200*'11-2025'!$AE200,"")</f>
        <v>0</v>
      </c>
      <c r="AG200" s="29">
        <v>0</v>
      </c>
      <c r="AH200" s="29">
        <f>IFERROR(+'11-2025'!$X200*'11-2025'!$AG200,"")</f>
        <v>0</v>
      </c>
      <c r="AI200" s="29">
        <v>0</v>
      </c>
      <c r="AJ200" s="29">
        <f>IFERROR('11-2025'!$Z200+'11-2025'!$AB200+'11-2025'!$AD200+'11-2025'!$AF200+'11-2025'!$AH200+'11-2025'!$AI200,"")</f>
        <v>0</v>
      </c>
      <c r="AK200" s="30">
        <f>IFERROR('11-2025'!$W200-'11-2025'!$AJ200,"")</f>
        <v>4200</v>
      </c>
      <c r="AL200" s="31"/>
      <c r="AM200" s="31"/>
      <c r="AN200" s="31"/>
      <c r="AO200" s="31">
        <v>0</v>
      </c>
      <c r="AP200" s="31"/>
      <c r="AQ200" s="31"/>
      <c r="AR200" s="31">
        <v>0</v>
      </c>
      <c r="AS200" s="31">
        <v>0</v>
      </c>
      <c r="AT200" s="31">
        <v>0</v>
      </c>
      <c r="AU200" s="31">
        <v>0</v>
      </c>
      <c r="AV200" s="31">
        <v>0</v>
      </c>
      <c r="AW200" s="31">
        <v>0</v>
      </c>
      <c r="AX200" s="31">
        <v>0</v>
      </c>
      <c r="AY200" s="31">
        <v>0</v>
      </c>
      <c r="AZ200" s="31">
        <v>0</v>
      </c>
      <c r="BA200" s="31">
        <v>0</v>
      </c>
      <c r="BB200" s="31">
        <v>0</v>
      </c>
      <c r="BC200" s="31">
        <v>0</v>
      </c>
      <c r="BD200" s="31">
        <v>0</v>
      </c>
      <c r="BE200" s="31">
        <v>0</v>
      </c>
      <c r="BF200" s="31">
        <v>0</v>
      </c>
      <c r="BG200" s="31">
        <v>0</v>
      </c>
      <c r="BH200" s="31">
        <v>0</v>
      </c>
      <c r="BI200" s="31">
        <v>0</v>
      </c>
      <c r="BJ200" s="32">
        <f t="shared" si="36"/>
        <v>0</v>
      </c>
      <c r="BK200" s="41">
        <f>BJ200+AM200+AL200+'11-2025'!$N200+AN200+AO200</f>
        <v>4200</v>
      </c>
      <c r="BL200" s="34">
        <f>'11-2025'!$O200</f>
        <v>0</v>
      </c>
      <c r="BM200" s="34">
        <f t="shared" si="24"/>
        <v>0</v>
      </c>
      <c r="BN200" s="34">
        <f t="shared" si="25"/>
        <v>0</v>
      </c>
      <c r="BO200" s="34">
        <f t="shared" si="33"/>
        <v>1666.6666666666667</v>
      </c>
      <c r="BP200" s="35">
        <f t="shared" si="26"/>
        <v>2533.333333333333</v>
      </c>
      <c r="BQ200" s="34">
        <f>IFERROR(BP200/'11-2025'!$J200,0)*12</f>
        <v>30399.999999999996</v>
      </c>
      <c r="BR200" s="34">
        <f>IF(BQ200&lt;=40000,0,
IF(BQ200&lt;=55000,(BQ200-40000)*10%,
IF(BQ200&lt;=70000,(BQ200-55000)*15%+1500,
IF(BQ200&lt;=200000,(BQ200-70000)*20%+1500+2250,
IF(BQ200&lt;=400000,(BQ200-200000)*22.5%+1500+2250+26000,
IF(BQ200&lt;=600000,(BQ200-400000)*25%+1500+2250+26000+45000,
IF(AND(BQ200&gt;600000,BQ200&lt;=1200000),(BQ200-400000)*25%+1500+2250+26000+45000
+IFERROR(LOOKUP(BQ200,{600001;700001;800001;900001},{4000;6750;10250;15250}),0),IF(BQ200&gt;1200000,((BQ200-1200000)*27.5%)+300000,0)
)))))))</f>
        <v>0</v>
      </c>
      <c r="BS200" s="32">
        <f>(BR200/12*'11-2025'!$J200)</f>
        <v>0</v>
      </c>
      <c r="BT200" s="33">
        <f>BS200-'11-2025'!$V200</f>
        <v>0</v>
      </c>
      <c r="BU200" s="32">
        <f>IFERROR(+'11-2025'!$W200+AL200+AM200+BJ200-'11-2025'!$AJ200-BT200+AN200+AO200,"")-AL200+AP200+AQ200</f>
        <v>4200</v>
      </c>
      <c r="BV200" s="36"/>
      <c r="BW200" s="37"/>
      <c r="BX200" s="37">
        <f t="shared" si="34"/>
        <v>4200</v>
      </c>
      <c r="BY200" s="37"/>
    </row>
    <row r="201" spans="1:77" x14ac:dyDescent="0.25">
      <c r="A201" s="43">
        <v>793</v>
      </c>
      <c r="B201" s="22" t="s">
        <v>328</v>
      </c>
      <c r="C201" s="22" t="s">
        <v>106</v>
      </c>
      <c r="D201" s="22" t="s">
        <v>72</v>
      </c>
      <c r="E201" s="22">
        <v>0</v>
      </c>
      <c r="F201" s="22" t="s">
        <v>139</v>
      </c>
      <c r="G201" s="23">
        <v>45955</v>
      </c>
      <c r="H201" s="22"/>
      <c r="I201" s="24" t="s">
        <v>269</v>
      </c>
      <c r="J201" s="25">
        <v>1</v>
      </c>
      <c r="K201" s="25">
        <v>3000</v>
      </c>
      <c r="L201" s="25"/>
      <c r="M201" s="26"/>
      <c r="N201" s="25">
        <f>SUM('11-2025'!$K201:$M201)</f>
        <v>3000</v>
      </c>
      <c r="O201" s="25"/>
      <c r="P201" s="25">
        <f t="shared" si="27"/>
        <v>0</v>
      </c>
      <c r="Q201" s="25">
        <f t="shared" si="28"/>
        <v>0</v>
      </c>
      <c r="R201" s="25">
        <v>1666.6666666666667</v>
      </c>
      <c r="S201" s="27">
        <f t="shared" si="29"/>
        <v>1333.3333333333333</v>
      </c>
      <c r="T201" s="25">
        <f t="shared" si="30"/>
        <v>16000</v>
      </c>
      <c r="U201" s="25">
        <f>IF(T201&lt;=40000,0,
IF(T201&lt;=55000,(T201-40000)*10%,
IF(T201&lt;=70000,(T201-55000)*15%+1500,
IF(T201&lt;=200000,(T201-70000)*20%+1500+2250,
IF(T201&lt;=400000,(T201-200000)*22.5%+1500+2250+26000,
IF(T201&lt;=600000,(T201-400000)*25%+1500+2250+26000+45000,
IF(AND(T201&gt;600000,T201&lt;=1200000),(T201-400000)*25%+1500+2250+26000+45000
+IFERROR(LOOKUP(T201,{600001;700001;800001;900001},{4000;6750;10250;15250}),0),IF(T201&gt;1200000,((T201-1200000)*27.5%)+300000,0)
)))))))</f>
        <v>0</v>
      </c>
      <c r="V201" s="25">
        <f t="shared" si="31"/>
        <v>0</v>
      </c>
      <c r="W201" s="28">
        <f>+'11-2025'!$S201-'11-2025'!$V201+'11-2025'!$R201</f>
        <v>3000</v>
      </c>
      <c r="X201" s="28">
        <f t="shared" si="32"/>
        <v>100</v>
      </c>
      <c r="Y201" s="29">
        <v>0</v>
      </c>
      <c r="Z201" s="29">
        <f>IFERROR(+'11-2025'!$X201*'11-2025'!$Y201,"")</f>
        <v>0</v>
      </c>
      <c r="AA201" s="29">
        <v>2</v>
      </c>
      <c r="AB201" s="29">
        <f>IFERROR(+'11-2025'!$X201*'11-2025'!$AA201,"")</f>
        <v>200</v>
      </c>
      <c r="AC201" s="29">
        <v>4</v>
      </c>
      <c r="AD201" s="29">
        <f>IFERROR(+'11-2025'!$X201*'11-2025'!$AC201,"")</f>
        <v>400</v>
      </c>
      <c r="AE201" s="29">
        <v>0</v>
      </c>
      <c r="AF201" s="29">
        <f>IFERROR(+'11-2025'!$X201*'11-2025'!$AE201,"")</f>
        <v>0</v>
      </c>
      <c r="AG201" s="29">
        <v>0.25</v>
      </c>
      <c r="AH201" s="29">
        <f>IFERROR(+'11-2025'!$X201*'11-2025'!$AG201,"")</f>
        <v>25</v>
      </c>
      <c r="AI201" s="29">
        <v>0</v>
      </c>
      <c r="AJ201" s="29">
        <f>IFERROR('11-2025'!$Z201+'11-2025'!$AB201+'11-2025'!$AD201+'11-2025'!$AF201+'11-2025'!$AH201+'11-2025'!$AI201,"")</f>
        <v>625</v>
      </c>
      <c r="AK201" s="30">
        <f>IFERROR('11-2025'!$W201-'11-2025'!$AJ201,"")</f>
        <v>2375</v>
      </c>
      <c r="AL201" s="31"/>
      <c r="AM201" s="31"/>
      <c r="AN201" s="31"/>
      <c r="AO201" s="31">
        <v>0</v>
      </c>
      <c r="AP201" s="31"/>
      <c r="AQ201" s="31"/>
      <c r="AR201" s="31">
        <v>0</v>
      </c>
      <c r="AS201" s="31">
        <v>0</v>
      </c>
      <c r="AT201" s="31">
        <v>0</v>
      </c>
      <c r="AU201" s="31">
        <v>0</v>
      </c>
      <c r="AV201" s="31">
        <v>0</v>
      </c>
      <c r="AW201" s="31">
        <v>0</v>
      </c>
      <c r="AX201" s="31">
        <v>0</v>
      </c>
      <c r="AY201" s="31">
        <v>0</v>
      </c>
      <c r="AZ201" s="31">
        <v>0</v>
      </c>
      <c r="BA201" s="31">
        <v>0</v>
      </c>
      <c r="BB201" s="31">
        <v>0</v>
      </c>
      <c r="BC201" s="31">
        <v>0</v>
      </c>
      <c r="BD201" s="31">
        <v>0</v>
      </c>
      <c r="BE201" s="31">
        <v>0</v>
      </c>
      <c r="BF201" s="31">
        <v>0</v>
      </c>
      <c r="BG201" s="31">
        <v>0</v>
      </c>
      <c r="BH201" s="31">
        <v>0</v>
      </c>
      <c r="BI201" s="31">
        <v>0</v>
      </c>
      <c r="BJ201" s="32">
        <f t="shared" si="36"/>
        <v>0</v>
      </c>
      <c r="BK201" s="41">
        <f>BJ201+AM201+AL201+'11-2025'!$N201+AN201+AO201</f>
        <v>3000</v>
      </c>
      <c r="BL201" s="34">
        <f>'11-2025'!$O201</f>
        <v>0</v>
      </c>
      <c r="BM201" s="34">
        <f t="shared" si="24"/>
        <v>0</v>
      </c>
      <c r="BN201" s="34">
        <f t="shared" si="25"/>
        <v>0</v>
      </c>
      <c r="BO201" s="34">
        <f t="shared" si="33"/>
        <v>1666.6666666666667</v>
      </c>
      <c r="BP201" s="35">
        <f t="shared" si="26"/>
        <v>1333.3333333333333</v>
      </c>
      <c r="BQ201" s="34">
        <f>IFERROR(BP201/'11-2025'!$J201,0)*12</f>
        <v>16000</v>
      </c>
      <c r="BR201" s="34">
        <f>IF(BQ201&lt;=40000,0,
IF(BQ201&lt;=55000,(BQ201-40000)*10%,
IF(BQ201&lt;=70000,(BQ201-55000)*15%+1500,
IF(BQ201&lt;=200000,(BQ201-70000)*20%+1500+2250,
IF(BQ201&lt;=400000,(BQ201-200000)*22.5%+1500+2250+26000,
IF(BQ201&lt;=600000,(BQ201-400000)*25%+1500+2250+26000+45000,
IF(AND(BQ201&gt;600000,BQ201&lt;=1200000),(BQ201-400000)*25%+1500+2250+26000+45000
+IFERROR(LOOKUP(BQ201,{600001;700001;800001;900001},{4000;6750;10250;15250}),0),IF(BQ201&gt;1200000,((BQ201-1200000)*27.5%)+300000,0)
)))))))</f>
        <v>0</v>
      </c>
      <c r="BS201" s="32">
        <f>(BR201/12*'11-2025'!$J201)</f>
        <v>0</v>
      </c>
      <c r="BT201" s="33">
        <f>BS201-'11-2025'!$V201</f>
        <v>0</v>
      </c>
      <c r="BU201" s="32">
        <f>IFERROR(+'11-2025'!$W201+AL201+AM201+BJ201-'11-2025'!$AJ201-BT201+AN201+AO201,"")-AL201+AP201+AQ201</f>
        <v>2375</v>
      </c>
      <c r="BV201" s="36"/>
      <c r="BW201" s="37"/>
      <c r="BX201" s="37">
        <f t="shared" si="34"/>
        <v>2375</v>
      </c>
      <c r="BY201" s="37"/>
    </row>
    <row r="202" spans="1:77" x14ac:dyDescent="0.25">
      <c r="A202" s="43">
        <v>794</v>
      </c>
      <c r="B202" s="22" t="s">
        <v>329</v>
      </c>
      <c r="C202" s="22" t="s">
        <v>106</v>
      </c>
      <c r="D202" s="22" t="s">
        <v>72</v>
      </c>
      <c r="E202" s="22" t="s">
        <v>321</v>
      </c>
      <c r="F202" s="22" t="s">
        <v>139</v>
      </c>
      <c r="G202" s="23">
        <v>45955</v>
      </c>
      <c r="H202" s="22"/>
      <c r="I202" s="24" t="s">
        <v>269</v>
      </c>
      <c r="J202" s="25">
        <v>1</v>
      </c>
      <c r="K202" s="25">
        <v>3000</v>
      </c>
      <c r="L202" s="25"/>
      <c r="M202" s="26"/>
      <c r="N202" s="25">
        <f>SUM('11-2025'!$K202:$M202)</f>
        <v>3000</v>
      </c>
      <c r="O202" s="25"/>
      <c r="P202" s="25">
        <f t="shared" si="27"/>
        <v>0</v>
      </c>
      <c r="Q202" s="25">
        <f t="shared" si="28"/>
        <v>0</v>
      </c>
      <c r="R202" s="25">
        <v>1666.6666666666667</v>
      </c>
      <c r="S202" s="27">
        <f t="shared" si="29"/>
        <v>1333.3333333333333</v>
      </c>
      <c r="T202" s="25">
        <f t="shared" si="30"/>
        <v>16000</v>
      </c>
      <c r="U202" s="25">
        <f>IF(T202&lt;=40000,0,
IF(T202&lt;=55000,(T202-40000)*10%,
IF(T202&lt;=70000,(T202-55000)*15%+1500,
IF(T202&lt;=200000,(T202-70000)*20%+1500+2250,
IF(T202&lt;=400000,(T202-200000)*22.5%+1500+2250+26000,
IF(T202&lt;=600000,(T202-400000)*25%+1500+2250+26000+45000,
IF(AND(T202&gt;600000,T202&lt;=1200000),(T202-400000)*25%+1500+2250+26000+45000
+IFERROR(LOOKUP(T202,{600001;700001;800001;900001},{4000;6750;10250;15250}),0),IF(T202&gt;1200000,((T202-1200000)*27.5%)+300000,0)
)))))))</f>
        <v>0</v>
      </c>
      <c r="V202" s="25">
        <f t="shared" si="31"/>
        <v>0</v>
      </c>
      <c r="W202" s="28">
        <f>+'11-2025'!$S202-'11-2025'!$V202+'11-2025'!$R202</f>
        <v>3000</v>
      </c>
      <c r="X202" s="28">
        <f t="shared" si="32"/>
        <v>100</v>
      </c>
      <c r="Y202" s="29">
        <v>0</v>
      </c>
      <c r="Z202" s="29">
        <f>IFERROR(+'11-2025'!$X202*'11-2025'!$Y202,"")</f>
        <v>0</v>
      </c>
      <c r="AA202" s="29">
        <v>2</v>
      </c>
      <c r="AB202" s="29">
        <f>IFERROR(+'11-2025'!$X202*'11-2025'!$AA202,"")</f>
        <v>200</v>
      </c>
      <c r="AC202" s="29">
        <v>4</v>
      </c>
      <c r="AD202" s="29">
        <f>IFERROR(+'11-2025'!$X202*'11-2025'!$AC202,"")</f>
        <v>400</v>
      </c>
      <c r="AE202" s="29">
        <v>0</v>
      </c>
      <c r="AF202" s="29">
        <f>IFERROR(+'11-2025'!$X202*'11-2025'!$AE202,"")</f>
        <v>0</v>
      </c>
      <c r="AG202" s="29">
        <v>0.25</v>
      </c>
      <c r="AH202" s="29">
        <f>IFERROR(+'11-2025'!$X202*'11-2025'!$AG202,"")</f>
        <v>25</v>
      </c>
      <c r="AI202" s="29">
        <v>0</v>
      </c>
      <c r="AJ202" s="29">
        <f>IFERROR('11-2025'!$Z202+'11-2025'!$AB202+'11-2025'!$AD202+'11-2025'!$AF202+'11-2025'!$AH202+'11-2025'!$AI202,"")</f>
        <v>625</v>
      </c>
      <c r="AK202" s="30">
        <f>IFERROR('11-2025'!$W202-'11-2025'!$AJ202,"")</f>
        <v>2375</v>
      </c>
      <c r="AL202" s="31"/>
      <c r="AM202" s="31"/>
      <c r="AN202" s="31"/>
      <c r="AO202" s="31">
        <v>0</v>
      </c>
      <c r="AP202" s="31"/>
      <c r="AQ202" s="31"/>
      <c r="AR202" s="31">
        <v>0</v>
      </c>
      <c r="AS202" s="31">
        <v>0</v>
      </c>
      <c r="AT202" s="31">
        <v>0</v>
      </c>
      <c r="AU202" s="31">
        <v>0</v>
      </c>
      <c r="AV202" s="31">
        <v>0</v>
      </c>
      <c r="AW202" s="31">
        <v>0</v>
      </c>
      <c r="AX202" s="31">
        <v>0</v>
      </c>
      <c r="AY202" s="31">
        <v>0</v>
      </c>
      <c r="AZ202" s="31">
        <v>0</v>
      </c>
      <c r="BA202" s="31">
        <v>0</v>
      </c>
      <c r="BB202" s="31">
        <v>0</v>
      </c>
      <c r="BC202" s="31">
        <v>0</v>
      </c>
      <c r="BD202" s="31">
        <v>0</v>
      </c>
      <c r="BE202" s="31">
        <v>0</v>
      </c>
      <c r="BF202" s="31">
        <v>0</v>
      </c>
      <c r="BG202" s="31">
        <v>0</v>
      </c>
      <c r="BH202" s="31">
        <v>0</v>
      </c>
      <c r="BI202" s="31">
        <v>0</v>
      </c>
      <c r="BJ202" s="32">
        <f t="shared" si="36"/>
        <v>0</v>
      </c>
      <c r="BK202" s="41">
        <f>BJ202+AM202+AL202+'11-2025'!$N202+AN202+AO202</f>
        <v>3000</v>
      </c>
      <c r="BL202" s="34">
        <f>'11-2025'!$O202</f>
        <v>0</v>
      </c>
      <c r="BM202" s="34">
        <f t="shared" si="24"/>
        <v>0</v>
      </c>
      <c r="BN202" s="34">
        <f t="shared" si="25"/>
        <v>0</v>
      </c>
      <c r="BO202" s="34">
        <f t="shared" si="33"/>
        <v>1666.6666666666667</v>
      </c>
      <c r="BP202" s="35">
        <f t="shared" si="26"/>
        <v>1333.3333333333333</v>
      </c>
      <c r="BQ202" s="34">
        <f>IFERROR(BP202/'11-2025'!$J202,0)*12</f>
        <v>16000</v>
      </c>
      <c r="BR202" s="34">
        <f>IF(BQ202&lt;=40000,0,
IF(BQ202&lt;=55000,(BQ202-40000)*10%,
IF(BQ202&lt;=70000,(BQ202-55000)*15%+1500,
IF(BQ202&lt;=200000,(BQ202-70000)*20%+1500+2250,
IF(BQ202&lt;=400000,(BQ202-200000)*22.5%+1500+2250+26000,
IF(BQ202&lt;=600000,(BQ202-400000)*25%+1500+2250+26000+45000,
IF(AND(BQ202&gt;600000,BQ202&lt;=1200000),(BQ202-400000)*25%+1500+2250+26000+45000
+IFERROR(LOOKUP(BQ202,{600001;700001;800001;900001},{4000;6750;10250;15250}),0),IF(BQ202&gt;1200000,((BQ202-1200000)*27.5%)+300000,0)
)))))))</f>
        <v>0</v>
      </c>
      <c r="BS202" s="32">
        <f>(BR202/12*'11-2025'!$J202)</f>
        <v>0</v>
      </c>
      <c r="BT202" s="33">
        <f>BS202-'11-2025'!$V202</f>
        <v>0</v>
      </c>
      <c r="BU202" s="32">
        <f>IFERROR(+'11-2025'!$W202+AL202+AM202+BJ202-'11-2025'!$AJ202-BT202+AN202+AO202,"")-AL202+AP202+AQ202</f>
        <v>2375</v>
      </c>
      <c r="BV202" s="36"/>
      <c r="BW202" s="37"/>
      <c r="BX202" s="37">
        <f t="shared" si="34"/>
        <v>2375</v>
      </c>
      <c r="BY202" s="37"/>
    </row>
    <row r="203" spans="1:77" x14ac:dyDescent="0.25">
      <c r="A203" s="43">
        <v>796</v>
      </c>
      <c r="B203" s="22" t="s">
        <v>330</v>
      </c>
      <c r="C203" s="22" t="s">
        <v>106</v>
      </c>
      <c r="D203" s="22" t="s">
        <v>72</v>
      </c>
      <c r="E203" s="22" t="s">
        <v>85</v>
      </c>
      <c r="F203" s="22" t="s">
        <v>180</v>
      </c>
      <c r="G203" s="23">
        <v>45953</v>
      </c>
      <c r="H203" s="22"/>
      <c r="I203" s="24" t="s">
        <v>269</v>
      </c>
      <c r="J203" s="25">
        <v>1</v>
      </c>
      <c r="K203" s="25">
        <v>3500</v>
      </c>
      <c r="L203" s="25"/>
      <c r="M203" s="26"/>
      <c r="N203" s="25">
        <f>SUM('11-2025'!$K203:$M203)</f>
        <v>3500</v>
      </c>
      <c r="O203" s="25"/>
      <c r="P203" s="25">
        <f t="shared" si="27"/>
        <v>0</v>
      </c>
      <c r="Q203" s="25">
        <f t="shared" si="28"/>
        <v>0</v>
      </c>
      <c r="R203" s="25">
        <v>1666.6666666666667</v>
      </c>
      <c r="S203" s="27">
        <f t="shared" si="29"/>
        <v>1833.3333333333333</v>
      </c>
      <c r="T203" s="25">
        <f t="shared" si="30"/>
        <v>22000</v>
      </c>
      <c r="U203" s="25">
        <f>IF(T203&lt;=40000,0,
IF(T203&lt;=55000,(T203-40000)*10%,
IF(T203&lt;=70000,(T203-55000)*15%+1500,
IF(T203&lt;=200000,(T203-70000)*20%+1500+2250,
IF(T203&lt;=400000,(T203-200000)*22.5%+1500+2250+26000,
IF(T203&lt;=600000,(T203-400000)*25%+1500+2250+26000+45000,
IF(AND(T203&gt;600000,T203&lt;=1200000),(T203-400000)*25%+1500+2250+26000+45000
+IFERROR(LOOKUP(T203,{600001;700001;800001;900001},{4000;6750;10250;15250}),0),IF(T203&gt;1200000,((T203-1200000)*27.5%)+300000,0)
)))))))</f>
        <v>0</v>
      </c>
      <c r="V203" s="25">
        <f t="shared" si="31"/>
        <v>0</v>
      </c>
      <c r="W203" s="28">
        <f>+'11-2025'!$S203-'11-2025'!$V203+'11-2025'!$R203</f>
        <v>3500</v>
      </c>
      <c r="X203" s="28">
        <f t="shared" si="32"/>
        <v>116.66666666666667</v>
      </c>
      <c r="Y203" s="29">
        <v>0</v>
      </c>
      <c r="Z203" s="29">
        <f>IFERROR(+'11-2025'!$X203*'11-2025'!$Y203,"")</f>
        <v>0</v>
      </c>
      <c r="AA203" s="29">
        <v>0</v>
      </c>
      <c r="AB203" s="29">
        <f>IFERROR(+'11-2025'!$X203*'11-2025'!$AA203,"")</f>
        <v>0</v>
      </c>
      <c r="AC203" s="29">
        <v>0</v>
      </c>
      <c r="AD203" s="29">
        <f>IFERROR(+'11-2025'!$X203*'11-2025'!$AC203,"")</f>
        <v>0</v>
      </c>
      <c r="AE203" s="29">
        <v>0</v>
      </c>
      <c r="AF203" s="29">
        <f>IFERROR(+'11-2025'!$X203*'11-2025'!$AE203,"")</f>
        <v>0</v>
      </c>
      <c r="AG203" s="29">
        <v>0</v>
      </c>
      <c r="AH203" s="29">
        <f>IFERROR(+'11-2025'!$X203*'11-2025'!$AG203,"")</f>
        <v>0</v>
      </c>
      <c r="AI203" s="29">
        <v>0</v>
      </c>
      <c r="AJ203" s="29">
        <f>IFERROR('11-2025'!$Z203+'11-2025'!$AB203+'11-2025'!$AD203+'11-2025'!$AF203+'11-2025'!$AH203+'11-2025'!$AI203,"")</f>
        <v>0</v>
      </c>
      <c r="AK203" s="30">
        <f>IFERROR('11-2025'!$W203-'11-2025'!$AJ203,"")</f>
        <v>3500</v>
      </c>
      <c r="AL203" s="31"/>
      <c r="AM203" s="31"/>
      <c r="AN203" s="31"/>
      <c r="AO203" s="31">
        <v>0</v>
      </c>
      <c r="AP203" s="31"/>
      <c r="AQ203" s="31"/>
      <c r="AR203" s="31">
        <v>0</v>
      </c>
      <c r="AS203" s="31">
        <v>0</v>
      </c>
      <c r="AT203" s="31">
        <v>0</v>
      </c>
      <c r="AU203" s="31">
        <v>0</v>
      </c>
      <c r="AV203" s="31">
        <v>0</v>
      </c>
      <c r="AW203" s="31">
        <v>0</v>
      </c>
      <c r="AX203" s="31">
        <v>0</v>
      </c>
      <c r="AY203" s="31">
        <v>0</v>
      </c>
      <c r="AZ203" s="31">
        <v>0</v>
      </c>
      <c r="BA203" s="31">
        <v>0</v>
      </c>
      <c r="BB203" s="31">
        <v>0</v>
      </c>
      <c r="BC203" s="31">
        <v>0</v>
      </c>
      <c r="BD203" s="31">
        <v>0</v>
      </c>
      <c r="BE203" s="31">
        <v>0</v>
      </c>
      <c r="BF203" s="31">
        <v>0</v>
      </c>
      <c r="BG203" s="31">
        <v>0</v>
      </c>
      <c r="BH203" s="31">
        <v>0</v>
      </c>
      <c r="BI203" s="31">
        <v>0</v>
      </c>
      <c r="BJ203" s="32">
        <f t="shared" si="36"/>
        <v>0</v>
      </c>
      <c r="BK203" s="41">
        <f>BJ203+AM203+AL203+'11-2025'!$N203+AN203+AO203</f>
        <v>3500</v>
      </c>
      <c r="BL203" s="34">
        <f>'11-2025'!$O203</f>
        <v>0</v>
      </c>
      <c r="BM203" s="34">
        <f t="shared" si="24"/>
        <v>0</v>
      </c>
      <c r="BN203" s="34">
        <f t="shared" si="25"/>
        <v>0</v>
      </c>
      <c r="BO203" s="34">
        <f t="shared" si="33"/>
        <v>1666.6666666666667</v>
      </c>
      <c r="BP203" s="35">
        <f t="shared" si="26"/>
        <v>1833.3333333333333</v>
      </c>
      <c r="BQ203" s="34">
        <f>IFERROR(BP203/'11-2025'!$J203,0)*12</f>
        <v>22000</v>
      </c>
      <c r="BR203" s="34">
        <f>IF(BQ203&lt;=40000,0,
IF(BQ203&lt;=55000,(BQ203-40000)*10%,
IF(BQ203&lt;=70000,(BQ203-55000)*15%+1500,
IF(BQ203&lt;=200000,(BQ203-70000)*20%+1500+2250,
IF(BQ203&lt;=400000,(BQ203-200000)*22.5%+1500+2250+26000,
IF(BQ203&lt;=600000,(BQ203-400000)*25%+1500+2250+26000+45000,
IF(AND(BQ203&gt;600000,BQ203&lt;=1200000),(BQ203-400000)*25%+1500+2250+26000+45000
+IFERROR(LOOKUP(BQ203,{600001;700001;800001;900001},{4000;6750;10250;15250}),0),IF(BQ203&gt;1200000,((BQ203-1200000)*27.5%)+300000,0)
)))))))</f>
        <v>0</v>
      </c>
      <c r="BS203" s="32">
        <f>(BR203/12*'11-2025'!$J203)</f>
        <v>0</v>
      </c>
      <c r="BT203" s="33">
        <f>BS203-'11-2025'!$V203</f>
        <v>0</v>
      </c>
      <c r="BU203" s="32">
        <f>IFERROR(+'11-2025'!$W203+AL203+AM203+BJ203-'11-2025'!$AJ203-BT203+AN203+AO203,"")-AL203+AP203+AQ203</f>
        <v>3500</v>
      </c>
      <c r="BV203" s="36"/>
      <c r="BW203" s="37"/>
      <c r="BX203" s="37">
        <f t="shared" si="34"/>
        <v>3500</v>
      </c>
      <c r="BY203" s="37"/>
    </row>
    <row r="204" spans="1:77" x14ac:dyDescent="0.25">
      <c r="A204" s="43">
        <v>798</v>
      </c>
      <c r="B204" s="22" t="s">
        <v>331</v>
      </c>
      <c r="C204" s="22" t="s">
        <v>71</v>
      </c>
      <c r="D204" s="22" t="s">
        <v>77</v>
      </c>
      <c r="E204" s="22" t="s">
        <v>85</v>
      </c>
      <c r="F204" s="22" t="s">
        <v>180</v>
      </c>
      <c r="G204" s="23">
        <v>45956</v>
      </c>
      <c r="H204" s="22"/>
      <c r="I204" s="24" t="s">
        <v>269</v>
      </c>
      <c r="J204" s="25">
        <v>1</v>
      </c>
      <c r="K204" s="25">
        <v>4000</v>
      </c>
      <c r="L204" s="25"/>
      <c r="M204" s="26"/>
      <c r="N204" s="25">
        <f>SUM('11-2025'!$K204:$M204)</f>
        <v>4000</v>
      </c>
      <c r="O204" s="25"/>
      <c r="P204" s="25">
        <f t="shared" ref="P204:P228" si="37">O204*18.75%</f>
        <v>0</v>
      </c>
      <c r="Q204" s="25">
        <f t="shared" ref="Q204:Q228" si="38">O204*11%</f>
        <v>0</v>
      </c>
      <c r="R204" s="25">
        <v>1666.6666666666667</v>
      </c>
      <c r="S204" s="27">
        <f t="shared" ref="S204:S228" si="39">IF(N204-Q204-R204&lt;0,0,N204-Q204-R204)</f>
        <v>2333.333333333333</v>
      </c>
      <c r="T204" s="25">
        <f t="shared" ref="T204:T228" si="40">IFERROR(S204/J204,0)*12</f>
        <v>27999.999999999996</v>
      </c>
      <c r="U204" s="25">
        <f>IF(T204&lt;=40000,0,
IF(T204&lt;=55000,(T204-40000)*10%,
IF(T204&lt;=70000,(T204-55000)*15%+1500,
IF(T204&lt;=200000,(T204-70000)*20%+1500+2250,
IF(T204&lt;=400000,(T204-200000)*22.5%+1500+2250+26000,
IF(T204&lt;=600000,(T204-400000)*25%+1500+2250+26000+45000,
IF(AND(T204&gt;600000,T204&lt;=1200000),(T204-400000)*25%+1500+2250+26000+45000
+IFERROR(LOOKUP(T204,{600001;700001;800001;900001},{4000;6750;10250;15250}),0),IF(T204&gt;1200000,((T204-1200000)*27.5%)+300000,0)
)))))))</f>
        <v>0</v>
      </c>
      <c r="V204" s="25">
        <f t="shared" ref="V204:V228" si="41">U204/12*J204</f>
        <v>0</v>
      </c>
      <c r="W204" s="28">
        <f>+'11-2025'!$S204-'11-2025'!$V204+'11-2025'!$R204</f>
        <v>4000</v>
      </c>
      <c r="X204" s="28">
        <f t="shared" ref="X204:X228" si="42">IFERROR(W204/30,"")</f>
        <v>133.33333333333334</v>
      </c>
      <c r="Y204" s="29">
        <v>0</v>
      </c>
      <c r="Z204" s="29">
        <f>IFERROR(+'11-2025'!$X204*'11-2025'!$Y204,"")</f>
        <v>0</v>
      </c>
      <c r="AA204" s="29">
        <v>0</v>
      </c>
      <c r="AB204" s="29">
        <f>IFERROR(+'11-2025'!$X204*'11-2025'!$AA204,"")</f>
        <v>0</v>
      </c>
      <c r="AC204" s="29">
        <v>3</v>
      </c>
      <c r="AD204" s="29">
        <f>IFERROR(+'11-2025'!$X204*'11-2025'!$AC204,"")</f>
        <v>400</v>
      </c>
      <c r="AE204" s="29">
        <v>0</v>
      </c>
      <c r="AF204" s="29">
        <f>IFERROR(+'11-2025'!$X204*'11-2025'!$AE204,"")</f>
        <v>0</v>
      </c>
      <c r="AG204" s="29">
        <v>0.25</v>
      </c>
      <c r="AH204" s="29">
        <f>IFERROR(+'11-2025'!$X204*'11-2025'!$AG204,"")</f>
        <v>33.333333333333336</v>
      </c>
      <c r="AI204" s="29">
        <v>0</v>
      </c>
      <c r="AJ204" s="29">
        <f>IFERROR('11-2025'!$Z204+'11-2025'!$AB204+'11-2025'!$AD204+'11-2025'!$AF204+'11-2025'!$AH204+'11-2025'!$AI204,"")</f>
        <v>433.33333333333331</v>
      </c>
      <c r="AK204" s="30">
        <f>IFERROR('11-2025'!$W204-'11-2025'!$AJ204,"")</f>
        <v>3566.6666666666665</v>
      </c>
      <c r="AL204" s="31"/>
      <c r="AM204" s="31"/>
      <c r="AN204" s="31"/>
      <c r="AO204" s="31">
        <v>0</v>
      </c>
      <c r="AP204" s="31"/>
      <c r="AQ204" s="31"/>
      <c r="AR204" s="31">
        <v>0</v>
      </c>
      <c r="AS204" s="31">
        <v>0</v>
      </c>
      <c r="AT204" s="31">
        <v>0</v>
      </c>
      <c r="AU204" s="31">
        <v>0</v>
      </c>
      <c r="AV204" s="31">
        <v>0</v>
      </c>
      <c r="AW204" s="31">
        <v>0</v>
      </c>
      <c r="AX204" s="31">
        <v>0</v>
      </c>
      <c r="AY204" s="31">
        <v>0</v>
      </c>
      <c r="AZ204" s="31">
        <v>0</v>
      </c>
      <c r="BA204" s="31">
        <v>0</v>
      </c>
      <c r="BB204" s="31">
        <v>0</v>
      </c>
      <c r="BC204" s="31">
        <v>0</v>
      </c>
      <c r="BD204" s="31">
        <v>0</v>
      </c>
      <c r="BE204" s="31">
        <v>0</v>
      </c>
      <c r="BF204" s="31">
        <v>0</v>
      </c>
      <c r="BG204" s="31">
        <v>0</v>
      </c>
      <c r="BH204" s="31">
        <v>0</v>
      </c>
      <c r="BI204" s="31">
        <v>0</v>
      </c>
      <c r="BJ204" s="32">
        <f t="shared" ref="BJ204:BJ228" si="43">BD204+BC204+BB204+BA204+AZ204+AY204+AX204+AW204+AV204+AU204+AT204+AS204+AR204+BE204+BF204+BG204+BH204+BI204</f>
        <v>0</v>
      </c>
      <c r="BK204" s="41">
        <f>BJ204+AM204+AL204+'11-2025'!$N204+AN204+AO204</f>
        <v>4000</v>
      </c>
      <c r="BL204" s="34">
        <f>'11-2025'!$O204</f>
        <v>0</v>
      </c>
      <c r="BM204" s="34">
        <f t="shared" ref="BM204:BM228" si="44">BL204*18.75%</f>
        <v>0</v>
      </c>
      <c r="BN204" s="34">
        <f t="shared" ref="BN204:BN228" si="45">BL204*11%</f>
        <v>0</v>
      </c>
      <c r="BO204" s="34">
        <f t="shared" ref="BO204:BO228" si="46">+R204</f>
        <v>1666.6666666666667</v>
      </c>
      <c r="BP204" s="35">
        <f t="shared" ref="BP204:BP228" si="47">IF(BK204-BN204-BO204&lt;0,0,BK204-BN204-BO204)</f>
        <v>2333.333333333333</v>
      </c>
      <c r="BQ204" s="34">
        <f>IFERROR(BP204/'11-2025'!$J204,0)*12</f>
        <v>27999.999999999996</v>
      </c>
      <c r="BR204" s="34">
        <f>IF(BQ204&lt;=40000,0,
IF(BQ204&lt;=55000,(BQ204-40000)*10%,
IF(BQ204&lt;=70000,(BQ204-55000)*15%+1500,
IF(BQ204&lt;=200000,(BQ204-70000)*20%+1500+2250,
IF(BQ204&lt;=400000,(BQ204-200000)*22.5%+1500+2250+26000,
IF(BQ204&lt;=600000,(BQ204-400000)*25%+1500+2250+26000+45000,
IF(AND(BQ204&gt;600000,BQ204&lt;=1200000),(BQ204-400000)*25%+1500+2250+26000+45000
+IFERROR(LOOKUP(BQ204,{600001;700001;800001;900001},{4000;6750;10250;15250}),0),IF(BQ204&gt;1200000,((BQ204-1200000)*27.5%)+300000,0)
)))))))</f>
        <v>0</v>
      </c>
      <c r="BS204" s="32">
        <f>(BR204/12*'11-2025'!$J204)</f>
        <v>0</v>
      </c>
      <c r="BT204" s="33">
        <f>BS204-'11-2025'!$V204</f>
        <v>0</v>
      </c>
      <c r="BU204" s="32">
        <f>IFERROR(+'11-2025'!$W204+AL204+AM204+BJ204-'11-2025'!$AJ204-BT204+AN204+AO204,"")-AL204+AP204+AQ204</f>
        <v>3566.6666666666665</v>
      </c>
      <c r="BV204" s="36"/>
      <c r="BW204" s="37"/>
      <c r="BX204" s="37">
        <f t="shared" ref="BX204:BX228" si="48">+BU204-BW204</f>
        <v>3566.6666666666665</v>
      </c>
      <c r="BY204" s="37"/>
    </row>
    <row r="205" spans="1:77" x14ac:dyDescent="0.25">
      <c r="A205" s="43">
        <v>800</v>
      </c>
      <c r="B205" s="22" t="s">
        <v>332</v>
      </c>
      <c r="C205" s="22" t="s">
        <v>106</v>
      </c>
      <c r="D205" s="22" t="s">
        <v>72</v>
      </c>
      <c r="E205" s="22">
        <v>0</v>
      </c>
      <c r="F205" s="22" t="s">
        <v>139</v>
      </c>
      <c r="G205" s="23">
        <v>45964</v>
      </c>
      <c r="H205" s="22"/>
      <c r="I205" s="24" t="s">
        <v>269</v>
      </c>
      <c r="J205" s="25">
        <v>1</v>
      </c>
      <c r="K205" s="25">
        <v>3000</v>
      </c>
      <c r="L205" s="25"/>
      <c r="M205" s="26"/>
      <c r="N205" s="25">
        <f>SUM('11-2025'!$K205:$M205)</f>
        <v>3000</v>
      </c>
      <c r="O205" s="25"/>
      <c r="P205" s="25">
        <f t="shared" si="37"/>
        <v>0</v>
      </c>
      <c r="Q205" s="25">
        <f t="shared" si="38"/>
        <v>0</v>
      </c>
      <c r="R205" s="25">
        <v>1666.6666666666667</v>
      </c>
      <c r="S205" s="27">
        <f t="shared" si="39"/>
        <v>1333.3333333333333</v>
      </c>
      <c r="T205" s="25">
        <f t="shared" si="40"/>
        <v>16000</v>
      </c>
      <c r="U205" s="25">
        <f>IF(T205&lt;=40000,0,
IF(T205&lt;=55000,(T205-40000)*10%,
IF(T205&lt;=70000,(T205-55000)*15%+1500,
IF(T205&lt;=200000,(T205-70000)*20%+1500+2250,
IF(T205&lt;=400000,(T205-200000)*22.5%+1500+2250+26000,
IF(T205&lt;=600000,(T205-400000)*25%+1500+2250+26000+45000,
IF(AND(T205&gt;600000,T205&lt;=1200000),(T205-400000)*25%+1500+2250+26000+45000
+IFERROR(LOOKUP(T205,{600001;700001;800001;900001},{4000;6750;10250;15250}),0),IF(T205&gt;1200000,((T205-1200000)*27.5%)+300000,0)
)))))))</f>
        <v>0</v>
      </c>
      <c r="V205" s="25">
        <f t="shared" si="41"/>
        <v>0</v>
      </c>
      <c r="W205" s="28">
        <f>+'11-2025'!$S205-'11-2025'!$V205+'11-2025'!$R205</f>
        <v>3000</v>
      </c>
      <c r="X205" s="28">
        <f t="shared" si="42"/>
        <v>100</v>
      </c>
      <c r="Y205" s="29">
        <v>0</v>
      </c>
      <c r="Z205" s="29">
        <f>IFERROR(+'11-2025'!$X205*'11-2025'!$Y205,"")</f>
        <v>0</v>
      </c>
      <c r="AA205" s="29">
        <v>0</v>
      </c>
      <c r="AB205" s="29">
        <f>IFERROR(+'11-2025'!$X205*'11-2025'!$AA205,"")</f>
        <v>0</v>
      </c>
      <c r="AC205" s="29">
        <v>11</v>
      </c>
      <c r="AD205" s="29">
        <f>IFERROR(+'11-2025'!$X205*'11-2025'!$AC205,"")</f>
        <v>1100</v>
      </c>
      <c r="AE205" s="29">
        <v>0</v>
      </c>
      <c r="AF205" s="29">
        <f>IFERROR(+'11-2025'!$X205*'11-2025'!$AE205,"")</f>
        <v>0</v>
      </c>
      <c r="AG205" s="29">
        <v>0</v>
      </c>
      <c r="AH205" s="29">
        <f>IFERROR(+'11-2025'!$X205*'11-2025'!$AG205,"")</f>
        <v>0</v>
      </c>
      <c r="AI205" s="29">
        <v>0</v>
      </c>
      <c r="AJ205" s="29">
        <f>IFERROR('11-2025'!$Z205+'11-2025'!$AB205+'11-2025'!$AD205+'11-2025'!$AF205+'11-2025'!$AH205+'11-2025'!$AI205,"")</f>
        <v>1100</v>
      </c>
      <c r="AK205" s="30">
        <f>IFERROR('11-2025'!$W205-'11-2025'!$AJ205,"")</f>
        <v>1900</v>
      </c>
      <c r="AL205" s="31"/>
      <c r="AM205" s="31"/>
      <c r="AN205" s="31"/>
      <c r="AO205" s="31">
        <v>0</v>
      </c>
      <c r="AP205" s="31"/>
      <c r="AQ205" s="31"/>
      <c r="AR205" s="31">
        <v>0</v>
      </c>
      <c r="AS205" s="31">
        <v>0</v>
      </c>
      <c r="AT205" s="31">
        <v>0</v>
      </c>
      <c r="AU205" s="31">
        <v>0</v>
      </c>
      <c r="AV205" s="31">
        <v>0</v>
      </c>
      <c r="AW205" s="31">
        <v>0</v>
      </c>
      <c r="AX205" s="31">
        <v>0</v>
      </c>
      <c r="AY205" s="31">
        <v>0</v>
      </c>
      <c r="AZ205" s="31">
        <v>0</v>
      </c>
      <c r="BA205" s="31">
        <v>0</v>
      </c>
      <c r="BB205" s="31">
        <v>0</v>
      </c>
      <c r="BC205" s="31">
        <v>0</v>
      </c>
      <c r="BD205" s="31">
        <v>0</v>
      </c>
      <c r="BE205" s="31">
        <v>0</v>
      </c>
      <c r="BF205" s="31">
        <v>0</v>
      </c>
      <c r="BG205" s="31">
        <v>0</v>
      </c>
      <c r="BH205" s="31">
        <v>0</v>
      </c>
      <c r="BI205" s="31">
        <v>0</v>
      </c>
      <c r="BJ205" s="32">
        <f t="shared" si="43"/>
        <v>0</v>
      </c>
      <c r="BK205" s="41">
        <f>BJ205+AM205+AL205+'11-2025'!$N205+AN205+AO205</f>
        <v>3000</v>
      </c>
      <c r="BL205" s="34">
        <f>'11-2025'!$O205</f>
        <v>0</v>
      </c>
      <c r="BM205" s="34">
        <f t="shared" si="44"/>
        <v>0</v>
      </c>
      <c r="BN205" s="34">
        <f t="shared" si="45"/>
        <v>0</v>
      </c>
      <c r="BO205" s="34">
        <f t="shared" si="46"/>
        <v>1666.6666666666667</v>
      </c>
      <c r="BP205" s="35">
        <f t="shared" si="47"/>
        <v>1333.3333333333333</v>
      </c>
      <c r="BQ205" s="34">
        <f>IFERROR(BP205/'11-2025'!$J205,0)*12</f>
        <v>16000</v>
      </c>
      <c r="BR205" s="34">
        <f>IF(BQ205&lt;=40000,0,
IF(BQ205&lt;=55000,(BQ205-40000)*10%,
IF(BQ205&lt;=70000,(BQ205-55000)*15%+1500,
IF(BQ205&lt;=200000,(BQ205-70000)*20%+1500+2250,
IF(BQ205&lt;=400000,(BQ205-200000)*22.5%+1500+2250+26000,
IF(BQ205&lt;=600000,(BQ205-400000)*25%+1500+2250+26000+45000,
IF(AND(BQ205&gt;600000,BQ205&lt;=1200000),(BQ205-400000)*25%+1500+2250+26000+45000
+IFERROR(LOOKUP(BQ205,{600001;700001;800001;900001},{4000;6750;10250;15250}),0),IF(BQ205&gt;1200000,((BQ205-1200000)*27.5%)+300000,0)
)))))))</f>
        <v>0</v>
      </c>
      <c r="BS205" s="32">
        <f>(BR205/12*'11-2025'!$J205)</f>
        <v>0</v>
      </c>
      <c r="BT205" s="33">
        <f>BS205-'11-2025'!$V205</f>
        <v>0</v>
      </c>
      <c r="BU205" s="32">
        <f>IFERROR(+'11-2025'!$W205+AL205+AM205+BJ205-'11-2025'!$AJ205-BT205+AN205+AO205,"")-AL205+AP205+AQ205</f>
        <v>1900</v>
      </c>
      <c r="BV205" s="36"/>
      <c r="BW205" s="37"/>
      <c r="BX205" s="37">
        <f t="shared" si="48"/>
        <v>1900</v>
      </c>
      <c r="BY205" s="37"/>
    </row>
    <row r="206" spans="1:77" x14ac:dyDescent="0.25">
      <c r="A206" s="43">
        <v>802</v>
      </c>
      <c r="B206" s="22" t="s">
        <v>333</v>
      </c>
      <c r="C206" s="22" t="s">
        <v>81</v>
      </c>
      <c r="D206" s="22" t="s">
        <v>72</v>
      </c>
      <c r="E206" s="22" t="s">
        <v>321</v>
      </c>
      <c r="F206" s="22" t="s">
        <v>139</v>
      </c>
      <c r="G206" s="23">
        <v>45965</v>
      </c>
      <c r="H206" s="22"/>
      <c r="I206" s="24" t="s">
        <v>269</v>
      </c>
      <c r="J206" s="25">
        <v>1</v>
      </c>
      <c r="K206" s="25">
        <v>3500</v>
      </c>
      <c r="L206" s="25"/>
      <c r="M206" s="26"/>
      <c r="N206" s="25">
        <f>SUM('11-2025'!$K206:$M206)</f>
        <v>3500</v>
      </c>
      <c r="O206" s="25"/>
      <c r="P206" s="25">
        <f t="shared" si="37"/>
        <v>0</v>
      </c>
      <c r="Q206" s="25">
        <f t="shared" si="38"/>
        <v>0</v>
      </c>
      <c r="R206" s="25">
        <v>1666.6666666666667</v>
      </c>
      <c r="S206" s="27">
        <f t="shared" si="39"/>
        <v>1833.3333333333333</v>
      </c>
      <c r="T206" s="25">
        <f t="shared" si="40"/>
        <v>22000</v>
      </c>
      <c r="U206" s="25">
        <f>IF(T206&lt;=40000,0,
IF(T206&lt;=55000,(T206-40000)*10%,
IF(T206&lt;=70000,(T206-55000)*15%+1500,
IF(T206&lt;=200000,(T206-70000)*20%+1500+2250,
IF(T206&lt;=400000,(T206-200000)*22.5%+1500+2250+26000,
IF(T206&lt;=600000,(T206-400000)*25%+1500+2250+26000+45000,
IF(AND(T206&gt;600000,T206&lt;=1200000),(T206-400000)*25%+1500+2250+26000+45000
+IFERROR(LOOKUP(T206,{600001;700001;800001;900001},{4000;6750;10250;15250}),0),IF(T206&gt;1200000,((T206-1200000)*27.5%)+300000,0)
)))))))</f>
        <v>0</v>
      </c>
      <c r="V206" s="25">
        <f t="shared" si="41"/>
        <v>0</v>
      </c>
      <c r="W206" s="28">
        <f>+'11-2025'!$S206-'11-2025'!$V206+'11-2025'!$R206</f>
        <v>3500</v>
      </c>
      <c r="X206" s="28">
        <f t="shared" si="42"/>
        <v>116.66666666666667</v>
      </c>
      <c r="Y206" s="29">
        <v>0</v>
      </c>
      <c r="Z206" s="29">
        <f>IFERROR(+'11-2025'!$X206*'11-2025'!$Y206,"")</f>
        <v>0</v>
      </c>
      <c r="AA206" s="29">
        <v>0</v>
      </c>
      <c r="AB206" s="29">
        <f>IFERROR(+'11-2025'!$X206*'11-2025'!$AA206,"")</f>
        <v>0</v>
      </c>
      <c r="AC206" s="29">
        <v>0</v>
      </c>
      <c r="AD206" s="29">
        <f>IFERROR(+'11-2025'!$X206*'11-2025'!$AC206,"")</f>
        <v>0</v>
      </c>
      <c r="AE206" s="29">
        <v>0</v>
      </c>
      <c r="AF206" s="29">
        <f>IFERROR(+'11-2025'!$X206*'11-2025'!$AE206,"")</f>
        <v>0</v>
      </c>
      <c r="AG206" s="29">
        <v>0</v>
      </c>
      <c r="AH206" s="29">
        <f>IFERROR(+'11-2025'!$X206*'11-2025'!$AG206,"")</f>
        <v>0</v>
      </c>
      <c r="AI206" s="29">
        <v>0</v>
      </c>
      <c r="AJ206" s="29">
        <f>IFERROR('11-2025'!$Z206+'11-2025'!$AB206+'11-2025'!$AD206+'11-2025'!$AF206+'11-2025'!$AH206+'11-2025'!$AI206,"")</f>
        <v>0</v>
      </c>
      <c r="AK206" s="30">
        <f>IFERROR('11-2025'!$W206-'11-2025'!$AJ206,"")</f>
        <v>3500</v>
      </c>
      <c r="AL206" s="31"/>
      <c r="AM206" s="31"/>
      <c r="AN206" s="31"/>
      <c r="AO206" s="31">
        <v>40</v>
      </c>
      <c r="AP206" s="31"/>
      <c r="AQ206" s="31"/>
      <c r="AR206" s="31">
        <v>0</v>
      </c>
      <c r="AS206" s="31">
        <v>0</v>
      </c>
      <c r="AT206" s="31">
        <v>0</v>
      </c>
      <c r="AU206" s="31">
        <v>0</v>
      </c>
      <c r="AV206" s="31">
        <v>0</v>
      </c>
      <c r="AW206" s="31">
        <v>0</v>
      </c>
      <c r="AX206" s="31">
        <v>0</v>
      </c>
      <c r="AY206" s="31">
        <v>0</v>
      </c>
      <c r="AZ206" s="31">
        <v>0</v>
      </c>
      <c r="BA206" s="31">
        <v>0</v>
      </c>
      <c r="BB206" s="31">
        <v>0</v>
      </c>
      <c r="BC206" s="31">
        <v>0</v>
      </c>
      <c r="BD206" s="31">
        <v>0</v>
      </c>
      <c r="BE206" s="31">
        <v>0</v>
      </c>
      <c r="BF206" s="31">
        <v>0</v>
      </c>
      <c r="BG206" s="31">
        <v>0</v>
      </c>
      <c r="BH206" s="31">
        <v>0</v>
      </c>
      <c r="BI206" s="31">
        <v>0</v>
      </c>
      <c r="BJ206" s="32">
        <f t="shared" si="43"/>
        <v>0</v>
      </c>
      <c r="BK206" s="41">
        <f>BJ206+AM206+AL206+'11-2025'!$N206+AN206+AO206</f>
        <v>3540</v>
      </c>
      <c r="BL206" s="34">
        <f>'11-2025'!$O206</f>
        <v>0</v>
      </c>
      <c r="BM206" s="34">
        <f t="shared" si="44"/>
        <v>0</v>
      </c>
      <c r="BN206" s="34">
        <f t="shared" si="45"/>
        <v>0</v>
      </c>
      <c r="BO206" s="34">
        <f t="shared" si="46"/>
        <v>1666.6666666666667</v>
      </c>
      <c r="BP206" s="35">
        <f t="shared" si="47"/>
        <v>1873.3333333333333</v>
      </c>
      <c r="BQ206" s="34">
        <f>IFERROR(BP206/'11-2025'!$J206,0)*12</f>
        <v>22480</v>
      </c>
      <c r="BR206" s="34">
        <f>IF(BQ206&lt;=40000,0,
IF(BQ206&lt;=55000,(BQ206-40000)*10%,
IF(BQ206&lt;=70000,(BQ206-55000)*15%+1500,
IF(BQ206&lt;=200000,(BQ206-70000)*20%+1500+2250,
IF(BQ206&lt;=400000,(BQ206-200000)*22.5%+1500+2250+26000,
IF(BQ206&lt;=600000,(BQ206-400000)*25%+1500+2250+26000+45000,
IF(AND(BQ206&gt;600000,BQ206&lt;=1200000),(BQ206-400000)*25%+1500+2250+26000+45000
+IFERROR(LOOKUP(BQ206,{600001;700001;800001;900001},{4000;6750;10250;15250}),0),IF(BQ206&gt;1200000,((BQ206-1200000)*27.5%)+300000,0)
)))))))</f>
        <v>0</v>
      </c>
      <c r="BS206" s="32">
        <f>(BR206/12*'11-2025'!$J206)</f>
        <v>0</v>
      </c>
      <c r="BT206" s="33">
        <f>BS206-'11-2025'!$V206</f>
        <v>0</v>
      </c>
      <c r="BU206" s="32">
        <f>IFERROR(+'11-2025'!$W206+AL206+AM206+BJ206-'11-2025'!$AJ206-BT206+AN206+AO206,"")-AL206+AP206+AQ206</f>
        <v>3540</v>
      </c>
      <c r="BV206" s="36"/>
      <c r="BW206" s="37"/>
      <c r="BX206" s="37">
        <f t="shared" si="48"/>
        <v>3540</v>
      </c>
      <c r="BY206" s="37"/>
    </row>
    <row r="207" spans="1:77" x14ac:dyDescent="0.25">
      <c r="A207" s="43">
        <v>803</v>
      </c>
      <c r="B207" s="22" t="s">
        <v>334</v>
      </c>
      <c r="C207" s="22" t="s">
        <v>81</v>
      </c>
      <c r="D207" s="22" t="s">
        <v>72</v>
      </c>
      <c r="E207" s="22" t="s">
        <v>124</v>
      </c>
      <c r="F207" s="22" t="s">
        <v>83</v>
      </c>
      <c r="G207" s="23">
        <v>45971</v>
      </c>
      <c r="H207" s="22"/>
      <c r="I207" s="24" t="s">
        <v>269</v>
      </c>
      <c r="J207" s="25">
        <v>1</v>
      </c>
      <c r="K207" s="25">
        <v>5000</v>
      </c>
      <c r="L207" s="25"/>
      <c r="M207" s="26"/>
      <c r="N207" s="25">
        <f>SUM('11-2025'!$K207:$M207)</f>
        <v>5000</v>
      </c>
      <c r="O207" s="25"/>
      <c r="P207" s="25">
        <f t="shared" si="37"/>
        <v>0</v>
      </c>
      <c r="Q207" s="25">
        <f t="shared" si="38"/>
        <v>0</v>
      </c>
      <c r="R207" s="25">
        <v>1666.6666666666667</v>
      </c>
      <c r="S207" s="27">
        <f t="shared" si="39"/>
        <v>3333.333333333333</v>
      </c>
      <c r="T207" s="25">
        <f t="shared" si="40"/>
        <v>40000</v>
      </c>
      <c r="U207" s="25">
        <f>IF(T207&lt;=40000,0,
IF(T207&lt;=55000,(T207-40000)*10%,
IF(T207&lt;=70000,(T207-55000)*15%+1500,
IF(T207&lt;=200000,(T207-70000)*20%+1500+2250,
IF(T207&lt;=400000,(T207-200000)*22.5%+1500+2250+26000,
IF(T207&lt;=600000,(T207-400000)*25%+1500+2250+26000+45000,
IF(AND(T207&gt;600000,T207&lt;=1200000),(T207-400000)*25%+1500+2250+26000+45000
+IFERROR(LOOKUP(T207,{600001;700001;800001;900001},{4000;6750;10250;15250}),0),IF(T207&gt;1200000,((T207-1200000)*27.5%)+300000,0)
)))))))</f>
        <v>0</v>
      </c>
      <c r="V207" s="25">
        <f t="shared" si="41"/>
        <v>0</v>
      </c>
      <c r="W207" s="28">
        <f>+'11-2025'!$S207-'11-2025'!$V207+'11-2025'!$R207</f>
        <v>5000</v>
      </c>
      <c r="X207" s="28">
        <f t="shared" si="42"/>
        <v>166.66666666666666</v>
      </c>
      <c r="Y207" s="29">
        <v>0</v>
      </c>
      <c r="Z207" s="29">
        <f>IFERROR(+'11-2025'!$X207*'11-2025'!$Y207,"")</f>
        <v>0</v>
      </c>
      <c r="AA207" s="29">
        <v>0</v>
      </c>
      <c r="AB207" s="29">
        <f>IFERROR(+'11-2025'!$X207*'11-2025'!$AA207,"")</f>
        <v>0</v>
      </c>
      <c r="AC207" s="29">
        <v>13</v>
      </c>
      <c r="AD207" s="29">
        <f>IFERROR(+'11-2025'!$X207*'11-2025'!$AC207,"")</f>
        <v>2166.6666666666665</v>
      </c>
      <c r="AE207" s="29">
        <v>0</v>
      </c>
      <c r="AF207" s="29">
        <f>IFERROR(+'11-2025'!$X207*'11-2025'!$AE207,"")</f>
        <v>0</v>
      </c>
      <c r="AG207" s="29">
        <v>0</v>
      </c>
      <c r="AH207" s="29">
        <f>IFERROR(+'11-2025'!$X207*'11-2025'!$AG207,"")</f>
        <v>0</v>
      </c>
      <c r="AI207" s="29">
        <v>0</v>
      </c>
      <c r="AJ207" s="29">
        <f>IFERROR('11-2025'!$Z207+'11-2025'!$AB207+'11-2025'!$AD207+'11-2025'!$AF207+'11-2025'!$AH207+'11-2025'!$AI207,"")</f>
        <v>2166.6666666666665</v>
      </c>
      <c r="AK207" s="30">
        <f>IFERROR('11-2025'!$W207-'11-2025'!$AJ207,"")</f>
        <v>2833.3333333333335</v>
      </c>
      <c r="AL207" s="31"/>
      <c r="AM207" s="31"/>
      <c r="AN207" s="31"/>
      <c r="AO207" s="31">
        <v>0</v>
      </c>
      <c r="AP207" s="31"/>
      <c r="AQ207" s="31"/>
      <c r="AR207" s="31">
        <v>0</v>
      </c>
      <c r="AS207" s="31">
        <v>0</v>
      </c>
      <c r="AT207" s="31">
        <v>0</v>
      </c>
      <c r="AU207" s="31">
        <v>0</v>
      </c>
      <c r="AV207" s="31">
        <v>0</v>
      </c>
      <c r="AW207" s="31">
        <v>0</v>
      </c>
      <c r="AX207" s="31">
        <v>0</v>
      </c>
      <c r="AY207" s="31">
        <v>0</v>
      </c>
      <c r="AZ207" s="31">
        <v>0</v>
      </c>
      <c r="BA207" s="31">
        <v>0</v>
      </c>
      <c r="BB207" s="31">
        <v>0</v>
      </c>
      <c r="BC207" s="31">
        <v>0</v>
      </c>
      <c r="BD207" s="31">
        <v>0</v>
      </c>
      <c r="BE207" s="31">
        <v>0</v>
      </c>
      <c r="BF207" s="31">
        <v>0</v>
      </c>
      <c r="BG207" s="31">
        <v>0</v>
      </c>
      <c r="BH207" s="31">
        <v>0</v>
      </c>
      <c r="BI207" s="31">
        <v>0</v>
      </c>
      <c r="BJ207" s="32">
        <f t="shared" si="43"/>
        <v>0</v>
      </c>
      <c r="BK207" s="41">
        <f>BJ207+AM207+AL207+'11-2025'!$N207+AN207+AO207</f>
        <v>5000</v>
      </c>
      <c r="BL207" s="34">
        <f>'11-2025'!$O207</f>
        <v>0</v>
      </c>
      <c r="BM207" s="34">
        <f t="shared" si="44"/>
        <v>0</v>
      </c>
      <c r="BN207" s="34">
        <f t="shared" si="45"/>
        <v>0</v>
      </c>
      <c r="BO207" s="34">
        <f t="shared" si="46"/>
        <v>1666.6666666666667</v>
      </c>
      <c r="BP207" s="35">
        <f t="shared" si="47"/>
        <v>3333.333333333333</v>
      </c>
      <c r="BQ207" s="34">
        <f>IFERROR(BP207/'11-2025'!$J207,0)*12</f>
        <v>40000</v>
      </c>
      <c r="BR207" s="34">
        <f>IF(BQ207&lt;=40000,0,
IF(BQ207&lt;=55000,(BQ207-40000)*10%,
IF(BQ207&lt;=70000,(BQ207-55000)*15%+1500,
IF(BQ207&lt;=200000,(BQ207-70000)*20%+1500+2250,
IF(BQ207&lt;=400000,(BQ207-200000)*22.5%+1500+2250+26000,
IF(BQ207&lt;=600000,(BQ207-400000)*25%+1500+2250+26000+45000,
IF(AND(BQ207&gt;600000,BQ207&lt;=1200000),(BQ207-400000)*25%+1500+2250+26000+45000
+IFERROR(LOOKUP(BQ207,{600001;700001;800001;900001},{4000;6750;10250;15250}),0),IF(BQ207&gt;1200000,((BQ207-1200000)*27.5%)+300000,0)
)))))))</f>
        <v>0</v>
      </c>
      <c r="BS207" s="32">
        <f>(BR207/12*'11-2025'!$J207)</f>
        <v>0</v>
      </c>
      <c r="BT207" s="33">
        <f>BS207-'11-2025'!$V207</f>
        <v>0</v>
      </c>
      <c r="BU207" s="32">
        <f>IFERROR(+'11-2025'!$W207+AL207+AM207+BJ207-'11-2025'!$AJ207-BT207+AN207+AO207,"")-AL207+AP207+AQ207</f>
        <v>2833.3333333333335</v>
      </c>
      <c r="BV207" s="36"/>
      <c r="BW207" s="37"/>
      <c r="BX207" s="37">
        <f t="shared" si="48"/>
        <v>2833.3333333333335</v>
      </c>
      <c r="BY207" s="37"/>
    </row>
    <row r="208" spans="1:77" x14ac:dyDescent="0.25">
      <c r="A208" s="43">
        <v>804</v>
      </c>
      <c r="B208" s="22" t="s">
        <v>335</v>
      </c>
      <c r="C208" s="22" t="s">
        <v>106</v>
      </c>
      <c r="D208" s="22" t="s">
        <v>72</v>
      </c>
      <c r="E208" s="22">
        <v>0</v>
      </c>
      <c r="F208" s="22" t="s">
        <v>139</v>
      </c>
      <c r="G208" s="23">
        <v>45967</v>
      </c>
      <c r="H208" s="22"/>
      <c r="I208" s="24" t="s">
        <v>269</v>
      </c>
      <c r="J208" s="25">
        <v>1</v>
      </c>
      <c r="K208" s="25">
        <v>3000</v>
      </c>
      <c r="L208" s="25"/>
      <c r="M208" s="26"/>
      <c r="N208" s="25">
        <f>SUM('11-2025'!$K208:$M208)</f>
        <v>3000</v>
      </c>
      <c r="O208" s="25"/>
      <c r="P208" s="25">
        <f t="shared" si="37"/>
        <v>0</v>
      </c>
      <c r="Q208" s="25">
        <f t="shared" si="38"/>
        <v>0</v>
      </c>
      <c r="R208" s="25">
        <v>1666.6666666666667</v>
      </c>
      <c r="S208" s="27">
        <f t="shared" si="39"/>
        <v>1333.3333333333333</v>
      </c>
      <c r="T208" s="25">
        <f t="shared" si="40"/>
        <v>16000</v>
      </c>
      <c r="U208" s="25">
        <f>IF(T208&lt;=40000,0,
IF(T208&lt;=55000,(T208-40000)*10%,
IF(T208&lt;=70000,(T208-55000)*15%+1500,
IF(T208&lt;=200000,(T208-70000)*20%+1500+2250,
IF(T208&lt;=400000,(T208-200000)*22.5%+1500+2250+26000,
IF(T208&lt;=600000,(T208-400000)*25%+1500+2250+26000+45000,
IF(AND(T208&gt;600000,T208&lt;=1200000),(T208-400000)*25%+1500+2250+26000+45000
+IFERROR(LOOKUP(T208,{600001;700001;800001;900001},{4000;6750;10250;15250}),0),IF(T208&gt;1200000,((T208-1200000)*27.5%)+300000,0)
)))))))</f>
        <v>0</v>
      </c>
      <c r="V208" s="25">
        <f t="shared" si="41"/>
        <v>0</v>
      </c>
      <c r="W208" s="28">
        <f>+'11-2025'!$S208-'11-2025'!$V208+'11-2025'!$R208</f>
        <v>3000</v>
      </c>
      <c r="X208" s="28">
        <f t="shared" si="42"/>
        <v>100</v>
      </c>
      <c r="Y208" s="29">
        <v>0</v>
      </c>
      <c r="Z208" s="29">
        <f>IFERROR(+'11-2025'!$X208*'11-2025'!$Y208,"")</f>
        <v>0</v>
      </c>
      <c r="AA208" s="29">
        <v>2</v>
      </c>
      <c r="AB208" s="29">
        <f>IFERROR(+'11-2025'!$X208*'11-2025'!$AA208,"")</f>
        <v>200</v>
      </c>
      <c r="AC208" s="29">
        <v>15</v>
      </c>
      <c r="AD208" s="29">
        <f>IFERROR(+'11-2025'!$X208*'11-2025'!$AC208,"")</f>
        <v>1500</v>
      </c>
      <c r="AE208" s="29">
        <v>0</v>
      </c>
      <c r="AF208" s="29">
        <f>IFERROR(+'11-2025'!$X208*'11-2025'!$AE208,"")</f>
        <v>0</v>
      </c>
      <c r="AG208" s="29">
        <v>0</v>
      </c>
      <c r="AH208" s="29">
        <f>IFERROR(+'11-2025'!$X208*'11-2025'!$AG208,"")</f>
        <v>0</v>
      </c>
      <c r="AI208" s="29">
        <v>0</v>
      </c>
      <c r="AJ208" s="29">
        <f>IFERROR('11-2025'!$Z208+'11-2025'!$AB208+'11-2025'!$AD208+'11-2025'!$AF208+'11-2025'!$AH208+'11-2025'!$AI208,"")</f>
        <v>1700</v>
      </c>
      <c r="AK208" s="30">
        <f>IFERROR('11-2025'!$W208-'11-2025'!$AJ208,"")</f>
        <v>1300</v>
      </c>
      <c r="AL208" s="31"/>
      <c r="AM208" s="31"/>
      <c r="AN208" s="31"/>
      <c r="AO208" s="31">
        <v>0</v>
      </c>
      <c r="AP208" s="31"/>
      <c r="AQ208" s="31"/>
      <c r="AR208" s="31">
        <v>0</v>
      </c>
      <c r="AS208" s="31">
        <v>0</v>
      </c>
      <c r="AT208" s="31">
        <v>0</v>
      </c>
      <c r="AU208" s="31">
        <v>0</v>
      </c>
      <c r="AV208" s="31">
        <v>0</v>
      </c>
      <c r="AW208" s="31">
        <v>0</v>
      </c>
      <c r="AX208" s="31">
        <v>0</v>
      </c>
      <c r="AY208" s="31">
        <v>0</v>
      </c>
      <c r="AZ208" s="31">
        <v>0</v>
      </c>
      <c r="BA208" s="31">
        <v>0</v>
      </c>
      <c r="BB208" s="31">
        <v>0</v>
      </c>
      <c r="BC208" s="31">
        <v>0</v>
      </c>
      <c r="BD208" s="31">
        <v>0</v>
      </c>
      <c r="BE208" s="31">
        <v>0</v>
      </c>
      <c r="BF208" s="31">
        <v>0</v>
      </c>
      <c r="BG208" s="31">
        <v>0</v>
      </c>
      <c r="BH208" s="31">
        <v>0</v>
      </c>
      <c r="BI208" s="31">
        <v>0</v>
      </c>
      <c r="BJ208" s="32">
        <f t="shared" si="43"/>
        <v>0</v>
      </c>
      <c r="BK208" s="41">
        <f>BJ208+AM208+AL208+'11-2025'!$N208+AN208+AO208</f>
        <v>3000</v>
      </c>
      <c r="BL208" s="34">
        <f>'11-2025'!$O208</f>
        <v>0</v>
      </c>
      <c r="BM208" s="34">
        <f t="shared" si="44"/>
        <v>0</v>
      </c>
      <c r="BN208" s="34">
        <f t="shared" si="45"/>
        <v>0</v>
      </c>
      <c r="BO208" s="34">
        <f t="shared" si="46"/>
        <v>1666.6666666666667</v>
      </c>
      <c r="BP208" s="35">
        <f t="shared" si="47"/>
        <v>1333.3333333333333</v>
      </c>
      <c r="BQ208" s="34">
        <f>IFERROR(BP208/'11-2025'!$J208,0)*12</f>
        <v>16000</v>
      </c>
      <c r="BR208" s="34">
        <f>IF(BQ208&lt;=40000,0,
IF(BQ208&lt;=55000,(BQ208-40000)*10%,
IF(BQ208&lt;=70000,(BQ208-55000)*15%+1500,
IF(BQ208&lt;=200000,(BQ208-70000)*20%+1500+2250,
IF(BQ208&lt;=400000,(BQ208-200000)*22.5%+1500+2250+26000,
IF(BQ208&lt;=600000,(BQ208-400000)*25%+1500+2250+26000+45000,
IF(AND(BQ208&gt;600000,BQ208&lt;=1200000),(BQ208-400000)*25%+1500+2250+26000+45000
+IFERROR(LOOKUP(BQ208,{600001;700001;800001;900001},{4000;6750;10250;15250}),0),IF(BQ208&gt;1200000,((BQ208-1200000)*27.5%)+300000,0)
)))))))</f>
        <v>0</v>
      </c>
      <c r="BS208" s="32">
        <f>(BR208/12*'11-2025'!$J208)</f>
        <v>0</v>
      </c>
      <c r="BT208" s="33">
        <f>BS208-'11-2025'!$V208</f>
        <v>0</v>
      </c>
      <c r="BU208" s="32">
        <f>IFERROR(+'11-2025'!$W208+AL208+AM208+BJ208-'11-2025'!$AJ208-BT208+AN208+AO208,"")-AL208+AP208+AQ208</f>
        <v>1300</v>
      </c>
      <c r="BV208" s="36"/>
      <c r="BW208" s="37"/>
      <c r="BX208" s="37">
        <f t="shared" si="48"/>
        <v>1300</v>
      </c>
      <c r="BY208" s="37"/>
    </row>
    <row r="209" spans="1:77" x14ac:dyDescent="0.25">
      <c r="A209" s="43">
        <v>805</v>
      </c>
      <c r="B209" s="22" t="s">
        <v>336</v>
      </c>
      <c r="C209" s="22" t="s">
        <v>71</v>
      </c>
      <c r="D209" s="22" t="s">
        <v>72</v>
      </c>
      <c r="E209" s="22" t="s">
        <v>99</v>
      </c>
      <c r="F209" s="22" t="s">
        <v>102</v>
      </c>
      <c r="G209" s="23">
        <v>45969</v>
      </c>
      <c r="H209" s="22"/>
      <c r="I209" s="24" t="s">
        <v>269</v>
      </c>
      <c r="J209" s="25">
        <v>1</v>
      </c>
      <c r="K209" s="25">
        <v>4000</v>
      </c>
      <c r="L209" s="25"/>
      <c r="M209" s="26"/>
      <c r="N209" s="25">
        <f>SUM('11-2025'!$K209:$M209)</f>
        <v>4000</v>
      </c>
      <c r="O209" s="25"/>
      <c r="P209" s="25">
        <f t="shared" si="37"/>
        <v>0</v>
      </c>
      <c r="Q209" s="25">
        <f t="shared" si="38"/>
        <v>0</v>
      </c>
      <c r="R209" s="25">
        <v>1666.6666666666667</v>
      </c>
      <c r="S209" s="27">
        <f t="shared" si="39"/>
        <v>2333.333333333333</v>
      </c>
      <c r="T209" s="25">
        <f t="shared" si="40"/>
        <v>27999.999999999996</v>
      </c>
      <c r="U209" s="25">
        <f>IF(T209&lt;=40000,0,
IF(T209&lt;=55000,(T209-40000)*10%,
IF(T209&lt;=70000,(T209-55000)*15%+1500,
IF(T209&lt;=200000,(T209-70000)*20%+1500+2250,
IF(T209&lt;=400000,(T209-200000)*22.5%+1500+2250+26000,
IF(T209&lt;=600000,(T209-400000)*25%+1500+2250+26000+45000,
IF(AND(T209&gt;600000,T209&lt;=1200000),(T209-400000)*25%+1500+2250+26000+45000
+IFERROR(LOOKUP(T209,{600001;700001;800001;900001},{4000;6750;10250;15250}),0),IF(T209&gt;1200000,((T209-1200000)*27.5%)+300000,0)
)))))))</f>
        <v>0</v>
      </c>
      <c r="V209" s="25">
        <f t="shared" si="41"/>
        <v>0</v>
      </c>
      <c r="W209" s="28">
        <f>+'11-2025'!$S209-'11-2025'!$V209+'11-2025'!$R209</f>
        <v>4000</v>
      </c>
      <c r="X209" s="28">
        <f t="shared" si="42"/>
        <v>133.33333333333334</v>
      </c>
      <c r="Y209" s="29">
        <v>0</v>
      </c>
      <c r="Z209" s="29">
        <f>IFERROR(+'11-2025'!$X209*'11-2025'!$Y209,"")</f>
        <v>0</v>
      </c>
      <c r="AA209" s="29">
        <v>0</v>
      </c>
      <c r="AB209" s="29">
        <f>IFERROR(+'11-2025'!$X209*'11-2025'!$AA209,"")</f>
        <v>0</v>
      </c>
      <c r="AC209" s="29">
        <v>16</v>
      </c>
      <c r="AD209" s="29">
        <f>IFERROR(+'11-2025'!$X209*'11-2025'!$AC209,"")</f>
        <v>2133.3333333333335</v>
      </c>
      <c r="AE209" s="29">
        <v>0</v>
      </c>
      <c r="AF209" s="29">
        <f>IFERROR(+'11-2025'!$X209*'11-2025'!$AE209,"")</f>
        <v>0</v>
      </c>
      <c r="AG209" s="29">
        <v>2.25</v>
      </c>
      <c r="AH209" s="29">
        <f>IFERROR(+'11-2025'!$X209*'11-2025'!$AG209,"")</f>
        <v>300</v>
      </c>
      <c r="AI209" s="29">
        <v>0</v>
      </c>
      <c r="AJ209" s="29">
        <f>IFERROR('11-2025'!$Z209+'11-2025'!$AB209+'11-2025'!$AD209+'11-2025'!$AF209+'11-2025'!$AH209+'11-2025'!$AI209,"")</f>
        <v>2433.3333333333335</v>
      </c>
      <c r="AK209" s="30">
        <f>IFERROR('11-2025'!$W209-'11-2025'!$AJ209,"")</f>
        <v>1566.6666666666665</v>
      </c>
      <c r="AL209" s="31"/>
      <c r="AM209" s="31"/>
      <c r="AN209" s="31"/>
      <c r="AO209" s="31">
        <v>0</v>
      </c>
      <c r="AP209" s="31"/>
      <c r="AQ209" s="31"/>
      <c r="AR209" s="31">
        <v>0</v>
      </c>
      <c r="AS209" s="31">
        <v>0</v>
      </c>
      <c r="AT209" s="31">
        <v>0</v>
      </c>
      <c r="AU209" s="31">
        <v>0</v>
      </c>
      <c r="AV209" s="31">
        <v>0</v>
      </c>
      <c r="AW209" s="31">
        <v>0</v>
      </c>
      <c r="AX209" s="31">
        <v>0</v>
      </c>
      <c r="AY209" s="31">
        <v>0</v>
      </c>
      <c r="AZ209" s="31">
        <v>0</v>
      </c>
      <c r="BA209" s="31">
        <v>0</v>
      </c>
      <c r="BB209" s="31">
        <v>0</v>
      </c>
      <c r="BC209" s="31">
        <v>0</v>
      </c>
      <c r="BD209" s="31">
        <v>0</v>
      </c>
      <c r="BE209" s="31">
        <v>0</v>
      </c>
      <c r="BF209" s="31">
        <v>0</v>
      </c>
      <c r="BG209" s="31">
        <v>0</v>
      </c>
      <c r="BH209" s="31">
        <v>0</v>
      </c>
      <c r="BI209" s="31">
        <v>0</v>
      </c>
      <c r="BJ209" s="32">
        <f t="shared" si="43"/>
        <v>0</v>
      </c>
      <c r="BK209" s="41">
        <f>BJ209+AM209+AL209+'11-2025'!$N209+AN209+AO209</f>
        <v>4000</v>
      </c>
      <c r="BL209" s="34">
        <f>'11-2025'!$O209</f>
        <v>0</v>
      </c>
      <c r="BM209" s="34">
        <f t="shared" si="44"/>
        <v>0</v>
      </c>
      <c r="BN209" s="34">
        <f t="shared" si="45"/>
        <v>0</v>
      </c>
      <c r="BO209" s="34">
        <f t="shared" si="46"/>
        <v>1666.6666666666667</v>
      </c>
      <c r="BP209" s="35">
        <f t="shared" si="47"/>
        <v>2333.333333333333</v>
      </c>
      <c r="BQ209" s="34">
        <f>IFERROR(BP209/'11-2025'!$J209,0)*12</f>
        <v>27999.999999999996</v>
      </c>
      <c r="BR209" s="34">
        <f>IF(BQ209&lt;=40000,0,
IF(BQ209&lt;=55000,(BQ209-40000)*10%,
IF(BQ209&lt;=70000,(BQ209-55000)*15%+1500,
IF(BQ209&lt;=200000,(BQ209-70000)*20%+1500+2250,
IF(BQ209&lt;=400000,(BQ209-200000)*22.5%+1500+2250+26000,
IF(BQ209&lt;=600000,(BQ209-400000)*25%+1500+2250+26000+45000,
IF(AND(BQ209&gt;600000,BQ209&lt;=1200000),(BQ209-400000)*25%+1500+2250+26000+45000
+IFERROR(LOOKUP(BQ209,{600001;700001;800001;900001},{4000;6750;10250;15250}),0),IF(BQ209&gt;1200000,((BQ209-1200000)*27.5%)+300000,0)
)))))))</f>
        <v>0</v>
      </c>
      <c r="BS209" s="32">
        <f>(BR209/12*'11-2025'!$J209)</f>
        <v>0</v>
      </c>
      <c r="BT209" s="33">
        <f>BS209-'11-2025'!$V209</f>
        <v>0</v>
      </c>
      <c r="BU209" s="32">
        <f>IFERROR(+'11-2025'!$W209+AL209+AM209+BJ209-'11-2025'!$AJ209-BT209+AN209+AO209,"")-AL209+AP209+AQ209</f>
        <v>1566.6666666666665</v>
      </c>
      <c r="BV209" s="36"/>
      <c r="BW209" s="37"/>
      <c r="BX209" s="37">
        <f t="shared" si="48"/>
        <v>1566.6666666666665</v>
      </c>
      <c r="BY209" s="37"/>
    </row>
    <row r="210" spans="1:77" x14ac:dyDescent="0.25">
      <c r="A210" s="43">
        <v>806</v>
      </c>
      <c r="B210" s="22" t="s">
        <v>337</v>
      </c>
      <c r="C210" s="22" t="s">
        <v>81</v>
      </c>
      <c r="D210" s="22" t="s">
        <v>72</v>
      </c>
      <c r="E210" s="22">
        <v>0</v>
      </c>
      <c r="F210" s="22" t="s">
        <v>83</v>
      </c>
      <c r="G210" s="23">
        <v>45971</v>
      </c>
      <c r="H210" s="22"/>
      <c r="I210" s="24" t="s">
        <v>269</v>
      </c>
      <c r="J210" s="25">
        <v>1</v>
      </c>
      <c r="K210" s="25">
        <v>10000</v>
      </c>
      <c r="L210" s="25"/>
      <c r="M210" s="26"/>
      <c r="N210" s="25">
        <f>SUM('11-2025'!$K210:$M210)</f>
        <v>10000</v>
      </c>
      <c r="O210" s="25"/>
      <c r="P210" s="25">
        <f t="shared" si="37"/>
        <v>0</v>
      </c>
      <c r="Q210" s="25">
        <f t="shared" si="38"/>
        <v>0</v>
      </c>
      <c r="R210" s="25">
        <v>1666.6666666666667</v>
      </c>
      <c r="S210" s="27">
        <f t="shared" si="39"/>
        <v>8333.3333333333339</v>
      </c>
      <c r="T210" s="25">
        <f t="shared" si="40"/>
        <v>100000</v>
      </c>
      <c r="U210" s="25">
        <f>IF(T210&lt;=40000,0,
IF(T210&lt;=55000,(T210-40000)*10%,
IF(T210&lt;=70000,(T210-55000)*15%+1500,
IF(T210&lt;=200000,(T210-70000)*20%+1500+2250,
IF(T210&lt;=400000,(T210-200000)*22.5%+1500+2250+26000,
IF(T210&lt;=600000,(T210-400000)*25%+1500+2250+26000+45000,
IF(AND(T210&gt;600000,T210&lt;=1200000),(T210-400000)*25%+1500+2250+26000+45000
+IFERROR(LOOKUP(T210,{600001;700001;800001;900001},{4000;6750;10250;15250}),0),IF(T210&gt;1200000,((T210-1200000)*27.5%)+300000,0)
)))))))</f>
        <v>9750</v>
      </c>
      <c r="V210" s="25">
        <f t="shared" si="41"/>
        <v>812.5</v>
      </c>
      <c r="W210" s="28">
        <f>+'11-2025'!$S210-'11-2025'!$V210+'11-2025'!$R210</f>
        <v>9187.5</v>
      </c>
      <c r="X210" s="28">
        <f t="shared" si="42"/>
        <v>306.25</v>
      </c>
      <c r="Y210" s="29">
        <v>0</v>
      </c>
      <c r="Z210" s="29">
        <f>IFERROR(+'11-2025'!$X210*'11-2025'!$Y210,"")</f>
        <v>0</v>
      </c>
      <c r="AA210" s="29">
        <v>0</v>
      </c>
      <c r="AB210" s="29">
        <f>IFERROR(+'11-2025'!$X210*'11-2025'!$AA210,"")</f>
        <v>0</v>
      </c>
      <c r="AC210" s="29">
        <v>17</v>
      </c>
      <c r="AD210" s="29">
        <f>IFERROR(+'11-2025'!$X210*'11-2025'!$AC210,"")</f>
        <v>5206.25</v>
      </c>
      <c r="AE210" s="29">
        <v>0</v>
      </c>
      <c r="AF210" s="29">
        <f>IFERROR(+'11-2025'!$X210*'11-2025'!$AE210,"")</f>
        <v>0</v>
      </c>
      <c r="AG210" s="29">
        <v>1</v>
      </c>
      <c r="AH210" s="29">
        <f>IFERROR(+'11-2025'!$X210*'11-2025'!$AG210,"")</f>
        <v>306.25</v>
      </c>
      <c r="AI210" s="29">
        <v>0</v>
      </c>
      <c r="AJ210" s="29">
        <f>IFERROR('11-2025'!$Z210+'11-2025'!$AB210+'11-2025'!$AD210+'11-2025'!$AF210+'11-2025'!$AH210+'11-2025'!$AI210,"")</f>
        <v>5512.5</v>
      </c>
      <c r="AK210" s="30">
        <f>IFERROR('11-2025'!$W210-'11-2025'!$AJ210,"")</f>
        <v>3675</v>
      </c>
      <c r="AL210" s="31"/>
      <c r="AM210" s="31"/>
      <c r="AN210" s="31"/>
      <c r="AO210" s="31">
        <v>280</v>
      </c>
      <c r="AP210" s="31"/>
      <c r="AQ210" s="31"/>
      <c r="AR210" s="31">
        <v>0</v>
      </c>
      <c r="AS210" s="31">
        <v>0</v>
      </c>
      <c r="AT210" s="31">
        <v>0</v>
      </c>
      <c r="AU210" s="31">
        <v>0</v>
      </c>
      <c r="AV210" s="31">
        <v>0</v>
      </c>
      <c r="AW210" s="31">
        <v>0</v>
      </c>
      <c r="AX210" s="31">
        <v>0</v>
      </c>
      <c r="AY210" s="31">
        <v>0</v>
      </c>
      <c r="AZ210" s="31">
        <v>0</v>
      </c>
      <c r="BA210" s="31">
        <v>0</v>
      </c>
      <c r="BB210" s="31">
        <v>0</v>
      </c>
      <c r="BC210" s="31">
        <v>0</v>
      </c>
      <c r="BD210" s="31">
        <v>0</v>
      </c>
      <c r="BE210" s="31">
        <v>0</v>
      </c>
      <c r="BF210" s="31">
        <v>0</v>
      </c>
      <c r="BG210" s="31">
        <v>0</v>
      </c>
      <c r="BH210" s="31">
        <v>0</v>
      </c>
      <c r="BI210" s="31">
        <v>0</v>
      </c>
      <c r="BJ210" s="32">
        <f t="shared" si="43"/>
        <v>0</v>
      </c>
      <c r="BK210" s="41">
        <f>BJ210+AM210+AL210+'11-2025'!$N210+AN210+AO210</f>
        <v>10280</v>
      </c>
      <c r="BL210" s="34">
        <f>'11-2025'!$O210</f>
        <v>0</v>
      </c>
      <c r="BM210" s="34">
        <f t="shared" si="44"/>
        <v>0</v>
      </c>
      <c r="BN210" s="34">
        <f t="shared" si="45"/>
        <v>0</v>
      </c>
      <c r="BO210" s="34">
        <f t="shared" si="46"/>
        <v>1666.6666666666667</v>
      </c>
      <c r="BP210" s="35">
        <f t="shared" si="47"/>
        <v>8613.3333333333339</v>
      </c>
      <c r="BQ210" s="34">
        <f>IFERROR(BP210/'11-2025'!$J210,0)*12</f>
        <v>103360</v>
      </c>
      <c r="BR210" s="34">
        <f>IF(BQ210&lt;=40000,0,
IF(BQ210&lt;=55000,(BQ210-40000)*10%,
IF(BQ210&lt;=70000,(BQ210-55000)*15%+1500,
IF(BQ210&lt;=200000,(BQ210-70000)*20%+1500+2250,
IF(BQ210&lt;=400000,(BQ210-200000)*22.5%+1500+2250+26000,
IF(BQ210&lt;=600000,(BQ210-400000)*25%+1500+2250+26000+45000,
IF(AND(BQ210&gt;600000,BQ210&lt;=1200000),(BQ210-400000)*25%+1500+2250+26000+45000
+IFERROR(LOOKUP(BQ210,{600001;700001;800001;900001},{4000;6750;10250;15250}),0),IF(BQ210&gt;1200000,((BQ210-1200000)*27.5%)+300000,0)
)))))))</f>
        <v>10422</v>
      </c>
      <c r="BS210" s="32">
        <f>(BR210/12*'11-2025'!$J210)</f>
        <v>868.5</v>
      </c>
      <c r="BT210" s="33">
        <f>BS210-'11-2025'!$V210</f>
        <v>56</v>
      </c>
      <c r="BU210" s="32">
        <f>IFERROR(+'11-2025'!$W210+AL210+AM210+BJ210-'11-2025'!$AJ210-BT210+AN210+AO210,"")-AL210+AP210+AQ210</f>
        <v>3899</v>
      </c>
      <c r="BV210" s="36"/>
      <c r="BW210" s="37"/>
      <c r="BX210" s="37">
        <f t="shared" si="48"/>
        <v>3899</v>
      </c>
      <c r="BY210" s="37"/>
    </row>
    <row r="211" spans="1:77" x14ac:dyDescent="0.25">
      <c r="A211" s="43">
        <v>807</v>
      </c>
      <c r="B211" s="22" t="s">
        <v>338</v>
      </c>
      <c r="C211" s="22" t="s">
        <v>106</v>
      </c>
      <c r="D211" s="22" t="s">
        <v>72</v>
      </c>
      <c r="E211" s="22">
        <v>0</v>
      </c>
      <c r="F211" s="22" t="s">
        <v>86</v>
      </c>
      <c r="G211" s="23">
        <v>45977</v>
      </c>
      <c r="H211" s="22"/>
      <c r="I211" s="24" t="s">
        <v>269</v>
      </c>
      <c r="J211" s="25">
        <v>1</v>
      </c>
      <c r="K211" s="25">
        <v>4500</v>
      </c>
      <c r="L211" s="25"/>
      <c r="M211" s="26"/>
      <c r="N211" s="25">
        <f>SUM('11-2025'!$K211:$M211)</f>
        <v>4500</v>
      </c>
      <c r="O211" s="25"/>
      <c r="P211" s="25">
        <f t="shared" si="37"/>
        <v>0</v>
      </c>
      <c r="Q211" s="25">
        <f t="shared" si="38"/>
        <v>0</v>
      </c>
      <c r="R211" s="25">
        <v>1666.6666666666667</v>
      </c>
      <c r="S211" s="27">
        <f t="shared" si="39"/>
        <v>2833.333333333333</v>
      </c>
      <c r="T211" s="25">
        <f t="shared" si="40"/>
        <v>34000</v>
      </c>
      <c r="U211" s="25">
        <f>IF(T211&lt;=40000,0,
IF(T211&lt;=55000,(T211-40000)*10%,
IF(T211&lt;=70000,(T211-55000)*15%+1500,
IF(T211&lt;=200000,(T211-70000)*20%+1500+2250,
IF(T211&lt;=400000,(T211-200000)*22.5%+1500+2250+26000,
IF(T211&lt;=600000,(T211-400000)*25%+1500+2250+26000+45000,
IF(AND(T211&gt;600000,T211&lt;=1200000),(T211-400000)*25%+1500+2250+26000+45000
+IFERROR(LOOKUP(T211,{600001;700001;800001;900001},{4000;6750;10250;15250}),0),IF(T211&gt;1200000,((T211-1200000)*27.5%)+300000,0)
)))))))</f>
        <v>0</v>
      </c>
      <c r="V211" s="25">
        <f t="shared" si="41"/>
        <v>0</v>
      </c>
      <c r="W211" s="28">
        <f>+'11-2025'!$S211-'11-2025'!$V211+'11-2025'!$R211</f>
        <v>4500</v>
      </c>
      <c r="X211" s="28">
        <f t="shared" si="42"/>
        <v>150</v>
      </c>
      <c r="Y211" s="29">
        <v>0</v>
      </c>
      <c r="Z211" s="29">
        <f>IFERROR(+'11-2025'!$X211*'11-2025'!$Y211,"")</f>
        <v>0</v>
      </c>
      <c r="AA211" s="29">
        <v>0</v>
      </c>
      <c r="AB211" s="29">
        <f>IFERROR(+'11-2025'!$X211*'11-2025'!$AA211,"")</f>
        <v>0</v>
      </c>
      <c r="AC211" s="29">
        <v>0</v>
      </c>
      <c r="AD211" s="29">
        <f>IFERROR(+'11-2025'!$X211*'11-2025'!$AC211,"")</f>
        <v>0</v>
      </c>
      <c r="AE211" s="29">
        <v>0</v>
      </c>
      <c r="AF211" s="29">
        <f>IFERROR(+'11-2025'!$X211*'11-2025'!$AE211,"")</f>
        <v>0</v>
      </c>
      <c r="AG211" s="29">
        <v>0</v>
      </c>
      <c r="AH211" s="29">
        <f>IFERROR(+'11-2025'!$X211*'11-2025'!$AG211,"")</f>
        <v>0</v>
      </c>
      <c r="AI211" s="29">
        <v>0</v>
      </c>
      <c r="AJ211" s="29">
        <f>IFERROR('11-2025'!$Z211+'11-2025'!$AB211+'11-2025'!$AD211+'11-2025'!$AF211+'11-2025'!$AH211+'11-2025'!$AI211,"")</f>
        <v>0</v>
      </c>
      <c r="AK211" s="30">
        <f>IFERROR('11-2025'!$W211-'11-2025'!$AJ211,"")</f>
        <v>4500</v>
      </c>
      <c r="AL211" s="31"/>
      <c r="AM211" s="31"/>
      <c r="AN211" s="31"/>
      <c r="AO211" s="31">
        <v>0</v>
      </c>
      <c r="AP211" s="31"/>
      <c r="AQ211" s="31"/>
      <c r="AR211" s="31">
        <v>0</v>
      </c>
      <c r="AS211" s="31">
        <v>0</v>
      </c>
      <c r="AT211" s="31">
        <v>0</v>
      </c>
      <c r="AU211" s="31">
        <v>0</v>
      </c>
      <c r="AV211" s="31">
        <v>0</v>
      </c>
      <c r="AW211" s="31">
        <v>0</v>
      </c>
      <c r="AX211" s="31">
        <v>0</v>
      </c>
      <c r="AY211" s="31">
        <v>0</v>
      </c>
      <c r="AZ211" s="31">
        <v>0</v>
      </c>
      <c r="BA211" s="31">
        <v>0</v>
      </c>
      <c r="BB211" s="31">
        <v>0</v>
      </c>
      <c r="BC211" s="31">
        <v>0</v>
      </c>
      <c r="BD211" s="31">
        <v>0</v>
      </c>
      <c r="BE211" s="31">
        <v>0</v>
      </c>
      <c r="BF211" s="31">
        <v>0</v>
      </c>
      <c r="BG211" s="31">
        <v>0</v>
      </c>
      <c r="BH211" s="31">
        <v>0</v>
      </c>
      <c r="BI211" s="31">
        <v>0</v>
      </c>
      <c r="BJ211" s="32">
        <f t="shared" si="43"/>
        <v>0</v>
      </c>
      <c r="BK211" s="41">
        <f>BJ211+AM211+AL211+'11-2025'!$N211+AN211+AO211</f>
        <v>4500</v>
      </c>
      <c r="BL211" s="34">
        <f>'11-2025'!$O211</f>
        <v>0</v>
      </c>
      <c r="BM211" s="34">
        <f t="shared" si="44"/>
        <v>0</v>
      </c>
      <c r="BN211" s="34">
        <f t="shared" si="45"/>
        <v>0</v>
      </c>
      <c r="BO211" s="34">
        <f t="shared" si="46"/>
        <v>1666.6666666666667</v>
      </c>
      <c r="BP211" s="35">
        <f t="shared" si="47"/>
        <v>2833.333333333333</v>
      </c>
      <c r="BQ211" s="34">
        <f>IFERROR(BP211/'11-2025'!$J211,0)*12</f>
        <v>34000</v>
      </c>
      <c r="BR211" s="34">
        <f>IF(BQ211&lt;=40000,0,
IF(BQ211&lt;=55000,(BQ211-40000)*10%,
IF(BQ211&lt;=70000,(BQ211-55000)*15%+1500,
IF(BQ211&lt;=200000,(BQ211-70000)*20%+1500+2250,
IF(BQ211&lt;=400000,(BQ211-200000)*22.5%+1500+2250+26000,
IF(BQ211&lt;=600000,(BQ211-400000)*25%+1500+2250+26000+45000,
IF(AND(BQ211&gt;600000,BQ211&lt;=1200000),(BQ211-400000)*25%+1500+2250+26000+45000
+IFERROR(LOOKUP(BQ211,{600001;700001;800001;900001},{4000;6750;10250;15250}),0),IF(BQ211&gt;1200000,((BQ211-1200000)*27.5%)+300000,0)
)))))))</f>
        <v>0</v>
      </c>
      <c r="BS211" s="32">
        <f>(BR211/12*'11-2025'!$J211)</f>
        <v>0</v>
      </c>
      <c r="BT211" s="33">
        <f>BS211-'11-2025'!$V211</f>
        <v>0</v>
      </c>
      <c r="BU211" s="32">
        <f>IFERROR(+'11-2025'!$W211+AL211+AM211+BJ211-'11-2025'!$AJ211-BT211+AN211+AO211,"")-AL211+AP211+AQ211</f>
        <v>4500</v>
      </c>
      <c r="BV211" s="36"/>
      <c r="BW211" s="37"/>
      <c r="BX211" s="37">
        <f t="shared" si="48"/>
        <v>4500</v>
      </c>
      <c r="BY211" s="37"/>
    </row>
    <row r="212" spans="1:77" x14ac:dyDescent="0.25">
      <c r="A212" s="43">
        <v>808</v>
      </c>
      <c r="B212" s="22" t="s">
        <v>339</v>
      </c>
      <c r="C212" s="22" t="s">
        <v>106</v>
      </c>
      <c r="D212" s="22" t="s">
        <v>72</v>
      </c>
      <c r="E212" s="22">
        <v>0</v>
      </c>
      <c r="F212" s="22" t="s">
        <v>89</v>
      </c>
      <c r="G212" s="23">
        <v>45977</v>
      </c>
      <c r="H212" s="22"/>
      <c r="I212" s="24" t="s">
        <v>269</v>
      </c>
      <c r="J212" s="25">
        <v>1</v>
      </c>
      <c r="K212" s="25">
        <v>7000</v>
      </c>
      <c r="L212" s="25"/>
      <c r="M212" s="26"/>
      <c r="N212" s="25">
        <f>SUM('11-2025'!$K212:$M212)</f>
        <v>7000</v>
      </c>
      <c r="O212" s="25"/>
      <c r="P212" s="25">
        <f t="shared" si="37"/>
        <v>0</v>
      </c>
      <c r="Q212" s="25">
        <f t="shared" si="38"/>
        <v>0</v>
      </c>
      <c r="R212" s="25">
        <v>1666.6666666666667</v>
      </c>
      <c r="S212" s="27">
        <f t="shared" si="39"/>
        <v>5333.333333333333</v>
      </c>
      <c r="T212" s="25">
        <f t="shared" si="40"/>
        <v>64000</v>
      </c>
      <c r="U212" s="25">
        <f>IF(T212&lt;=40000,0,
IF(T212&lt;=55000,(T212-40000)*10%,
IF(T212&lt;=70000,(T212-55000)*15%+1500,
IF(T212&lt;=200000,(T212-70000)*20%+1500+2250,
IF(T212&lt;=400000,(T212-200000)*22.5%+1500+2250+26000,
IF(T212&lt;=600000,(T212-400000)*25%+1500+2250+26000+45000,
IF(AND(T212&gt;600000,T212&lt;=1200000),(T212-400000)*25%+1500+2250+26000+45000
+IFERROR(LOOKUP(T212,{600001;700001;800001;900001},{4000;6750;10250;15250}),0),IF(T212&gt;1200000,((T212-1200000)*27.5%)+300000,0)
)))))))</f>
        <v>2850</v>
      </c>
      <c r="V212" s="25">
        <f t="shared" si="41"/>
        <v>237.5</v>
      </c>
      <c r="W212" s="28">
        <f>+'11-2025'!$S212-'11-2025'!$V212+'11-2025'!$R212</f>
        <v>6762.5</v>
      </c>
      <c r="X212" s="28">
        <f t="shared" si="42"/>
        <v>225.41666666666666</v>
      </c>
      <c r="Y212" s="29">
        <v>0</v>
      </c>
      <c r="Z212" s="29">
        <f>IFERROR(+'11-2025'!$X212*'11-2025'!$Y212,"")</f>
        <v>0</v>
      </c>
      <c r="AA212" s="29">
        <v>0</v>
      </c>
      <c r="AB212" s="29">
        <f>IFERROR(+'11-2025'!$X212*'11-2025'!$AA212,"")</f>
        <v>0</v>
      </c>
      <c r="AC212" s="29">
        <v>23</v>
      </c>
      <c r="AD212" s="29">
        <f>IFERROR(+'11-2025'!$X212*'11-2025'!$AC212,"")</f>
        <v>5184.583333333333</v>
      </c>
      <c r="AE212" s="29">
        <v>0</v>
      </c>
      <c r="AF212" s="29">
        <f>IFERROR(+'11-2025'!$X212*'11-2025'!$AE212,"")</f>
        <v>0</v>
      </c>
      <c r="AG212" s="29">
        <v>2</v>
      </c>
      <c r="AH212" s="29">
        <f>IFERROR(+'11-2025'!$X212*'11-2025'!$AG212,"")</f>
        <v>450.83333333333331</v>
      </c>
      <c r="AI212" s="29">
        <v>0</v>
      </c>
      <c r="AJ212" s="29">
        <f>IFERROR('11-2025'!$Z212+'11-2025'!$AB212+'11-2025'!$AD212+'11-2025'!$AF212+'11-2025'!$AH212+'11-2025'!$AI212,"")</f>
        <v>5635.4166666666661</v>
      </c>
      <c r="AK212" s="30">
        <f>IFERROR('11-2025'!$W212-'11-2025'!$AJ212,"")</f>
        <v>1127.0833333333339</v>
      </c>
      <c r="AL212" s="31"/>
      <c r="AM212" s="31"/>
      <c r="AN212" s="31"/>
      <c r="AO212" s="31">
        <v>40</v>
      </c>
      <c r="AP212" s="31"/>
      <c r="AQ212" s="31"/>
      <c r="AR212" s="31">
        <v>0</v>
      </c>
      <c r="AS212" s="31">
        <v>0</v>
      </c>
      <c r="AT212" s="31">
        <v>0</v>
      </c>
      <c r="AU212" s="31">
        <v>0</v>
      </c>
      <c r="AV212" s="31">
        <v>0</v>
      </c>
      <c r="AW212" s="31">
        <v>0</v>
      </c>
      <c r="AX212" s="31">
        <v>0</v>
      </c>
      <c r="AY212" s="31">
        <v>0</v>
      </c>
      <c r="AZ212" s="31">
        <v>0</v>
      </c>
      <c r="BA212" s="31">
        <v>0</v>
      </c>
      <c r="BB212" s="31">
        <v>0</v>
      </c>
      <c r="BC212" s="31">
        <v>0</v>
      </c>
      <c r="BD212" s="31">
        <v>0</v>
      </c>
      <c r="BE212" s="31">
        <v>0</v>
      </c>
      <c r="BF212" s="31">
        <v>0</v>
      </c>
      <c r="BG212" s="31">
        <v>0</v>
      </c>
      <c r="BH212" s="31">
        <v>0</v>
      </c>
      <c r="BI212" s="31">
        <v>0</v>
      </c>
      <c r="BJ212" s="32">
        <f t="shared" si="43"/>
        <v>0</v>
      </c>
      <c r="BK212" s="41">
        <f>BJ212+AM212+AL212+'11-2025'!$N212+AN212+AO212</f>
        <v>7040</v>
      </c>
      <c r="BL212" s="34">
        <f>'11-2025'!$O212</f>
        <v>0</v>
      </c>
      <c r="BM212" s="34">
        <f t="shared" si="44"/>
        <v>0</v>
      </c>
      <c r="BN212" s="34">
        <f t="shared" si="45"/>
        <v>0</v>
      </c>
      <c r="BO212" s="34">
        <f t="shared" si="46"/>
        <v>1666.6666666666667</v>
      </c>
      <c r="BP212" s="35">
        <f t="shared" si="47"/>
        <v>5373.333333333333</v>
      </c>
      <c r="BQ212" s="34">
        <f>IFERROR(BP212/'11-2025'!$J212,0)*12</f>
        <v>64480</v>
      </c>
      <c r="BR212" s="34">
        <f>IF(BQ212&lt;=40000,0,
IF(BQ212&lt;=55000,(BQ212-40000)*10%,
IF(BQ212&lt;=70000,(BQ212-55000)*15%+1500,
IF(BQ212&lt;=200000,(BQ212-70000)*20%+1500+2250,
IF(BQ212&lt;=400000,(BQ212-200000)*22.5%+1500+2250+26000,
IF(BQ212&lt;=600000,(BQ212-400000)*25%+1500+2250+26000+45000,
IF(AND(BQ212&gt;600000,BQ212&lt;=1200000),(BQ212-400000)*25%+1500+2250+26000+45000
+IFERROR(LOOKUP(BQ212,{600001;700001;800001;900001},{4000;6750;10250;15250}),0),IF(BQ212&gt;1200000,((BQ212-1200000)*27.5%)+300000,0)
)))))))</f>
        <v>2922</v>
      </c>
      <c r="BS212" s="32">
        <f>(BR212/12*'11-2025'!$J212)</f>
        <v>243.5</v>
      </c>
      <c r="BT212" s="33">
        <f>BS212-'11-2025'!$V212</f>
        <v>6</v>
      </c>
      <c r="BU212" s="32">
        <f>IFERROR(+'11-2025'!$W212+AL212+AM212+BJ212-'11-2025'!$AJ212-BT212+AN212+AO212,"")-AL212+AP212+AQ212</f>
        <v>1161.0833333333339</v>
      </c>
      <c r="BV212" s="36"/>
      <c r="BW212" s="37"/>
      <c r="BX212" s="37">
        <f t="shared" si="48"/>
        <v>1161.0833333333339</v>
      </c>
      <c r="BY212" s="37"/>
    </row>
    <row r="213" spans="1:77" x14ac:dyDescent="0.25">
      <c r="A213" s="43">
        <v>809</v>
      </c>
      <c r="B213" s="22" t="s">
        <v>340</v>
      </c>
      <c r="C213" s="22" t="s">
        <v>81</v>
      </c>
      <c r="D213" s="22" t="s">
        <v>72</v>
      </c>
      <c r="E213" s="22">
        <v>0</v>
      </c>
      <c r="F213" s="22" t="s">
        <v>139</v>
      </c>
      <c r="G213" s="23">
        <v>45978</v>
      </c>
      <c r="H213" s="22"/>
      <c r="I213" s="24" t="s">
        <v>269</v>
      </c>
      <c r="J213" s="25">
        <v>1</v>
      </c>
      <c r="K213" s="25" t="s">
        <v>407</v>
      </c>
      <c r="L213" s="25"/>
      <c r="M213" s="26"/>
      <c r="N213" s="25">
        <f>SUM('11-2025'!$K213:$M213)</f>
        <v>0</v>
      </c>
      <c r="O213" s="25"/>
      <c r="P213" s="25">
        <f t="shared" si="37"/>
        <v>0</v>
      </c>
      <c r="Q213" s="25">
        <f t="shared" si="38"/>
        <v>0</v>
      </c>
      <c r="R213" s="25">
        <v>1666.6666666666667</v>
      </c>
      <c r="S213" s="27">
        <f t="shared" si="39"/>
        <v>0</v>
      </c>
      <c r="T213" s="25">
        <f t="shared" si="40"/>
        <v>0</v>
      </c>
      <c r="U213" s="25">
        <f>IF(T213&lt;=40000,0,
IF(T213&lt;=55000,(T213-40000)*10%,
IF(T213&lt;=70000,(T213-55000)*15%+1500,
IF(T213&lt;=200000,(T213-70000)*20%+1500+2250,
IF(T213&lt;=400000,(T213-200000)*22.5%+1500+2250+26000,
IF(T213&lt;=600000,(T213-400000)*25%+1500+2250+26000+45000,
IF(AND(T213&gt;600000,T213&lt;=1200000),(T213-400000)*25%+1500+2250+26000+45000
+IFERROR(LOOKUP(T213,{600001;700001;800001;900001},{4000;6750;10250;15250}),0),IF(T213&gt;1200000,((T213-1200000)*27.5%)+300000,0)
)))))))</f>
        <v>0</v>
      </c>
      <c r="V213" s="25">
        <f t="shared" si="41"/>
        <v>0</v>
      </c>
      <c r="W213" s="28">
        <v>0</v>
      </c>
      <c r="X213" s="28">
        <f t="shared" si="42"/>
        <v>0</v>
      </c>
      <c r="Y213" s="29">
        <v>0</v>
      </c>
      <c r="Z213" s="29">
        <f>IFERROR(+'11-2025'!$X213*'11-2025'!$Y213,"")</f>
        <v>0</v>
      </c>
      <c r="AA213" s="29">
        <v>0</v>
      </c>
      <c r="AB213" s="29">
        <f>IFERROR(+'11-2025'!$X213*'11-2025'!$AA213,"")</f>
        <v>0</v>
      </c>
      <c r="AC213" s="29">
        <v>30</v>
      </c>
      <c r="AD213" s="29">
        <f>IFERROR(+'11-2025'!$X213*'11-2025'!$AC213,"")</f>
        <v>0</v>
      </c>
      <c r="AE213" s="29">
        <v>0</v>
      </c>
      <c r="AF213" s="29">
        <f>IFERROR(+'11-2025'!$X213*'11-2025'!$AE213,"")</f>
        <v>0</v>
      </c>
      <c r="AG213" s="29">
        <v>0</v>
      </c>
      <c r="AH213" s="29">
        <f>IFERROR(+'11-2025'!$X213*'11-2025'!$AG213,"")</f>
        <v>0</v>
      </c>
      <c r="AI213" s="29">
        <v>0</v>
      </c>
      <c r="AJ213" s="29">
        <f>IFERROR('11-2025'!$Z213+'11-2025'!$AB213+'11-2025'!$AD213+'11-2025'!$AF213+'11-2025'!$AH213+'11-2025'!$AI213,"")</f>
        <v>0</v>
      </c>
      <c r="AK213" s="30">
        <f>IFERROR('11-2025'!$W213-'11-2025'!$AJ213,"")</f>
        <v>0</v>
      </c>
      <c r="AL213" s="31"/>
      <c r="AM213" s="31"/>
      <c r="AN213" s="31"/>
      <c r="AO213" s="31">
        <v>0</v>
      </c>
      <c r="AP213" s="31"/>
      <c r="AQ213" s="31"/>
      <c r="AR213" s="31">
        <v>0</v>
      </c>
      <c r="AS213" s="31">
        <v>0</v>
      </c>
      <c r="AT213" s="31">
        <v>0</v>
      </c>
      <c r="AU213" s="31">
        <v>0</v>
      </c>
      <c r="AV213" s="31">
        <v>0</v>
      </c>
      <c r="AW213" s="31">
        <v>0</v>
      </c>
      <c r="AX213" s="31">
        <v>0</v>
      </c>
      <c r="AY213" s="31">
        <v>0</v>
      </c>
      <c r="AZ213" s="31">
        <v>0</v>
      </c>
      <c r="BA213" s="31">
        <v>0</v>
      </c>
      <c r="BB213" s="31">
        <v>0</v>
      </c>
      <c r="BC213" s="31">
        <v>0</v>
      </c>
      <c r="BD213" s="31">
        <v>0</v>
      </c>
      <c r="BE213" s="31">
        <v>0</v>
      </c>
      <c r="BF213" s="31">
        <v>0</v>
      </c>
      <c r="BG213" s="31">
        <v>0</v>
      </c>
      <c r="BH213" s="31">
        <v>0</v>
      </c>
      <c r="BI213" s="31">
        <v>0</v>
      </c>
      <c r="BJ213" s="32">
        <f t="shared" si="43"/>
        <v>0</v>
      </c>
      <c r="BK213" s="41">
        <f>BJ213+AM213+AL213+'11-2025'!$N213+AN213+AO213</f>
        <v>0</v>
      </c>
      <c r="BL213" s="34">
        <f>'11-2025'!$O213</f>
        <v>0</v>
      </c>
      <c r="BM213" s="34">
        <f t="shared" si="44"/>
        <v>0</v>
      </c>
      <c r="BN213" s="34">
        <f t="shared" si="45"/>
        <v>0</v>
      </c>
      <c r="BO213" s="34">
        <f t="shared" si="46"/>
        <v>1666.6666666666667</v>
      </c>
      <c r="BP213" s="35">
        <f t="shared" si="47"/>
        <v>0</v>
      </c>
      <c r="BQ213" s="34">
        <f>IFERROR(BP213/'11-2025'!$J213,0)*12</f>
        <v>0</v>
      </c>
      <c r="BR213" s="34">
        <f>IF(BQ213&lt;=40000,0,
IF(BQ213&lt;=55000,(BQ213-40000)*10%,
IF(BQ213&lt;=70000,(BQ213-55000)*15%+1500,
IF(BQ213&lt;=200000,(BQ213-70000)*20%+1500+2250,
IF(BQ213&lt;=400000,(BQ213-200000)*22.5%+1500+2250+26000,
IF(BQ213&lt;=600000,(BQ213-400000)*25%+1500+2250+26000+45000,
IF(AND(BQ213&gt;600000,BQ213&lt;=1200000),(BQ213-400000)*25%+1500+2250+26000+45000
+IFERROR(LOOKUP(BQ213,{600001;700001;800001;900001},{4000;6750;10250;15250}),0),IF(BQ213&gt;1200000,((BQ213-1200000)*27.5%)+300000,0)
)))))))</f>
        <v>0</v>
      </c>
      <c r="BS213" s="32">
        <f>(BR213/12*'11-2025'!$J213)</f>
        <v>0</v>
      </c>
      <c r="BT213" s="33">
        <f>BS213-'11-2025'!$V213</f>
        <v>0</v>
      </c>
      <c r="BU213" s="32">
        <f>IFERROR(+'11-2025'!$W213+AL213+AM213+BJ213-'11-2025'!$AJ213-BT213+AN213+AO213,"")-AL213+AP213+AQ213</f>
        <v>0</v>
      </c>
      <c r="BV213" s="36"/>
      <c r="BW213" s="37"/>
      <c r="BX213" s="37">
        <f t="shared" si="48"/>
        <v>0</v>
      </c>
      <c r="BY213" s="37"/>
    </row>
    <row r="214" spans="1:77" x14ac:dyDescent="0.25">
      <c r="A214" s="43">
        <v>810</v>
      </c>
      <c r="B214" s="22" t="s">
        <v>341</v>
      </c>
      <c r="C214" s="22" t="s">
        <v>106</v>
      </c>
      <c r="D214" s="22" t="s">
        <v>72</v>
      </c>
      <c r="E214" s="22">
        <v>0</v>
      </c>
      <c r="F214" s="22" t="s">
        <v>102</v>
      </c>
      <c r="G214" s="23">
        <v>45979</v>
      </c>
      <c r="H214" s="22"/>
      <c r="I214" s="24" t="s">
        <v>269</v>
      </c>
      <c r="J214" s="25">
        <v>1</v>
      </c>
      <c r="K214" s="25">
        <v>4000</v>
      </c>
      <c r="L214" s="25"/>
      <c r="M214" s="26"/>
      <c r="N214" s="25">
        <f>SUM('11-2025'!$K214:$M214)</f>
        <v>4000</v>
      </c>
      <c r="O214" s="25"/>
      <c r="P214" s="25">
        <f t="shared" si="37"/>
        <v>0</v>
      </c>
      <c r="Q214" s="25">
        <f t="shared" si="38"/>
        <v>0</v>
      </c>
      <c r="R214" s="25">
        <v>1666.6666666666667</v>
      </c>
      <c r="S214" s="27">
        <f t="shared" si="39"/>
        <v>2333.333333333333</v>
      </c>
      <c r="T214" s="25">
        <f t="shared" si="40"/>
        <v>27999.999999999996</v>
      </c>
      <c r="U214" s="25">
        <f>IF(T214&lt;=40000,0,
IF(T214&lt;=55000,(T214-40000)*10%,
IF(T214&lt;=70000,(T214-55000)*15%+1500,
IF(T214&lt;=200000,(T214-70000)*20%+1500+2250,
IF(T214&lt;=400000,(T214-200000)*22.5%+1500+2250+26000,
IF(T214&lt;=600000,(T214-400000)*25%+1500+2250+26000+45000,
IF(AND(T214&gt;600000,T214&lt;=1200000),(T214-400000)*25%+1500+2250+26000+45000
+IFERROR(LOOKUP(T214,{600001;700001;800001;900001},{4000;6750;10250;15250}),0),IF(T214&gt;1200000,((T214-1200000)*27.5%)+300000,0)
)))))))</f>
        <v>0</v>
      </c>
      <c r="V214" s="25">
        <f t="shared" si="41"/>
        <v>0</v>
      </c>
      <c r="W214" s="28">
        <f>+'11-2025'!$S214-'11-2025'!$V214+'11-2025'!$R214</f>
        <v>4000</v>
      </c>
      <c r="X214" s="28">
        <f t="shared" si="42"/>
        <v>133.33333333333334</v>
      </c>
      <c r="Y214" s="29">
        <v>0</v>
      </c>
      <c r="Z214" s="29">
        <f>IFERROR(+'11-2025'!$X214*'11-2025'!$Y214,"")</f>
        <v>0</v>
      </c>
      <c r="AA214" s="29">
        <v>0</v>
      </c>
      <c r="AB214" s="29">
        <f>IFERROR(+'11-2025'!$X214*'11-2025'!$AA214,"")</f>
        <v>0</v>
      </c>
      <c r="AC214" s="29">
        <v>25</v>
      </c>
      <c r="AD214" s="29">
        <f>IFERROR(+'11-2025'!$X214*'11-2025'!$AC214,"")</f>
        <v>3333.3333333333335</v>
      </c>
      <c r="AE214" s="29">
        <v>0</v>
      </c>
      <c r="AF214" s="29">
        <f>IFERROR(+'11-2025'!$X214*'11-2025'!$AE214,"")</f>
        <v>0</v>
      </c>
      <c r="AG214" s="29">
        <v>0</v>
      </c>
      <c r="AH214" s="29">
        <f>IFERROR(+'11-2025'!$X214*'11-2025'!$AG214,"")</f>
        <v>0</v>
      </c>
      <c r="AI214" s="29">
        <v>0</v>
      </c>
      <c r="AJ214" s="29">
        <f>IFERROR('11-2025'!$Z214+'11-2025'!$AB214+'11-2025'!$AD214+'11-2025'!$AF214+'11-2025'!$AH214+'11-2025'!$AI214,"")</f>
        <v>3333.3333333333335</v>
      </c>
      <c r="AK214" s="30">
        <f>IFERROR('11-2025'!$W214-'11-2025'!$AJ214,"")</f>
        <v>666.66666666666652</v>
      </c>
      <c r="AL214" s="31"/>
      <c r="AM214" s="31"/>
      <c r="AN214" s="31"/>
      <c r="AO214" s="31">
        <v>0</v>
      </c>
      <c r="AP214" s="31"/>
      <c r="AQ214" s="31"/>
      <c r="AR214" s="31">
        <v>0</v>
      </c>
      <c r="AS214" s="31">
        <v>0</v>
      </c>
      <c r="AT214" s="31">
        <v>0</v>
      </c>
      <c r="AU214" s="31">
        <v>0</v>
      </c>
      <c r="AV214" s="31">
        <v>0</v>
      </c>
      <c r="AW214" s="31">
        <v>0</v>
      </c>
      <c r="AX214" s="31">
        <v>0</v>
      </c>
      <c r="AY214" s="31">
        <v>0</v>
      </c>
      <c r="AZ214" s="31">
        <v>0</v>
      </c>
      <c r="BA214" s="31">
        <v>0</v>
      </c>
      <c r="BB214" s="31">
        <v>0</v>
      </c>
      <c r="BC214" s="31">
        <v>0</v>
      </c>
      <c r="BD214" s="31">
        <v>0</v>
      </c>
      <c r="BE214" s="31">
        <v>0</v>
      </c>
      <c r="BF214" s="31">
        <v>0</v>
      </c>
      <c r="BG214" s="31">
        <v>0</v>
      </c>
      <c r="BH214" s="31">
        <v>0</v>
      </c>
      <c r="BI214" s="31">
        <v>0</v>
      </c>
      <c r="BJ214" s="32">
        <f t="shared" si="43"/>
        <v>0</v>
      </c>
      <c r="BK214" s="41">
        <f>BJ214+AM214+AL214+'11-2025'!$N214+AN214+AO214</f>
        <v>4000</v>
      </c>
      <c r="BL214" s="34">
        <f>'11-2025'!$O214</f>
        <v>0</v>
      </c>
      <c r="BM214" s="34">
        <f t="shared" si="44"/>
        <v>0</v>
      </c>
      <c r="BN214" s="34">
        <f t="shared" si="45"/>
        <v>0</v>
      </c>
      <c r="BO214" s="34">
        <f t="shared" si="46"/>
        <v>1666.6666666666667</v>
      </c>
      <c r="BP214" s="35">
        <f t="shared" si="47"/>
        <v>2333.333333333333</v>
      </c>
      <c r="BQ214" s="34">
        <f>IFERROR(BP214/'11-2025'!$J214,0)*12</f>
        <v>27999.999999999996</v>
      </c>
      <c r="BR214" s="34">
        <f>IF(BQ214&lt;=40000,0,
IF(BQ214&lt;=55000,(BQ214-40000)*10%,
IF(BQ214&lt;=70000,(BQ214-55000)*15%+1500,
IF(BQ214&lt;=200000,(BQ214-70000)*20%+1500+2250,
IF(BQ214&lt;=400000,(BQ214-200000)*22.5%+1500+2250+26000,
IF(BQ214&lt;=600000,(BQ214-400000)*25%+1500+2250+26000+45000,
IF(AND(BQ214&gt;600000,BQ214&lt;=1200000),(BQ214-400000)*25%+1500+2250+26000+45000
+IFERROR(LOOKUP(BQ214,{600001;700001;800001;900001},{4000;6750;10250;15250}),0),IF(BQ214&gt;1200000,((BQ214-1200000)*27.5%)+300000,0)
)))))))</f>
        <v>0</v>
      </c>
      <c r="BS214" s="32">
        <f>(BR214/12*'11-2025'!$J214)</f>
        <v>0</v>
      </c>
      <c r="BT214" s="33">
        <f>BS214-'11-2025'!$V214</f>
        <v>0</v>
      </c>
      <c r="BU214" s="32">
        <f>IFERROR(+'11-2025'!$W214+AL214+AM214+BJ214-'11-2025'!$AJ214-BT214+AN214+AO214,"")-AL214+AP214+AQ214</f>
        <v>666.66666666666652</v>
      </c>
      <c r="BV214" s="36"/>
      <c r="BW214" s="37"/>
      <c r="BX214" s="37">
        <f t="shared" si="48"/>
        <v>666.66666666666652</v>
      </c>
      <c r="BY214" s="37"/>
    </row>
    <row r="215" spans="1:77" x14ac:dyDescent="0.25">
      <c r="A215" s="43">
        <v>811</v>
      </c>
      <c r="B215" s="22" t="s">
        <v>342</v>
      </c>
      <c r="C215" s="22" t="s">
        <v>106</v>
      </c>
      <c r="D215" s="22" t="s">
        <v>72</v>
      </c>
      <c r="E215" s="22">
        <v>0</v>
      </c>
      <c r="F215" s="22" t="s">
        <v>102</v>
      </c>
      <c r="G215" s="23">
        <v>45980</v>
      </c>
      <c r="H215" s="22"/>
      <c r="I215" s="24" t="s">
        <v>269</v>
      </c>
      <c r="J215" s="25">
        <v>1</v>
      </c>
      <c r="K215" s="25">
        <v>2500</v>
      </c>
      <c r="L215" s="25"/>
      <c r="M215" s="26"/>
      <c r="N215" s="25">
        <f>SUM('11-2025'!$K215:$M215)</f>
        <v>2500</v>
      </c>
      <c r="O215" s="25"/>
      <c r="P215" s="25">
        <f t="shared" si="37"/>
        <v>0</v>
      </c>
      <c r="Q215" s="25">
        <f t="shared" si="38"/>
        <v>0</v>
      </c>
      <c r="R215" s="25">
        <v>1666.6666666666667</v>
      </c>
      <c r="S215" s="27">
        <f t="shared" si="39"/>
        <v>833.33333333333326</v>
      </c>
      <c r="T215" s="25">
        <f t="shared" si="40"/>
        <v>10000</v>
      </c>
      <c r="U215" s="25">
        <f>IF(T215&lt;=40000,0,
IF(T215&lt;=55000,(T215-40000)*10%,
IF(T215&lt;=70000,(T215-55000)*15%+1500,
IF(T215&lt;=200000,(T215-70000)*20%+1500+2250,
IF(T215&lt;=400000,(T215-200000)*22.5%+1500+2250+26000,
IF(T215&lt;=600000,(T215-400000)*25%+1500+2250+26000+45000,
IF(AND(T215&gt;600000,T215&lt;=1200000),(T215-400000)*25%+1500+2250+26000+45000
+IFERROR(LOOKUP(T215,{600001;700001;800001;900001},{4000;6750;10250;15250}),0),IF(T215&gt;1200000,((T215-1200000)*27.5%)+300000,0)
)))))))</f>
        <v>0</v>
      </c>
      <c r="V215" s="25">
        <f t="shared" si="41"/>
        <v>0</v>
      </c>
      <c r="W215" s="28">
        <f>+'11-2025'!$S215-'11-2025'!$V215+'11-2025'!$R215</f>
        <v>2500</v>
      </c>
      <c r="X215" s="28">
        <f t="shared" si="42"/>
        <v>83.333333333333329</v>
      </c>
      <c r="Y215" s="29">
        <v>0</v>
      </c>
      <c r="Z215" s="29">
        <f>IFERROR(+'11-2025'!$X215*'11-2025'!$Y215,"")</f>
        <v>0</v>
      </c>
      <c r="AA215" s="29">
        <v>0</v>
      </c>
      <c r="AB215" s="29">
        <f>IFERROR(+'11-2025'!$X215*'11-2025'!$AA215,"")</f>
        <v>0</v>
      </c>
      <c r="AC215" s="29">
        <v>26</v>
      </c>
      <c r="AD215" s="29">
        <f>IFERROR(+'11-2025'!$X215*'11-2025'!$AC215,"")</f>
        <v>2166.6666666666665</v>
      </c>
      <c r="AE215" s="29">
        <v>0</v>
      </c>
      <c r="AF215" s="29">
        <f>IFERROR(+'11-2025'!$X215*'11-2025'!$AE215,"")</f>
        <v>0</v>
      </c>
      <c r="AG215" s="29">
        <v>0.25</v>
      </c>
      <c r="AH215" s="29">
        <f>IFERROR(+'11-2025'!$X215*'11-2025'!$AG215,"")</f>
        <v>20.833333333333332</v>
      </c>
      <c r="AI215" s="29">
        <v>0</v>
      </c>
      <c r="AJ215" s="29">
        <f>IFERROR('11-2025'!$Z215+'11-2025'!$AB215+'11-2025'!$AD215+'11-2025'!$AF215+'11-2025'!$AH215+'11-2025'!$AI215,"")</f>
        <v>2187.5</v>
      </c>
      <c r="AK215" s="30">
        <f>IFERROR('11-2025'!$W215-'11-2025'!$AJ215,"")</f>
        <v>312.5</v>
      </c>
      <c r="AL215" s="31"/>
      <c r="AM215" s="31"/>
      <c r="AN215" s="31"/>
      <c r="AO215" s="31">
        <v>0</v>
      </c>
      <c r="AP215" s="31"/>
      <c r="AQ215" s="31"/>
      <c r="AR215" s="31">
        <v>0</v>
      </c>
      <c r="AS215" s="31">
        <v>0</v>
      </c>
      <c r="AT215" s="31">
        <v>0</v>
      </c>
      <c r="AU215" s="31">
        <v>0</v>
      </c>
      <c r="AV215" s="31">
        <v>0</v>
      </c>
      <c r="AW215" s="31">
        <v>0</v>
      </c>
      <c r="AX215" s="31">
        <v>0</v>
      </c>
      <c r="AY215" s="31">
        <v>0</v>
      </c>
      <c r="AZ215" s="31">
        <v>0</v>
      </c>
      <c r="BA215" s="31">
        <v>0</v>
      </c>
      <c r="BB215" s="31">
        <v>0</v>
      </c>
      <c r="BC215" s="31">
        <v>0</v>
      </c>
      <c r="BD215" s="31">
        <v>0</v>
      </c>
      <c r="BE215" s="31">
        <v>0</v>
      </c>
      <c r="BF215" s="31">
        <v>0</v>
      </c>
      <c r="BG215" s="31">
        <v>0</v>
      </c>
      <c r="BH215" s="31">
        <v>0</v>
      </c>
      <c r="BI215" s="31">
        <v>0</v>
      </c>
      <c r="BJ215" s="32">
        <f t="shared" si="43"/>
        <v>0</v>
      </c>
      <c r="BK215" s="41">
        <f>BJ215+AM215+AL215+'11-2025'!$N215+AN215+AO215</f>
        <v>2500</v>
      </c>
      <c r="BL215" s="34">
        <f>'11-2025'!$O215</f>
        <v>0</v>
      </c>
      <c r="BM215" s="34">
        <f t="shared" si="44"/>
        <v>0</v>
      </c>
      <c r="BN215" s="34">
        <f t="shared" si="45"/>
        <v>0</v>
      </c>
      <c r="BO215" s="34">
        <f t="shared" si="46"/>
        <v>1666.6666666666667</v>
      </c>
      <c r="BP215" s="35">
        <f t="shared" si="47"/>
        <v>833.33333333333326</v>
      </c>
      <c r="BQ215" s="34">
        <f>IFERROR(BP215/'11-2025'!$J215,0)*12</f>
        <v>10000</v>
      </c>
      <c r="BR215" s="34">
        <f>IF(BQ215&lt;=40000,0,
IF(BQ215&lt;=55000,(BQ215-40000)*10%,
IF(BQ215&lt;=70000,(BQ215-55000)*15%+1500,
IF(BQ215&lt;=200000,(BQ215-70000)*20%+1500+2250,
IF(BQ215&lt;=400000,(BQ215-200000)*22.5%+1500+2250+26000,
IF(BQ215&lt;=600000,(BQ215-400000)*25%+1500+2250+26000+45000,
IF(AND(BQ215&gt;600000,BQ215&lt;=1200000),(BQ215-400000)*25%+1500+2250+26000+45000
+IFERROR(LOOKUP(BQ215,{600001;700001;800001;900001},{4000;6750;10250;15250}),0),IF(BQ215&gt;1200000,((BQ215-1200000)*27.5%)+300000,0)
)))))))</f>
        <v>0</v>
      </c>
      <c r="BS215" s="32">
        <f>(BR215/12*'11-2025'!$J215)</f>
        <v>0</v>
      </c>
      <c r="BT215" s="33">
        <f>BS215-'11-2025'!$V215</f>
        <v>0</v>
      </c>
      <c r="BU215" s="32">
        <f>IFERROR(+'11-2025'!$W215+AL215+AM215+BJ215-'11-2025'!$AJ215-BT215+AN215+AO215,"")-AL215+AP215+AQ215</f>
        <v>312.5</v>
      </c>
      <c r="BV215" s="36"/>
      <c r="BW215" s="37"/>
      <c r="BX215" s="37">
        <f t="shared" si="48"/>
        <v>312.5</v>
      </c>
      <c r="BY215" s="37"/>
    </row>
    <row r="216" spans="1:77" x14ac:dyDescent="0.25">
      <c r="A216" s="43">
        <v>812</v>
      </c>
      <c r="B216" s="22" t="s">
        <v>343</v>
      </c>
      <c r="C216" s="22" t="s">
        <v>71</v>
      </c>
      <c r="D216" s="22" t="s">
        <v>77</v>
      </c>
      <c r="E216" s="22" t="s">
        <v>78</v>
      </c>
      <c r="F216" s="22" t="s">
        <v>160</v>
      </c>
      <c r="G216" s="23">
        <v>45983</v>
      </c>
      <c r="H216" s="22"/>
      <c r="I216" s="24" t="s">
        <v>269</v>
      </c>
      <c r="J216" s="25">
        <v>1</v>
      </c>
      <c r="K216" s="25">
        <v>4000</v>
      </c>
      <c r="L216" s="25"/>
      <c r="M216" s="26"/>
      <c r="N216" s="25">
        <f>SUM('11-2025'!$K216:$M216)</f>
        <v>4000</v>
      </c>
      <c r="O216" s="25"/>
      <c r="P216" s="25">
        <f t="shared" si="37"/>
        <v>0</v>
      </c>
      <c r="Q216" s="25">
        <f t="shared" si="38"/>
        <v>0</v>
      </c>
      <c r="R216" s="25">
        <v>1666.6666666666667</v>
      </c>
      <c r="S216" s="27">
        <f t="shared" si="39"/>
        <v>2333.333333333333</v>
      </c>
      <c r="T216" s="25">
        <f t="shared" si="40"/>
        <v>27999.999999999996</v>
      </c>
      <c r="U216" s="25">
        <f>IF(T216&lt;=40000,0,
IF(T216&lt;=55000,(T216-40000)*10%,
IF(T216&lt;=70000,(T216-55000)*15%+1500,
IF(T216&lt;=200000,(T216-70000)*20%+1500+2250,
IF(T216&lt;=400000,(T216-200000)*22.5%+1500+2250+26000,
IF(T216&lt;=600000,(T216-400000)*25%+1500+2250+26000+45000,
IF(AND(T216&gt;600000,T216&lt;=1200000),(T216-400000)*25%+1500+2250+26000+45000
+IFERROR(LOOKUP(T216,{600001;700001;800001;900001},{4000;6750;10250;15250}),0),IF(T216&gt;1200000,((T216-1200000)*27.5%)+300000,0)
)))))))</f>
        <v>0</v>
      </c>
      <c r="V216" s="25">
        <f t="shared" si="41"/>
        <v>0</v>
      </c>
      <c r="W216" s="28">
        <f>+'11-2025'!$S216-'11-2025'!$V216+'11-2025'!$R216</f>
        <v>4000</v>
      </c>
      <c r="X216" s="28">
        <f t="shared" si="42"/>
        <v>133.33333333333334</v>
      </c>
      <c r="Y216" s="29">
        <v>0</v>
      </c>
      <c r="Z216" s="29">
        <f>IFERROR(+'11-2025'!$X216*'11-2025'!$Y216,"")</f>
        <v>0</v>
      </c>
      <c r="AA216" s="29">
        <v>0</v>
      </c>
      <c r="AB216" s="29">
        <f>IFERROR(+'11-2025'!$X216*'11-2025'!$AA216,"")</f>
        <v>0</v>
      </c>
      <c r="AC216" s="29">
        <v>29</v>
      </c>
      <c r="AD216" s="29">
        <f>IFERROR(+'11-2025'!$X216*'11-2025'!$AC216,"")</f>
        <v>3866.666666666667</v>
      </c>
      <c r="AE216" s="29">
        <v>0</v>
      </c>
      <c r="AF216" s="29">
        <f>IFERROR(+'11-2025'!$X216*'11-2025'!$AE216,"")</f>
        <v>0</v>
      </c>
      <c r="AG216" s="29">
        <v>0</v>
      </c>
      <c r="AH216" s="29">
        <f>IFERROR(+'11-2025'!$X216*'11-2025'!$AG216,"")</f>
        <v>0</v>
      </c>
      <c r="AI216" s="29">
        <v>0</v>
      </c>
      <c r="AJ216" s="29">
        <f>IFERROR('11-2025'!$Z216+'11-2025'!$AB216+'11-2025'!$AD216+'11-2025'!$AF216+'11-2025'!$AH216+'11-2025'!$AI216,"")</f>
        <v>3866.666666666667</v>
      </c>
      <c r="AK216" s="30">
        <f>IFERROR('11-2025'!$W216-'11-2025'!$AJ216,"")</f>
        <v>133.33333333333303</v>
      </c>
      <c r="AL216" s="31"/>
      <c r="AM216" s="31"/>
      <c r="AN216" s="31"/>
      <c r="AO216" s="31">
        <v>0</v>
      </c>
      <c r="AP216" s="31"/>
      <c r="AQ216" s="31"/>
      <c r="AR216" s="31">
        <v>0</v>
      </c>
      <c r="AS216" s="31">
        <v>0</v>
      </c>
      <c r="AT216" s="31">
        <v>0</v>
      </c>
      <c r="AU216" s="31">
        <v>0</v>
      </c>
      <c r="AV216" s="31">
        <v>0</v>
      </c>
      <c r="AW216" s="31">
        <v>0</v>
      </c>
      <c r="AX216" s="31">
        <v>0</v>
      </c>
      <c r="AY216" s="31">
        <v>0</v>
      </c>
      <c r="AZ216" s="31">
        <v>0</v>
      </c>
      <c r="BA216" s="31">
        <v>0</v>
      </c>
      <c r="BB216" s="31">
        <v>0</v>
      </c>
      <c r="BC216" s="31">
        <v>0</v>
      </c>
      <c r="BD216" s="31">
        <v>0</v>
      </c>
      <c r="BE216" s="31">
        <v>0</v>
      </c>
      <c r="BF216" s="31">
        <v>0</v>
      </c>
      <c r="BG216" s="31">
        <v>0</v>
      </c>
      <c r="BH216" s="31">
        <v>0</v>
      </c>
      <c r="BI216" s="31">
        <v>0</v>
      </c>
      <c r="BJ216" s="32">
        <f t="shared" si="43"/>
        <v>0</v>
      </c>
      <c r="BK216" s="41">
        <f>BJ216+AM216+AL216+'11-2025'!$N216+AN216+AO216</f>
        <v>4000</v>
      </c>
      <c r="BL216" s="34">
        <f>'11-2025'!$O216</f>
        <v>0</v>
      </c>
      <c r="BM216" s="34">
        <f t="shared" si="44"/>
        <v>0</v>
      </c>
      <c r="BN216" s="34">
        <f t="shared" si="45"/>
        <v>0</v>
      </c>
      <c r="BO216" s="34">
        <f t="shared" si="46"/>
        <v>1666.6666666666667</v>
      </c>
      <c r="BP216" s="35">
        <f t="shared" si="47"/>
        <v>2333.333333333333</v>
      </c>
      <c r="BQ216" s="34">
        <f>IFERROR(BP216/'11-2025'!$J216,0)*12</f>
        <v>27999.999999999996</v>
      </c>
      <c r="BR216" s="34">
        <f>IF(BQ216&lt;=40000,0,
IF(BQ216&lt;=55000,(BQ216-40000)*10%,
IF(BQ216&lt;=70000,(BQ216-55000)*15%+1500,
IF(BQ216&lt;=200000,(BQ216-70000)*20%+1500+2250,
IF(BQ216&lt;=400000,(BQ216-200000)*22.5%+1500+2250+26000,
IF(BQ216&lt;=600000,(BQ216-400000)*25%+1500+2250+26000+45000,
IF(AND(BQ216&gt;600000,BQ216&lt;=1200000),(BQ216-400000)*25%+1500+2250+26000+45000
+IFERROR(LOOKUP(BQ216,{600001;700001;800001;900001},{4000;6750;10250;15250}),0),IF(BQ216&gt;1200000,((BQ216-1200000)*27.5%)+300000,0)
)))))))</f>
        <v>0</v>
      </c>
      <c r="BS216" s="32">
        <f>(BR216/12*'11-2025'!$J216)</f>
        <v>0</v>
      </c>
      <c r="BT216" s="33">
        <f>BS216-'11-2025'!$V216</f>
        <v>0</v>
      </c>
      <c r="BU216" s="32">
        <f>IFERROR(+'11-2025'!$W216+AL216+AM216+BJ216-'11-2025'!$AJ216-BT216+AN216+AO216,"")-AL216+AP216+AQ216</f>
        <v>133.33333333333303</v>
      </c>
      <c r="BV216" s="36"/>
      <c r="BW216" s="37"/>
      <c r="BX216" s="37">
        <f t="shared" si="48"/>
        <v>133.33333333333303</v>
      </c>
      <c r="BY216" s="37"/>
    </row>
    <row r="217" spans="1:77" x14ac:dyDescent="0.25">
      <c r="A217" s="43">
        <v>813</v>
      </c>
      <c r="B217" s="22" t="s">
        <v>344</v>
      </c>
      <c r="C217" s="22" t="s">
        <v>81</v>
      </c>
      <c r="D217" s="22" t="s">
        <v>72</v>
      </c>
      <c r="E217" s="22">
        <v>0</v>
      </c>
      <c r="F217" s="22" t="s">
        <v>102</v>
      </c>
      <c r="G217" s="23">
        <v>45982</v>
      </c>
      <c r="H217" s="22"/>
      <c r="I217" s="24" t="s">
        <v>269</v>
      </c>
      <c r="J217" s="25">
        <v>1</v>
      </c>
      <c r="K217" s="25">
        <v>3000</v>
      </c>
      <c r="L217" s="25"/>
      <c r="M217" s="26"/>
      <c r="N217" s="25">
        <f>SUM('11-2025'!$K217:$M217)</f>
        <v>3000</v>
      </c>
      <c r="O217" s="25"/>
      <c r="P217" s="25">
        <f t="shared" si="37"/>
        <v>0</v>
      </c>
      <c r="Q217" s="25">
        <f t="shared" si="38"/>
        <v>0</v>
      </c>
      <c r="R217" s="25">
        <v>1666.6666666666667</v>
      </c>
      <c r="S217" s="27">
        <f t="shared" si="39"/>
        <v>1333.3333333333333</v>
      </c>
      <c r="T217" s="25">
        <f t="shared" si="40"/>
        <v>16000</v>
      </c>
      <c r="U217" s="25">
        <f>IF(T217&lt;=40000,0,
IF(T217&lt;=55000,(T217-40000)*10%,
IF(T217&lt;=70000,(T217-55000)*15%+1500,
IF(T217&lt;=200000,(T217-70000)*20%+1500+2250,
IF(T217&lt;=400000,(T217-200000)*22.5%+1500+2250+26000,
IF(T217&lt;=600000,(T217-400000)*25%+1500+2250+26000+45000,
IF(AND(T217&gt;600000,T217&lt;=1200000),(T217-400000)*25%+1500+2250+26000+45000
+IFERROR(LOOKUP(T217,{600001;700001;800001;900001},{4000;6750;10250;15250}),0),IF(T217&gt;1200000,((T217-1200000)*27.5%)+300000,0)
)))))))</f>
        <v>0</v>
      </c>
      <c r="V217" s="25">
        <f t="shared" si="41"/>
        <v>0</v>
      </c>
      <c r="W217" s="28">
        <f>+'11-2025'!$S217-'11-2025'!$V217+'11-2025'!$R217</f>
        <v>3000</v>
      </c>
      <c r="X217" s="28">
        <f t="shared" si="42"/>
        <v>100</v>
      </c>
      <c r="Y217" s="29">
        <v>0</v>
      </c>
      <c r="Z217" s="29">
        <f>IFERROR(+'11-2025'!$X217*'11-2025'!$Y217,"")</f>
        <v>0</v>
      </c>
      <c r="AA217" s="29">
        <v>0</v>
      </c>
      <c r="AB217" s="29">
        <f>IFERROR(+'11-2025'!$X217*'11-2025'!$AA217,"")</f>
        <v>0</v>
      </c>
      <c r="AC217" s="29">
        <v>29</v>
      </c>
      <c r="AD217" s="29">
        <f>IFERROR(+'11-2025'!$X217*'11-2025'!$AC217,"")</f>
        <v>2900</v>
      </c>
      <c r="AE217" s="29">
        <v>0</v>
      </c>
      <c r="AF217" s="29">
        <f>IFERROR(+'11-2025'!$X217*'11-2025'!$AE217,"")</f>
        <v>0</v>
      </c>
      <c r="AG217" s="29">
        <v>0</v>
      </c>
      <c r="AH217" s="29">
        <f>IFERROR(+'11-2025'!$X217*'11-2025'!$AG217,"")</f>
        <v>0</v>
      </c>
      <c r="AI217" s="29">
        <v>0</v>
      </c>
      <c r="AJ217" s="29">
        <f>IFERROR('11-2025'!$Z217+'11-2025'!$AB217+'11-2025'!$AD217+'11-2025'!$AF217+'11-2025'!$AH217+'11-2025'!$AI217,"")</f>
        <v>2900</v>
      </c>
      <c r="AK217" s="30">
        <f>IFERROR('11-2025'!$W217-'11-2025'!$AJ217,"")</f>
        <v>100</v>
      </c>
      <c r="AL217" s="31"/>
      <c r="AM217" s="31"/>
      <c r="AN217" s="31"/>
      <c r="AO217" s="31">
        <v>0</v>
      </c>
      <c r="AP217" s="31"/>
      <c r="AQ217" s="31"/>
      <c r="AR217" s="31">
        <v>0</v>
      </c>
      <c r="AS217" s="31">
        <v>0</v>
      </c>
      <c r="AT217" s="31">
        <v>0</v>
      </c>
      <c r="AU217" s="31">
        <v>0</v>
      </c>
      <c r="AV217" s="31">
        <v>0</v>
      </c>
      <c r="AW217" s="31">
        <v>0</v>
      </c>
      <c r="AX217" s="31">
        <v>0</v>
      </c>
      <c r="AY217" s="31">
        <v>0</v>
      </c>
      <c r="AZ217" s="31">
        <v>0</v>
      </c>
      <c r="BA217" s="31">
        <v>0</v>
      </c>
      <c r="BB217" s="31">
        <v>0</v>
      </c>
      <c r="BC217" s="31">
        <v>0</v>
      </c>
      <c r="BD217" s="31">
        <v>0</v>
      </c>
      <c r="BE217" s="31">
        <v>0</v>
      </c>
      <c r="BF217" s="31">
        <v>0</v>
      </c>
      <c r="BG217" s="31">
        <v>0</v>
      </c>
      <c r="BH217" s="31">
        <v>0</v>
      </c>
      <c r="BI217" s="31">
        <v>0</v>
      </c>
      <c r="BJ217" s="32">
        <f t="shared" si="43"/>
        <v>0</v>
      </c>
      <c r="BK217" s="41">
        <f>BJ217+AM217+AL217+'11-2025'!$N217+AN217+AO217</f>
        <v>3000</v>
      </c>
      <c r="BL217" s="34">
        <f>'11-2025'!$O217</f>
        <v>0</v>
      </c>
      <c r="BM217" s="34">
        <f t="shared" si="44"/>
        <v>0</v>
      </c>
      <c r="BN217" s="34">
        <f t="shared" si="45"/>
        <v>0</v>
      </c>
      <c r="BO217" s="34">
        <f t="shared" si="46"/>
        <v>1666.6666666666667</v>
      </c>
      <c r="BP217" s="35">
        <f t="shared" si="47"/>
        <v>1333.3333333333333</v>
      </c>
      <c r="BQ217" s="34">
        <f>IFERROR(BP217/'11-2025'!$J217,0)*12</f>
        <v>16000</v>
      </c>
      <c r="BR217" s="34">
        <f>IF(BQ217&lt;=40000,0,
IF(BQ217&lt;=55000,(BQ217-40000)*10%,
IF(BQ217&lt;=70000,(BQ217-55000)*15%+1500,
IF(BQ217&lt;=200000,(BQ217-70000)*20%+1500+2250,
IF(BQ217&lt;=400000,(BQ217-200000)*22.5%+1500+2250+26000,
IF(BQ217&lt;=600000,(BQ217-400000)*25%+1500+2250+26000+45000,
IF(AND(BQ217&gt;600000,BQ217&lt;=1200000),(BQ217-400000)*25%+1500+2250+26000+45000
+IFERROR(LOOKUP(BQ217,{600001;700001;800001;900001},{4000;6750;10250;15250}),0),IF(BQ217&gt;1200000,((BQ217-1200000)*27.5%)+300000,0)
)))))))</f>
        <v>0</v>
      </c>
      <c r="BS217" s="32">
        <f>(BR217/12*'11-2025'!$J217)</f>
        <v>0</v>
      </c>
      <c r="BT217" s="33">
        <f>BS217-'11-2025'!$V217</f>
        <v>0</v>
      </c>
      <c r="BU217" s="32">
        <f>IFERROR(+'11-2025'!$W217+AL217+AM217+BJ217-'11-2025'!$AJ217-BT217+AN217+AO217,"")-AL217+AP217+AQ217</f>
        <v>100</v>
      </c>
      <c r="BV217" s="36"/>
      <c r="BW217" s="37"/>
      <c r="BX217" s="37">
        <f t="shared" si="48"/>
        <v>100</v>
      </c>
      <c r="BY217" s="37"/>
    </row>
    <row r="218" spans="1:77" x14ac:dyDescent="0.25">
      <c r="A218" s="44">
        <v>795</v>
      </c>
      <c r="B218" s="22" t="s">
        <v>318</v>
      </c>
      <c r="C218" s="22" t="s">
        <v>71</v>
      </c>
      <c r="D218" s="22" t="s">
        <v>72</v>
      </c>
      <c r="E218" s="22" t="s">
        <v>60</v>
      </c>
      <c r="F218" s="22" t="s">
        <v>102</v>
      </c>
      <c r="G218" s="23">
        <v>45953</v>
      </c>
      <c r="H218" s="23">
        <v>45968</v>
      </c>
      <c r="I218" s="24" t="s">
        <v>269</v>
      </c>
      <c r="J218" s="25">
        <v>1</v>
      </c>
      <c r="K218" s="25">
        <v>6000</v>
      </c>
      <c r="L218" s="25"/>
      <c r="M218" s="26"/>
      <c r="N218" s="25">
        <f>SUM('11-2025'!$K218:$M218)</f>
        <v>6000</v>
      </c>
      <c r="O218" s="25"/>
      <c r="P218" s="25">
        <f t="shared" si="37"/>
        <v>0</v>
      </c>
      <c r="Q218" s="25">
        <f t="shared" si="38"/>
        <v>0</v>
      </c>
      <c r="R218" s="25">
        <v>1666.6666666666667</v>
      </c>
      <c r="S218" s="27">
        <f t="shared" si="39"/>
        <v>4333.333333333333</v>
      </c>
      <c r="T218" s="25">
        <f t="shared" si="40"/>
        <v>52000</v>
      </c>
      <c r="U218" s="25">
        <f>IF(T218&lt;=40000,0,
IF(T218&lt;=55000,(T218-40000)*10%,
IF(T218&lt;=70000,(T218-55000)*15%+1500,
IF(T218&lt;=200000,(T218-70000)*20%+1500+2250,
IF(T218&lt;=400000,(T218-200000)*22.5%+1500+2250+26000,
IF(T218&lt;=600000,(T218-400000)*25%+1500+2250+26000+45000,
IF(AND(T218&gt;600000,T218&lt;=1200000),(T218-400000)*25%+1500+2250+26000+45000
+IFERROR(LOOKUP(T218,{600001;700001;800001;900001},{4000;6750;10250;15250}),0),IF(T218&gt;1200000,((T218-1200000)*27.5%)+300000,0)
)))))))</f>
        <v>1200</v>
      </c>
      <c r="V218" s="25">
        <f t="shared" si="41"/>
        <v>100</v>
      </c>
      <c r="W218" s="28">
        <f>+'11-2025'!$S218-'11-2025'!$V218+'11-2025'!$R218</f>
        <v>5900</v>
      </c>
      <c r="X218" s="28">
        <f t="shared" si="42"/>
        <v>196.66666666666666</v>
      </c>
      <c r="Y218" s="29"/>
      <c r="Z218" s="29">
        <f>IFERROR(+'11-2025'!$X218*'11-2025'!$Y218,"")</f>
        <v>0</v>
      </c>
      <c r="AA218" s="29">
        <v>0</v>
      </c>
      <c r="AB218" s="29">
        <f>IFERROR(+'11-2025'!$X218*'11-2025'!$AA218,"")</f>
        <v>0</v>
      </c>
      <c r="AC218" s="29">
        <v>18.5</v>
      </c>
      <c r="AD218" s="29">
        <f>IFERROR(+'11-2025'!$X218*'11-2025'!$AC218,"")</f>
        <v>3638.333333333333</v>
      </c>
      <c r="AE218" s="29">
        <v>4.5</v>
      </c>
      <c r="AF218" s="29">
        <f>IFERROR(+'11-2025'!$X218*'11-2025'!$AE218,"")</f>
        <v>885</v>
      </c>
      <c r="AG218" s="29"/>
      <c r="AH218" s="29">
        <f>IFERROR(+'11-2025'!$X218*'11-2025'!$AG218,"")</f>
        <v>0</v>
      </c>
      <c r="AI218" s="29">
        <v>0</v>
      </c>
      <c r="AJ218" s="29">
        <f>IFERROR('11-2025'!$Z218+'11-2025'!$AB218+'11-2025'!$AD218+'11-2025'!$AF218+'11-2025'!$AH218+'11-2025'!$AI218,"")</f>
        <v>4523.333333333333</v>
      </c>
      <c r="AK218" s="30">
        <f>IFERROR('11-2025'!$W218-'11-2025'!$AJ218,"")</f>
        <v>1376.666666666667</v>
      </c>
      <c r="AL218" s="31"/>
      <c r="AM218" s="31"/>
      <c r="AN218" s="31"/>
      <c r="AO218" s="31"/>
      <c r="AP218" s="31"/>
      <c r="AQ218" s="31"/>
      <c r="AR218" s="31">
        <v>0</v>
      </c>
      <c r="AS218" s="31">
        <v>0</v>
      </c>
      <c r="AT218" s="31">
        <v>0</v>
      </c>
      <c r="AU218" s="31">
        <v>0</v>
      </c>
      <c r="AV218" s="31">
        <v>0</v>
      </c>
      <c r="AW218" s="31">
        <v>0</v>
      </c>
      <c r="AX218" s="31">
        <v>0</v>
      </c>
      <c r="AY218" s="31">
        <v>0</v>
      </c>
      <c r="AZ218" s="31">
        <v>0</v>
      </c>
      <c r="BA218" s="31">
        <v>0</v>
      </c>
      <c r="BB218" s="31">
        <v>0</v>
      </c>
      <c r="BC218" s="31">
        <v>0</v>
      </c>
      <c r="BD218" s="31">
        <v>0</v>
      </c>
      <c r="BE218" s="31">
        <v>0</v>
      </c>
      <c r="BF218" s="31">
        <v>0</v>
      </c>
      <c r="BG218" s="31">
        <v>0</v>
      </c>
      <c r="BH218" s="31">
        <v>0</v>
      </c>
      <c r="BI218" s="31">
        <v>0</v>
      </c>
      <c r="BJ218" s="32">
        <f t="shared" si="43"/>
        <v>0</v>
      </c>
      <c r="BK218" s="41">
        <f>BJ218+AM218+AL218+'11-2025'!$N218+AN218+AO218</f>
        <v>6000</v>
      </c>
      <c r="BL218" s="34">
        <f>'11-2025'!$O218</f>
        <v>0</v>
      </c>
      <c r="BM218" s="34">
        <f t="shared" si="44"/>
        <v>0</v>
      </c>
      <c r="BN218" s="34">
        <f t="shared" si="45"/>
        <v>0</v>
      </c>
      <c r="BO218" s="34">
        <f t="shared" si="46"/>
        <v>1666.6666666666667</v>
      </c>
      <c r="BP218" s="35">
        <f t="shared" si="47"/>
        <v>4333.333333333333</v>
      </c>
      <c r="BQ218" s="34">
        <f>IFERROR(BP218/'11-2025'!$J218,0)*12</f>
        <v>52000</v>
      </c>
      <c r="BR218" s="34">
        <f>IF(BQ218&lt;=40000,0,
IF(BQ218&lt;=55000,(BQ218-40000)*10%,
IF(BQ218&lt;=70000,(BQ218-55000)*15%+1500,
IF(BQ218&lt;=200000,(BQ218-70000)*20%+1500+2250,
IF(BQ218&lt;=400000,(BQ218-200000)*22.5%+1500+2250+26000,
IF(BQ218&lt;=600000,(BQ218-400000)*25%+1500+2250+26000+45000,
IF(AND(BQ218&gt;600000,BQ218&lt;=1200000),(BQ218-400000)*25%+1500+2250+26000+45000
+IFERROR(LOOKUP(BQ218,{600001;700001;800001;900001},{4000;6750;10250;15250}),0),IF(BQ218&gt;1200000,((BQ218-1200000)*27.5%)+300000,0)
)))))))</f>
        <v>1200</v>
      </c>
      <c r="BS218" s="32">
        <f>(BR218/12*'11-2025'!$J218)</f>
        <v>100</v>
      </c>
      <c r="BT218" s="33">
        <f>BS218-'11-2025'!$V218</f>
        <v>0</v>
      </c>
      <c r="BU218" s="32">
        <f>IFERROR(+'11-2025'!$W218+AL218+AM218+BJ218-'11-2025'!$AJ218-BT218+AN218+AO218,"")-AL218+AP218+AQ218</f>
        <v>1376.666666666667</v>
      </c>
      <c r="BV218" s="36"/>
      <c r="BW218" s="37"/>
      <c r="BX218" s="37">
        <f t="shared" si="48"/>
        <v>1376.666666666667</v>
      </c>
      <c r="BY218" s="37"/>
    </row>
    <row r="219" spans="1:77" x14ac:dyDescent="0.25">
      <c r="A219" s="44">
        <v>799</v>
      </c>
      <c r="B219" s="22" t="s">
        <v>319</v>
      </c>
      <c r="C219" s="22" t="s">
        <v>71</v>
      </c>
      <c r="D219" s="22" t="s">
        <v>77</v>
      </c>
      <c r="E219" s="22" t="s">
        <v>78</v>
      </c>
      <c r="F219" s="22" t="s">
        <v>160</v>
      </c>
      <c r="G219" s="23">
        <v>45959</v>
      </c>
      <c r="H219" s="23">
        <v>45964</v>
      </c>
      <c r="I219" s="24" t="s">
        <v>269</v>
      </c>
      <c r="J219" s="25">
        <v>1</v>
      </c>
      <c r="K219" s="25">
        <v>4000</v>
      </c>
      <c r="L219" s="25"/>
      <c r="M219" s="26"/>
      <c r="N219" s="25">
        <f>SUM('11-2025'!$K219:$M219)</f>
        <v>4000</v>
      </c>
      <c r="O219" s="25"/>
      <c r="P219" s="25">
        <f t="shared" si="37"/>
        <v>0</v>
      </c>
      <c r="Q219" s="25">
        <f t="shared" si="38"/>
        <v>0</v>
      </c>
      <c r="R219" s="25">
        <v>1666.6666666666667</v>
      </c>
      <c r="S219" s="27">
        <f t="shared" si="39"/>
        <v>2333.333333333333</v>
      </c>
      <c r="T219" s="25">
        <f t="shared" si="40"/>
        <v>27999.999999999996</v>
      </c>
      <c r="U219" s="25">
        <f>IF(T219&lt;=40000,0,
IF(T219&lt;=55000,(T219-40000)*10%,
IF(T219&lt;=70000,(T219-55000)*15%+1500,
IF(T219&lt;=200000,(T219-70000)*20%+1500+2250,
IF(T219&lt;=400000,(T219-200000)*22.5%+1500+2250+26000,
IF(T219&lt;=600000,(T219-400000)*25%+1500+2250+26000+45000,
IF(AND(T219&gt;600000,T219&lt;=1200000),(T219-400000)*25%+1500+2250+26000+45000
+IFERROR(LOOKUP(T219,{600001;700001;800001;900001},{4000;6750;10250;15250}),0),IF(T219&gt;1200000,((T219-1200000)*27.5%)+300000,0)
)))))))</f>
        <v>0</v>
      </c>
      <c r="V219" s="25">
        <f t="shared" si="41"/>
        <v>0</v>
      </c>
      <c r="W219" s="28">
        <f>+'11-2025'!$S219-'11-2025'!$V219+'11-2025'!$R219</f>
        <v>4000</v>
      </c>
      <c r="X219" s="28">
        <f t="shared" si="42"/>
        <v>133.33333333333334</v>
      </c>
      <c r="Y219" s="29"/>
      <c r="Z219" s="29">
        <f>IFERROR(+'11-2025'!$X219*'11-2025'!$Y219,"")</f>
        <v>0</v>
      </c>
      <c r="AA219" s="29">
        <v>0</v>
      </c>
      <c r="AB219" s="29">
        <f>IFERROR(+'11-2025'!$X219*'11-2025'!$AA219,"")</f>
        <v>0</v>
      </c>
      <c r="AC219" s="29">
        <v>26</v>
      </c>
      <c r="AD219" s="29">
        <f>IFERROR(+'11-2025'!$X219*'11-2025'!$AC219,"")</f>
        <v>3466.666666666667</v>
      </c>
      <c r="AE219" s="29">
        <v>0.5</v>
      </c>
      <c r="AF219" s="29">
        <f>IFERROR(+'11-2025'!$X219*'11-2025'!$AE219,"")</f>
        <v>66.666666666666671</v>
      </c>
      <c r="AG219" s="29"/>
      <c r="AH219" s="29">
        <f>IFERROR(+'11-2025'!$X219*'11-2025'!$AG219,"")</f>
        <v>0</v>
      </c>
      <c r="AI219" s="29">
        <v>0</v>
      </c>
      <c r="AJ219" s="29">
        <f>IFERROR('11-2025'!$Z219+'11-2025'!$AB219+'11-2025'!$AD219+'11-2025'!$AF219+'11-2025'!$AH219+'11-2025'!$AI219,"")</f>
        <v>3533.3333333333335</v>
      </c>
      <c r="AK219" s="30">
        <f>IFERROR('11-2025'!$W219-'11-2025'!$AJ219,"")</f>
        <v>466.66666666666652</v>
      </c>
      <c r="AL219" s="31"/>
      <c r="AM219" s="31"/>
      <c r="AN219" s="31"/>
      <c r="AO219" s="31"/>
      <c r="AP219" s="31"/>
      <c r="AQ219" s="31"/>
      <c r="AR219" s="31">
        <v>0</v>
      </c>
      <c r="AS219" s="31">
        <v>0</v>
      </c>
      <c r="AT219" s="31">
        <v>0</v>
      </c>
      <c r="AU219" s="31">
        <v>0</v>
      </c>
      <c r="AV219" s="31">
        <v>0</v>
      </c>
      <c r="AW219" s="31">
        <v>0</v>
      </c>
      <c r="AX219" s="31">
        <v>0</v>
      </c>
      <c r="AY219" s="31">
        <v>0</v>
      </c>
      <c r="AZ219" s="31">
        <v>0</v>
      </c>
      <c r="BA219" s="31">
        <v>0</v>
      </c>
      <c r="BB219" s="31">
        <v>0</v>
      </c>
      <c r="BC219" s="31">
        <v>0</v>
      </c>
      <c r="BD219" s="31">
        <v>0</v>
      </c>
      <c r="BE219" s="31">
        <v>0</v>
      </c>
      <c r="BF219" s="31">
        <v>0</v>
      </c>
      <c r="BG219" s="31">
        <v>0</v>
      </c>
      <c r="BH219" s="31">
        <v>0</v>
      </c>
      <c r="BI219" s="31">
        <v>0</v>
      </c>
      <c r="BJ219" s="32">
        <f t="shared" si="43"/>
        <v>0</v>
      </c>
      <c r="BK219" s="41">
        <f>BJ219+AM219+AL219+'11-2025'!$N219+AN219+AO219</f>
        <v>4000</v>
      </c>
      <c r="BL219" s="34">
        <f>'11-2025'!$O219</f>
        <v>0</v>
      </c>
      <c r="BM219" s="34">
        <f t="shared" si="44"/>
        <v>0</v>
      </c>
      <c r="BN219" s="34">
        <f t="shared" si="45"/>
        <v>0</v>
      </c>
      <c r="BO219" s="34">
        <f t="shared" si="46"/>
        <v>1666.6666666666667</v>
      </c>
      <c r="BP219" s="35">
        <f t="shared" si="47"/>
        <v>2333.333333333333</v>
      </c>
      <c r="BQ219" s="34">
        <f>IFERROR(BP219/'11-2025'!$J219,0)*12</f>
        <v>27999.999999999996</v>
      </c>
      <c r="BR219" s="34">
        <f>IF(BQ219&lt;=40000,0,
IF(BQ219&lt;=55000,(BQ219-40000)*10%,
IF(BQ219&lt;=70000,(BQ219-55000)*15%+1500,
IF(BQ219&lt;=200000,(BQ219-70000)*20%+1500+2250,
IF(BQ219&lt;=400000,(BQ219-200000)*22.5%+1500+2250+26000,
IF(BQ219&lt;=600000,(BQ219-400000)*25%+1500+2250+26000+45000,
IF(AND(BQ219&gt;600000,BQ219&lt;=1200000),(BQ219-400000)*25%+1500+2250+26000+45000
+IFERROR(LOOKUP(BQ219,{600001;700001;800001;900001},{4000;6750;10250;15250}),0),IF(BQ219&gt;1200000,((BQ219-1200000)*27.5%)+300000,0)
)))))))</f>
        <v>0</v>
      </c>
      <c r="BS219" s="32">
        <f>(BR219/12*'11-2025'!$J219)</f>
        <v>0</v>
      </c>
      <c r="BT219" s="33">
        <f>BS219-'11-2025'!$V219</f>
        <v>0</v>
      </c>
      <c r="BU219" s="32">
        <f>IFERROR(+'11-2025'!$W219+AL219+AM219+BJ219-'11-2025'!$AJ219-BT219+AN219+AO219,"")-AL219+AP219+AQ219</f>
        <v>466.66666666666652</v>
      </c>
      <c r="BV219" s="36"/>
      <c r="BW219" s="37"/>
      <c r="BX219" s="37">
        <f t="shared" si="48"/>
        <v>466.66666666666652</v>
      </c>
      <c r="BY219" s="37"/>
    </row>
    <row r="220" spans="1:77" x14ac:dyDescent="0.25">
      <c r="A220" s="44">
        <v>801</v>
      </c>
      <c r="B220" s="22" t="s">
        <v>320</v>
      </c>
      <c r="C220" s="22" t="s">
        <v>81</v>
      </c>
      <c r="D220" s="22" t="s">
        <v>72</v>
      </c>
      <c r="E220" s="22" t="s">
        <v>321</v>
      </c>
      <c r="F220" s="22" t="s">
        <v>102</v>
      </c>
      <c r="G220" s="23">
        <v>45964</v>
      </c>
      <c r="H220" s="23">
        <v>45972</v>
      </c>
      <c r="I220" s="24" t="s">
        <v>269</v>
      </c>
      <c r="J220" s="25">
        <v>1</v>
      </c>
      <c r="K220" s="25">
        <v>4000</v>
      </c>
      <c r="L220" s="25"/>
      <c r="M220" s="26"/>
      <c r="N220" s="25">
        <f>SUM('11-2025'!$K220:$M220)</f>
        <v>4000</v>
      </c>
      <c r="O220" s="25"/>
      <c r="P220" s="25">
        <f t="shared" si="37"/>
        <v>0</v>
      </c>
      <c r="Q220" s="25">
        <f t="shared" si="38"/>
        <v>0</v>
      </c>
      <c r="R220" s="25">
        <v>1666.6666666666667</v>
      </c>
      <c r="S220" s="27">
        <f t="shared" si="39"/>
        <v>2333.333333333333</v>
      </c>
      <c r="T220" s="25">
        <f t="shared" si="40"/>
        <v>27999.999999999996</v>
      </c>
      <c r="U220" s="25">
        <f>IF(T220&lt;=40000,0,
IF(T220&lt;=55000,(T220-40000)*10%,
IF(T220&lt;=70000,(T220-55000)*15%+1500,
IF(T220&lt;=200000,(T220-70000)*20%+1500+2250,
IF(T220&lt;=400000,(T220-200000)*22.5%+1500+2250+26000,
IF(T220&lt;=600000,(T220-400000)*25%+1500+2250+26000+45000,
IF(AND(T220&gt;600000,T220&lt;=1200000),(T220-400000)*25%+1500+2250+26000+45000
+IFERROR(LOOKUP(T220,{600001;700001;800001;900001},{4000;6750;10250;15250}),0),IF(T220&gt;1200000,((T220-1200000)*27.5%)+300000,0)
)))))))</f>
        <v>0</v>
      </c>
      <c r="V220" s="25">
        <f t="shared" si="41"/>
        <v>0</v>
      </c>
      <c r="W220" s="28">
        <f>+'11-2025'!$S220-'11-2025'!$V220+'11-2025'!$R220</f>
        <v>4000</v>
      </c>
      <c r="X220" s="28">
        <f t="shared" si="42"/>
        <v>133.33333333333334</v>
      </c>
      <c r="Y220" s="29"/>
      <c r="Z220" s="29">
        <f>IFERROR(+'11-2025'!$X220*'11-2025'!$Y220,"")</f>
        <v>0</v>
      </c>
      <c r="AA220" s="29">
        <v>0</v>
      </c>
      <c r="AB220" s="29">
        <f>IFERROR(+'11-2025'!$X220*'11-2025'!$AA220,"")</f>
        <v>0</v>
      </c>
      <c r="AC220" s="29">
        <v>23.5</v>
      </c>
      <c r="AD220" s="29">
        <f>IFERROR(+'11-2025'!$X220*'11-2025'!$AC220,"")</f>
        <v>3133.3333333333335</v>
      </c>
      <c r="AE220" s="29">
        <v>3</v>
      </c>
      <c r="AF220" s="29">
        <f>IFERROR(+'11-2025'!$X220*'11-2025'!$AE220,"")</f>
        <v>400</v>
      </c>
      <c r="AG220" s="29"/>
      <c r="AH220" s="29">
        <f>IFERROR(+'11-2025'!$X220*'11-2025'!$AG220,"")</f>
        <v>0</v>
      </c>
      <c r="AI220" s="29">
        <v>0</v>
      </c>
      <c r="AJ220" s="29">
        <f>IFERROR('11-2025'!$Z220+'11-2025'!$AB220+'11-2025'!$AD220+'11-2025'!$AF220+'11-2025'!$AH220+'11-2025'!$AI220,"")</f>
        <v>3533.3333333333335</v>
      </c>
      <c r="AK220" s="30">
        <f>IFERROR('11-2025'!$W220-'11-2025'!$AJ220,"")</f>
        <v>466.66666666666652</v>
      </c>
      <c r="AL220" s="31"/>
      <c r="AM220" s="31"/>
      <c r="AN220" s="31"/>
      <c r="AO220" s="31"/>
      <c r="AP220" s="31"/>
      <c r="AQ220" s="31"/>
      <c r="AR220" s="31">
        <v>0</v>
      </c>
      <c r="AS220" s="31">
        <v>0</v>
      </c>
      <c r="AT220" s="31">
        <v>0</v>
      </c>
      <c r="AU220" s="31">
        <v>0</v>
      </c>
      <c r="AV220" s="31">
        <v>0</v>
      </c>
      <c r="AW220" s="31">
        <v>0</v>
      </c>
      <c r="AX220" s="31">
        <v>0</v>
      </c>
      <c r="AY220" s="31">
        <v>0</v>
      </c>
      <c r="AZ220" s="31">
        <v>0</v>
      </c>
      <c r="BA220" s="31">
        <v>0</v>
      </c>
      <c r="BB220" s="31">
        <v>0</v>
      </c>
      <c r="BC220" s="31">
        <v>0</v>
      </c>
      <c r="BD220" s="31">
        <v>0</v>
      </c>
      <c r="BE220" s="31">
        <v>0</v>
      </c>
      <c r="BF220" s="31">
        <v>0</v>
      </c>
      <c r="BG220" s="31">
        <v>0</v>
      </c>
      <c r="BH220" s="31">
        <v>0</v>
      </c>
      <c r="BI220" s="31">
        <v>0</v>
      </c>
      <c r="BJ220" s="32">
        <f t="shared" si="43"/>
        <v>0</v>
      </c>
      <c r="BK220" s="41">
        <f>BJ220+AM220+AL220+'11-2025'!$N220+AN220+AO220</f>
        <v>4000</v>
      </c>
      <c r="BL220" s="34">
        <f>'11-2025'!$O220</f>
        <v>0</v>
      </c>
      <c r="BM220" s="34">
        <f t="shared" si="44"/>
        <v>0</v>
      </c>
      <c r="BN220" s="34">
        <f t="shared" si="45"/>
        <v>0</v>
      </c>
      <c r="BO220" s="34">
        <f t="shared" si="46"/>
        <v>1666.6666666666667</v>
      </c>
      <c r="BP220" s="35">
        <f t="shared" si="47"/>
        <v>2333.333333333333</v>
      </c>
      <c r="BQ220" s="34">
        <f>IFERROR(BP220/'11-2025'!$J220,0)*12</f>
        <v>27999.999999999996</v>
      </c>
      <c r="BR220" s="34">
        <f>IF(BQ220&lt;=40000,0,
IF(BQ220&lt;=55000,(BQ220-40000)*10%,
IF(BQ220&lt;=70000,(BQ220-55000)*15%+1500,
IF(BQ220&lt;=200000,(BQ220-70000)*20%+1500+2250,
IF(BQ220&lt;=400000,(BQ220-200000)*22.5%+1500+2250+26000,
IF(BQ220&lt;=600000,(BQ220-400000)*25%+1500+2250+26000+45000,
IF(AND(BQ220&gt;600000,BQ220&lt;=1200000),(BQ220-400000)*25%+1500+2250+26000+45000
+IFERROR(LOOKUP(BQ220,{600001;700001;800001;900001},{4000;6750;10250;15250}),0),IF(BQ220&gt;1200000,((BQ220-1200000)*27.5%)+300000,0)
)))))))</f>
        <v>0</v>
      </c>
      <c r="BS220" s="32">
        <f>(BR220/12*'11-2025'!$J220)</f>
        <v>0</v>
      </c>
      <c r="BT220" s="33">
        <f>BS220-'11-2025'!$V220</f>
        <v>0</v>
      </c>
      <c r="BU220" s="32">
        <f>IFERROR(+'11-2025'!$W220+AL220+AM220+BJ220-'11-2025'!$AJ220-BT220+AN220+AO220,"")-AL220+AP220+AQ220</f>
        <v>466.66666666666652</v>
      </c>
      <c r="BV220" s="36"/>
      <c r="BW220" s="37"/>
      <c r="BX220" s="37">
        <f t="shared" si="48"/>
        <v>466.66666666666652</v>
      </c>
      <c r="BY220" s="37"/>
    </row>
    <row r="221" spans="1:77" x14ac:dyDescent="0.25">
      <c r="A221" s="45"/>
      <c r="B221" s="22"/>
      <c r="C221" s="22"/>
      <c r="D221" s="22"/>
      <c r="E221" s="22"/>
      <c r="F221" s="22"/>
      <c r="G221" s="23"/>
      <c r="H221" s="22"/>
      <c r="I221" s="24" t="s">
        <v>269</v>
      </c>
      <c r="J221" s="25">
        <v>1</v>
      </c>
      <c r="K221" s="25"/>
      <c r="L221" s="25"/>
      <c r="M221" s="26"/>
      <c r="N221" s="25">
        <f>SUM('11-2025'!$K221:$M221)</f>
        <v>0</v>
      </c>
      <c r="O221" s="25"/>
      <c r="P221" s="25">
        <f t="shared" si="37"/>
        <v>0</v>
      </c>
      <c r="Q221" s="25">
        <f t="shared" si="38"/>
        <v>0</v>
      </c>
      <c r="R221" s="25">
        <v>1666.6666666666667</v>
      </c>
      <c r="S221" s="27">
        <f t="shared" si="39"/>
        <v>0</v>
      </c>
      <c r="T221" s="25">
        <f t="shared" si="40"/>
        <v>0</v>
      </c>
      <c r="U221" s="25">
        <f>IF(T221&lt;=40000,0,
IF(T221&lt;=55000,(T221-40000)*10%,
IF(T221&lt;=70000,(T221-55000)*15%+1500,
IF(T221&lt;=200000,(T221-70000)*20%+1500+2250,
IF(T221&lt;=400000,(T221-200000)*22.5%+1500+2250+26000,
IF(T221&lt;=600000,(T221-400000)*25%+1500+2250+26000+45000,
IF(AND(T221&gt;600000,T221&lt;=1200000),(T221-400000)*25%+1500+2250+26000+45000
+IFERROR(LOOKUP(T221,{600001;700001;800001;900001},{4000;6750;10250;15250}),0),IF(T221&gt;1200000,((T221-1200000)*27.5%)+300000,0)
)))))))</f>
        <v>0</v>
      </c>
      <c r="V221" s="25">
        <f t="shared" si="41"/>
        <v>0</v>
      </c>
      <c r="W221" s="28">
        <v>0</v>
      </c>
      <c r="X221" s="28">
        <f t="shared" si="42"/>
        <v>0</v>
      </c>
      <c r="Y221" s="29"/>
      <c r="Z221" s="29">
        <f>IFERROR(+'11-2025'!$X221*'11-2025'!$Y221,"")</f>
        <v>0</v>
      </c>
      <c r="AA221" s="29"/>
      <c r="AB221" s="29">
        <f>IFERROR(+'11-2025'!$X221*'11-2025'!$AA221,"")</f>
        <v>0</v>
      </c>
      <c r="AC221" s="29"/>
      <c r="AD221" s="29">
        <f>IFERROR(+'11-2025'!$X221*'11-2025'!$AC221,"")</f>
        <v>0</v>
      </c>
      <c r="AE221" s="29"/>
      <c r="AF221" s="29">
        <f>IFERROR(+'11-2025'!$X221*'11-2025'!$AE221,"")</f>
        <v>0</v>
      </c>
      <c r="AG221" s="29"/>
      <c r="AH221" s="29">
        <f>IFERROR(+'11-2025'!$X221*'11-2025'!$AG221,"")</f>
        <v>0</v>
      </c>
      <c r="AI221" s="29">
        <v>0</v>
      </c>
      <c r="AJ221" s="29">
        <f>IFERROR('11-2025'!$Z221+'11-2025'!$AB221+'11-2025'!$AD221+'11-2025'!$AF221+'11-2025'!$AH221+'11-2025'!$AI221,"")</f>
        <v>0</v>
      </c>
      <c r="AK221" s="30">
        <f>IFERROR('11-2025'!$W221-'11-2025'!$AJ221,"")</f>
        <v>0</v>
      </c>
      <c r="AL221" s="31"/>
      <c r="AM221" s="31"/>
      <c r="AN221" s="31"/>
      <c r="AO221" s="31"/>
      <c r="AP221" s="31"/>
      <c r="AQ221" s="31"/>
      <c r="AR221" s="31">
        <v>0</v>
      </c>
      <c r="AS221" s="31">
        <v>0</v>
      </c>
      <c r="AT221" s="31">
        <v>0</v>
      </c>
      <c r="AU221" s="31">
        <v>0</v>
      </c>
      <c r="AV221" s="31">
        <v>0</v>
      </c>
      <c r="AW221" s="31">
        <v>0</v>
      </c>
      <c r="AX221" s="31">
        <v>0</v>
      </c>
      <c r="AY221" s="31">
        <v>0</v>
      </c>
      <c r="AZ221" s="31">
        <v>0</v>
      </c>
      <c r="BA221" s="31">
        <v>0</v>
      </c>
      <c r="BB221" s="31">
        <v>0</v>
      </c>
      <c r="BC221" s="31">
        <v>0</v>
      </c>
      <c r="BD221" s="31">
        <v>0</v>
      </c>
      <c r="BE221" s="31">
        <v>0</v>
      </c>
      <c r="BF221" s="31">
        <v>0</v>
      </c>
      <c r="BG221" s="31">
        <v>0</v>
      </c>
      <c r="BH221" s="31">
        <v>0</v>
      </c>
      <c r="BI221" s="31">
        <v>0</v>
      </c>
      <c r="BJ221" s="32">
        <f t="shared" si="43"/>
        <v>0</v>
      </c>
      <c r="BK221" s="41">
        <f>BJ221+AM221+AL221+'11-2025'!$N221+AN221+AO221</f>
        <v>0</v>
      </c>
      <c r="BL221" s="34">
        <f>'11-2025'!$O221</f>
        <v>0</v>
      </c>
      <c r="BM221" s="34">
        <f t="shared" si="44"/>
        <v>0</v>
      </c>
      <c r="BN221" s="34">
        <f t="shared" si="45"/>
        <v>0</v>
      </c>
      <c r="BO221" s="34">
        <f t="shared" si="46"/>
        <v>1666.6666666666667</v>
      </c>
      <c r="BP221" s="35">
        <f t="shared" si="47"/>
        <v>0</v>
      </c>
      <c r="BQ221" s="34">
        <f>IFERROR(BP221/'11-2025'!$J221,0)*12</f>
        <v>0</v>
      </c>
      <c r="BR221" s="34">
        <f>IF(BQ221&lt;=40000,0,
IF(BQ221&lt;=55000,(BQ221-40000)*10%,
IF(BQ221&lt;=70000,(BQ221-55000)*15%+1500,
IF(BQ221&lt;=200000,(BQ221-70000)*20%+1500+2250,
IF(BQ221&lt;=400000,(BQ221-200000)*22.5%+1500+2250+26000,
IF(BQ221&lt;=600000,(BQ221-400000)*25%+1500+2250+26000+45000,
IF(AND(BQ221&gt;600000,BQ221&lt;=1200000),(BQ221-400000)*25%+1500+2250+26000+45000
+IFERROR(LOOKUP(BQ221,{600001;700001;800001;900001},{4000;6750;10250;15250}),0),IF(BQ221&gt;1200000,((BQ221-1200000)*27.5%)+300000,0)
)))))))</f>
        <v>0</v>
      </c>
      <c r="BS221" s="32">
        <f>(BR221/12*'11-2025'!$J221)</f>
        <v>0</v>
      </c>
      <c r="BT221" s="33">
        <f>BS221-'11-2025'!$V221</f>
        <v>0</v>
      </c>
      <c r="BU221" s="32">
        <f>IFERROR(+'11-2025'!$W221+AL221+AM221+BJ221-'11-2025'!$AJ221-BT221+AN221+AO221,"")-AL221+AP221+AQ221</f>
        <v>0</v>
      </c>
      <c r="BV221" s="36"/>
      <c r="BW221" s="37"/>
      <c r="BX221" s="37">
        <f t="shared" si="48"/>
        <v>0</v>
      </c>
      <c r="BY221" s="37"/>
    </row>
    <row r="222" spans="1:77" x14ac:dyDescent="0.25">
      <c r="A222" s="45"/>
      <c r="B222" s="22"/>
      <c r="C222" s="22"/>
      <c r="D222" s="22"/>
      <c r="E222" s="22"/>
      <c r="F222" s="22"/>
      <c r="G222" s="23"/>
      <c r="H222" s="22"/>
      <c r="I222" s="24" t="s">
        <v>269</v>
      </c>
      <c r="J222" s="25">
        <v>1</v>
      </c>
      <c r="K222" s="25"/>
      <c r="L222" s="25"/>
      <c r="M222" s="26"/>
      <c r="N222" s="25">
        <f>SUM('11-2025'!$K222:$M222)</f>
        <v>0</v>
      </c>
      <c r="O222" s="25"/>
      <c r="P222" s="25">
        <f t="shared" si="37"/>
        <v>0</v>
      </c>
      <c r="Q222" s="25">
        <f t="shared" si="38"/>
        <v>0</v>
      </c>
      <c r="R222" s="25">
        <v>1666.6666666666667</v>
      </c>
      <c r="S222" s="27">
        <f t="shared" si="39"/>
        <v>0</v>
      </c>
      <c r="T222" s="25">
        <f t="shared" si="40"/>
        <v>0</v>
      </c>
      <c r="U222" s="25">
        <f>IF(T222&lt;=40000,0,
IF(T222&lt;=55000,(T222-40000)*10%,
IF(T222&lt;=70000,(T222-55000)*15%+1500,
IF(T222&lt;=200000,(T222-70000)*20%+1500+2250,
IF(T222&lt;=400000,(T222-200000)*22.5%+1500+2250+26000,
IF(T222&lt;=600000,(T222-400000)*25%+1500+2250+26000+45000,
IF(AND(T222&gt;600000,T222&lt;=1200000),(T222-400000)*25%+1500+2250+26000+45000
+IFERROR(LOOKUP(T222,{600001;700001;800001;900001},{4000;6750;10250;15250}),0),IF(T222&gt;1200000,((T222-1200000)*27.5%)+300000,0)
)))))))</f>
        <v>0</v>
      </c>
      <c r="V222" s="25">
        <f t="shared" si="41"/>
        <v>0</v>
      </c>
      <c r="W222" s="28">
        <v>0</v>
      </c>
      <c r="X222" s="28">
        <f t="shared" si="42"/>
        <v>0</v>
      </c>
      <c r="Y222" s="29"/>
      <c r="Z222" s="29">
        <f>IFERROR(+'11-2025'!$X222*'11-2025'!$Y222,"")</f>
        <v>0</v>
      </c>
      <c r="AA222" s="29"/>
      <c r="AB222" s="29">
        <f>IFERROR(+'11-2025'!$X222*'11-2025'!$AA222,"")</f>
        <v>0</v>
      </c>
      <c r="AC222" s="29"/>
      <c r="AD222" s="29">
        <f>IFERROR(+'11-2025'!$X222*'11-2025'!$AC222,"")</f>
        <v>0</v>
      </c>
      <c r="AE222" s="29"/>
      <c r="AF222" s="29">
        <f>IFERROR(+'11-2025'!$X222*'11-2025'!$AE222,"")</f>
        <v>0</v>
      </c>
      <c r="AG222" s="29"/>
      <c r="AH222" s="29">
        <f>IFERROR(+'11-2025'!$X222*'11-2025'!$AG222,"")</f>
        <v>0</v>
      </c>
      <c r="AI222" s="29">
        <v>0</v>
      </c>
      <c r="AJ222" s="29">
        <f>IFERROR('11-2025'!$Z222+'11-2025'!$AB222+'11-2025'!$AD222+'11-2025'!$AF222+'11-2025'!$AH222+'11-2025'!$AI222,"")</f>
        <v>0</v>
      </c>
      <c r="AK222" s="30">
        <f>IFERROR('11-2025'!$W222-'11-2025'!$AJ222,"")</f>
        <v>0</v>
      </c>
      <c r="AL222" s="31"/>
      <c r="AM222" s="31"/>
      <c r="AN222" s="31"/>
      <c r="AO222" s="31"/>
      <c r="AP222" s="31"/>
      <c r="AQ222" s="31"/>
      <c r="AR222" s="31">
        <v>0</v>
      </c>
      <c r="AS222" s="31">
        <v>0</v>
      </c>
      <c r="AT222" s="31">
        <v>0</v>
      </c>
      <c r="AU222" s="31">
        <v>0</v>
      </c>
      <c r="AV222" s="31">
        <v>0</v>
      </c>
      <c r="AW222" s="31">
        <v>0</v>
      </c>
      <c r="AX222" s="31">
        <v>0</v>
      </c>
      <c r="AY222" s="31">
        <v>0</v>
      </c>
      <c r="AZ222" s="31">
        <v>0</v>
      </c>
      <c r="BA222" s="31">
        <v>0</v>
      </c>
      <c r="BB222" s="31">
        <v>0</v>
      </c>
      <c r="BC222" s="31">
        <v>0</v>
      </c>
      <c r="BD222" s="31">
        <v>0</v>
      </c>
      <c r="BE222" s="31">
        <v>0</v>
      </c>
      <c r="BF222" s="31">
        <v>0</v>
      </c>
      <c r="BG222" s="31">
        <v>0</v>
      </c>
      <c r="BH222" s="31">
        <v>0</v>
      </c>
      <c r="BI222" s="31">
        <v>0</v>
      </c>
      <c r="BJ222" s="32">
        <f t="shared" si="43"/>
        <v>0</v>
      </c>
      <c r="BK222" s="41">
        <f>BJ222+AM222+AL222+'11-2025'!$N222+AN222+AO222</f>
        <v>0</v>
      </c>
      <c r="BL222" s="34">
        <f>'11-2025'!$O222</f>
        <v>0</v>
      </c>
      <c r="BM222" s="34">
        <f t="shared" si="44"/>
        <v>0</v>
      </c>
      <c r="BN222" s="34">
        <f t="shared" si="45"/>
        <v>0</v>
      </c>
      <c r="BO222" s="34">
        <f t="shared" si="46"/>
        <v>1666.6666666666667</v>
      </c>
      <c r="BP222" s="35">
        <f t="shared" si="47"/>
        <v>0</v>
      </c>
      <c r="BQ222" s="34">
        <f>IFERROR(BP222/'11-2025'!$J222,0)*12</f>
        <v>0</v>
      </c>
      <c r="BR222" s="34">
        <f>IF(BQ222&lt;=40000,0,
IF(BQ222&lt;=55000,(BQ222-40000)*10%,
IF(BQ222&lt;=70000,(BQ222-55000)*15%+1500,
IF(BQ222&lt;=200000,(BQ222-70000)*20%+1500+2250,
IF(BQ222&lt;=400000,(BQ222-200000)*22.5%+1500+2250+26000,
IF(BQ222&lt;=600000,(BQ222-400000)*25%+1500+2250+26000+45000,
IF(AND(BQ222&gt;600000,BQ222&lt;=1200000),(BQ222-400000)*25%+1500+2250+26000+45000
+IFERROR(LOOKUP(BQ222,{600001;700001;800001;900001},{4000;6750;10250;15250}),0),IF(BQ222&gt;1200000,((BQ222-1200000)*27.5%)+300000,0)
)))))))</f>
        <v>0</v>
      </c>
      <c r="BS222" s="32">
        <f>(BR222/12*'11-2025'!$J222)</f>
        <v>0</v>
      </c>
      <c r="BT222" s="33">
        <f>BS222-'11-2025'!$V222</f>
        <v>0</v>
      </c>
      <c r="BU222" s="32">
        <f>IFERROR(+'11-2025'!$W222+AL222+AM222+BJ222-'11-2025'!$AJ222-BT222+AN222+AO222,"")-AL222+AP222+AQ222</f>
        <v>0</v>
      </c>
      <c r="BV222" s="36"/>
      <c r="BW222" s="37"/>
      <c r="BX222" s="37">
        <f t="shared" si="48"/>
        <v>0</v>
      </c>
      <c r="BY222" s="37"/>
    </row>
    <row r="223" spans="1:77" x14ac:dyDescent="0.25">
      <c r="A223" s="45"/>
      <c r="B223" s="22"/>
      <c r="C223" s="22"/>
      <c r="D223" s="22"/>
      <c r="E223" s="22"/>
      <c r="F223" s="22"/>
      <c r="G223" s="23"/>
      <c r="H223" s="22"/>
      <c r="I223" s="24" t="s">
        <v>269</v>
      </c>
      <c r="J223" s="25">
        <v>1</v>
      </c>
      <c r="K223" s="25"/>
      <c r="L223" s="25"/>
      <c r="M223" s="26"/>
      <c r="N223" s="25">
        <f>SUM('11-2025'!$K223:$M223)</f>
        <v>0</v>
      </c>
      <c r="O223" s="25"/>
      <c r="P223" s="25">
        <f t="shared" si="37"/>
        <v>0</v>
      </c>
      <c r="Q223" s="25">
        <f t="shared" si="38"/>
        <v>0</v>
      </c>
      <c r="R223" s="25">
        <v>1666.6666666666667</v>
      </c>
      <c r="S223" s="27">
        <f t="shared" si="39"/>
        <v>0</v>
      </c>
      <c r="T223" s="25">
        <f t="shared" si="40"/>
        <v>0</v>
      </c>
      <c r="U223" s="25">
        <f>IF(T223&lt;=40000,0,
IF(T223&lt;=55000,(T223-40000)*10%,
IF(T223&lt;=70000,(T223-55000)*15%+1500,
IF(T223&lt;=200000,(T223-70000)*20%+1500+2250,
IF(T223&lt;=400000,(T223-200000)*22.5%+1500+2250+26000,
IF(T223&lt;=600000,(T223-400000)*25%+1500+2250+26000+45000,
IF(AND(T223&gt;600000,T223&lt;=1200000),(T223-400000)*25%+1500+2250+26000+45000
+IFERROR(LOOKUP(T223,{600001;700001;800001;900001},{4000;6750;10250;15250}),0),IF(T223&gt;1200000,((T223-1200000)*27.5%)+300000,0)
)))))))</f>
        <v>0</v>
      </c>
      <c r="V223" s="25">
        <f t="shared" si="41"/>
        <v>0</v>
      </c>
      <c r="W223" s="28">
        <v>0</v>
      </c>
      <c r="X223" s="28">
        <f t="shared" si="42"/>
        <v>0</v>
      </c>
      <c r="Y223" s="29"/>
      <c r="Z223" s="29">
        <f>IFERROR(+'11-2025'!$X223*'11-2025'!$Y223,"")</f>
        <v>0</v>
      </c>
      <c r="AA223" s="29"/>
      <c r="AB223" s="29">
        <f>IFERROR(+'11-2025'!$X223*'11-2025'!$AA223,"")</f>
        <v>0</v>
      </c>
      <c r="AC223" s="29"/>
      <c r="AD223" s="29">
        <f>IFERROR(+'11-2025'!$X223*'11-2025'!$AC223,"")</f>
        <v>0</v>
      </c>
      <c r="AE223" s="29"/>
      <c r="AF223" s="29">
        <f>IFERROR(+'11-2025'!$X223*'11-2025'!$AE223,"")</f>
        <v>0</v>
      </c>
      <c r="AG223" s="29"/>
      <c r="AH223" s="29">
        <f>IFERROR(+'11-2025'!$X223*'11-2025'!$AG223,"")</f>
        <v>0</v>
      </c>
      <c r="AI223" s="29">
        <v>0</v>
      </c>
      <c r="AJ223" s="29">
        <f>IFERROR('11-2025'!$Z223+'11-2025'!$AB223+'11-2025'!$AD223+'11-2025'!$AF223+'11-2025'!$AH223+'11-2025'!$AI223,"")</f>
        <v>0</v>
      </c>
      <c r="AK223" s="30">
        <f>IFERROR('11-2025'!$W223-'11-2025'!$AJ223,"")</f>
        <v>0</v>
      </c>
      <c r="AL223" s="31"/>
      <c r="AM223" s="31"/>
      <c r="AN223" s="31"/>
      <c r="AO223" s="31"/>
      <c r="AP223" s="31"/>
      <c r="AQ223" s="31"/>
      <c r="AR223" s="31">
        <v>0</v>
      </c>
      <c r="AS223" s="31">
        <v>0</v>
      </c>
      <c r="AT223" s="31">
        <v>0</v>
      </c>
      <c r="AU223" s="31">
        <v>0</v>
      </c>
      <c r="AV223" s="31">
        <v>0</v>
      </c>
      <c r="AW223" s="31">
        <v>0</v>
      </c>
      <c r="AX223" s="31">
        <v>0</v>
      </c>
      <c r="AY223" s="31">
        <v>0</v>
      </c>
      <c r="AZ223" s="31">
        <v>0</v>
      </c>
      <c r="BA223" s="31">
        <v>0</v>
      </c>
      <c r="BB223" s="31">
        <v>0</v>
      </c>
      <c r="BC223" s="31">
        <v>0</v>
      </c>
      <c r="BD223" s="31">
        <v>0</v>
      </c>
      <c r="BE223" s="31">
        <v>0</v>
      </c>
      <c r="BF223" s="31">
        <v>0</v>
      </c>
      <c r="BG223" s="31">
        <v>0</v>
      </c>
      <c r="BH223" s="31">
        <v>0</v>
      </c>
      <c r="BI223" s="31">
        <v>0</v>
      </c>
      <c r="BJ223" s="32">
        <f t="shared" si="43"/>
        <v>0</v>
      </c>
      <c r="BK223" s="41">
        <f>BJ223+AM223+AL223+'11-2025'!$N223+AN223+AO223</f>
        <v>0</v>
      </c>
      <c r="BL223" s="34">
        <f>'11-2025'!$O223</f>
        <v>0</v>
      </c>
      <c r="BM223" s="34">
        <f t="shared" si="44"/>
        <v>0</v>
      </c>
      <c r="BN223" s="34">
        <f t="shared" si="45"/>
        <v>0</v>
      </c>
      <c r="BO223" s="34">
        <f t="shared" si="46"/>
        <v>1666.6666666666667</v>
      </c>
      <c r="BP223" s="35">
        <f t="shared" si="47"/>
        <v>0</v>
      </c>
      <c r="BQ223" s="34">
        <f>IFERROR(BP223/'11-2025'!$J223,0)*12</f>
        <v>0</v>
      </c>
      <c r="BR223" s="34">
        <f>IF(BQ223&lt;=40000,0,
IF(BQ223&lt;=55000,(BQ223-40000)*10%,
IF(BQ223&lt;=70000,(BQ223-55000)*15%+1500,
IF(BQ223&lt;=200000,(BQ223-70000)*20%+1500+2250,
IF(BQ223&lt;=400000,(BQ223-200000)*22.5%+1500+2250+26000,
IF(BQ223&lt;=600000,(BQ223-400000)*25%+1500+2250+26000+45000,
IF(AND(BQ223&gt;600000,BQ223&lt;=1200000),(BQ223-400000)*25%+1500+2250+26000+45000
+IFERROR(LOOKUP(BQ223,{600001;700001;800001;900001},{4000;6750;10250;15250}),0),IF(BQ223&gt;1200000,((BQ223-1200000)*27.5%)+300000,0)
)))))))</f>
        <v>0</v>
      </c>
      <c r="BS223" s="32">
        <f>(BR223/12*'11-2025'!$J223)</f>
        <v>0</v>
      </c>
      <c r="BT223" s="33">
        <f>BS223-'11-2025'!$V223</f>
        <v>0</v>
      </c>
      <c r="BU223" s="32">
        <f>IFERROR(+'11-2025'!$W223+AL223+AM223+BJ223-'11-2025'!$AJ223-BT223+AN223+AO223,"")-AL223+AP223+AQ223</f>
        <v>0</v>
      </c>
      <c r="BV223" s="36"/>
      <c r="BW223" s="37"/>
      <c r="BX223" s="37">
        <f t="shared" si="48"/>
        <v>0</v>
      </c>
      <c r="BY223" s="37"/>
    </row>
    <row r="224" spans="1:77" x14ac:dyDescent="0.25">
      <c r="A224" s="45"/>
      <c r="B224" s="22"/>
      <c r="C224" s="22"/>
      <c r="D224" s="22"/>
      <c r="E224" s="22"/>
      <c r="F224" s="22"/>
      <c r="G224" s="23"/>
      <c r="H224" s="22"/>
      <c r="I224" s="24" t="s">
        <v>269</v>
      </c>
      <c r="J224" s="25">
        <v>1</v>
      </c>
      <c r="K224" s="25"/>
      <c r="L224" s="25"/>
      <c r="M224" s="26"/>
      <c r="N224" s="25">
        <f>SUM('11-2025'!$K224:$M224)</f>
        <v>0</v>
      </c>
      <c r="O224" s="25"/>
      <c r="P224" s="25">
        <f t="shared" si="37"/>
        <v>0</v>
      </c>
      <c r="Q224" s="25">
        <f t="shared" si="38"/>
        <v>0</v>
      </c>
      <c r="R224" s="25">
        <v>1666.6666666666667</v>
      </c>
      <c r="S224" s="27">
        <f t="shared" si="39"/>
        <v>0</v>
      </c>
      <c r="T224" s="25">
        <f t="shared" si="40"/>
        <v>0</v>
      </c>
      <c r="U224" s="25">
        <f>IF(T224&lt;=40000,0,
IF(T224&lt;=55000,(T224-40000)*10%,
IF(T224&lt;=70000,(T224-55000)*15%+1500,
IF(T224&lt;=200000,(T224-70000)*20%+1500+2250,
IF(T224&lt;=400000,(T224-200000)*22.5%+1500+2250+26000,
IF(T224&lt;=600000,(T224-400000)*25%+1500+2250+26000+45000,
IF(AND(T224&gt;600000,T224&lt;=1200000),(T224-400000)*25%+1500+2250+26000+45000
+IFERROR(LOOKUP(T224,{600001;700001;800001;900001},{4000;6750;10250;15250}),0),IF(T224&gt;1200000,((T224-1200000)*27.5%)+300000,0)
)))))))</f>
        <v>0</v>
      </c>
      <c r="V224" s="25">
        <f t="shared" si="41"/>
        <v>0</v>
      </c>
      <c r="W224" s="28">
        <v>0</v>
      </c>
      <c r="X224" s="28">
        <f t="shared" si="42"/>
        <v>0</v>
      </c>
      <c r="Y224" s="29"/>
      <c r="Z224" s="29">
        <f>IFERROR(+'11-2025'!$X224*'11-2025'!$Y224,"")</f>
        <v>0</v>
      </c>
      <c r="AA224" s="29"/>
      <c r="AB224" s="29">
        <f>IFERROR(+'11-2025'!$X224*'11-2025'!$AA224,"")</f>
        <v>0</v>
      </c>
      <c r="AC224" s="29"/>
      <c r="AD224" s="29">
        <f>IFERROR(+'11-2025'!$X224*'11-2025'!$AC224,"")</f>
        <v>0</v>
      </c>
      <c r="AE224" s="29"/>
      <c r="AF224" s="29">
        <f>IFERROR(+'11-2025'!$X224*'11-2025'!$AE224,"")</f>
        <v>0</v>
      </c>
      <c r="AG224" s="29"/>
      <c r="AH224" s="29">
        <f>IFERROR(+'11-2025'!$X224*'11-2025'!$AG224,"")</f>
        <v>0</v>
      </c>
      <c r="AI224" s="29">
        <v>0</v>
      </c>
      <c r="AJ224" s="29">
        <f>IFERROR('11-2025'!$Z224+'11-2025'!$AB224+'11-2025'!$AD224+'11-2025'!$AF224+'11-2025'!$AH224+'11-2025'!$AI224,"")</f>
        <v>0</v>
      </c>
      <c r="AK224" s="30">
        <f>IFERROR('11-2025'!$W224-'11-2025'!$AJ224,"")</f>
        <v>0</v>
      </c>
      <c r="AL224" s="31"/>
      <c r="AM224" s="31"/>
      <c r="AN224" s="31"/>
      <c r="AO224" s="31"/>
      <c r="AP224" s="31"/>
      <c r="AQ224" s="31"/>
      <c r="AR224" s="31">
        <v>0</v>
      </c>
      <c r="AS224" s="31">
        <v>0</v>
      </c>
      <c r="AT224" s="31">
        <v>0</v>
      </c>
      <c r="AU224" s="31">
        <v>0</v>
      </c>
      <c r="AV224" s="31">
        <v>0</v>
      </c>
      <c r="AW224" s="31">
        <v>0</v>
      </c>
      <c r="AX224" s="31">
        <v>0</v>
      </c>
      <c r="AY224" s="31">
        <v>0</v>
      </c>
      <c r="AZ224" s="31">
        <v>0</v>
      </c>
      <c r="BA224" s="31">
        <v>0</v>
      </c>
      <c r="BB224" s="31">
        <v>0</v>
      </c>
      <c r="BC224" s="31">
        <v>0</v>
      </c>
      <c r="BD224" s="31">
        <v>0</v>
      </c>
      <c r="BE224" s="31">
        <v>0</v>
      </c>
      <c r="BF224" s="31">
        <v>0</v>
      </c>
      <c r="BG224" s="31">
        <v>0</v>
      </c>
      <c r="BH224" s="31">
        <v>0</v>
      </c>
      <c r="BI224" s="31">
        <v>0</v>
      </c>
      <c r="BJ224" s="32">
        <f t="shared" si="43"/>
        <v>0</v>
      </c>
      <c r="BK224" s="41">
        <f>BJ224+AM224+AL224+'11-2025'!$N224+AN224+AO224</f>
        <v>0</v>
      </c>
      <c r="BL224" s="34">
        <f>'11-2025'!$O224</f>
        <v>0</v>
      </c>
      <c r="BM224" s="34">
        <f t="shared" si="44"/>
        <v>0</v>
      </c>
      <c r="BN224" s="34">
        <f t="shared" si="45"/>
        <v>0</v>
      </c>
      <c r="BO224" s="34">
        <f t="shared" si="46"/>
        <v>1666.6666666666667</v>
      </c>
      <c r="BP224" s="35">
        <f t="shared" si="47"/>
        <v>0</v>
      </c>
      <c r="BQ224" s="34">
        <f>IFERROR(BP224/'11-2025'!$J224,0)*12</f>
        <v>0</v>
      </c>
      <c r="BR224" s="34">
        <f>IF(BQ224&lt;=40000,0,
IF(BQ224&lt;=55000,(BQ224-40000)*10%,
IF(BQ224&lt;=70000,(BQ224-55000)*15%+1500,
IF(BQ224&lt;=200000,(BQ224-70000)*20%+1500+2250,
IF(BQ224&lt;=400000,(BQ224-200000)*22.5%+1500+2250+26000,
IF(BQ224&lt;=600000,(BQ224-400000)*25%+1500+2250+26000+45000,
IF(AND(BQ224&gt;600000,BQ224&lt;=1200000),(BQ224-400000)*25%+1500+2250+26000+45000
+IFERROR(LOOKUP(BQ224,{600001;700001;800001;900001},{4000;6750;10250;15250}),0),IF(BQ224&gt;1200000,((BQ224-1200000)*27.5%)+300000,0)
)))))))</f>
        <v>0</v>
      </c>
      <c r="BS224" s="32">
        <f>(BR224/12*'11-2025'!$J224)</f>
        <v>0</v>
      </c>
      <c r="BT224" s="33">
        <f>BS224-'11-2025'!$V224</f>
        <v>0</v>
      </c>
      <c r="BU224" s="32">
        <f>IFERROR(+'11-2025'!$W224+AL224+AM224+BJ224-'11-2025'!$AJ224-BT224+AN224+AO224,"")-AL224+AP224+AQ224</f>
        <v>0</v>
      </c>
      <c r="BV224" s="36"/>
      <c r="BW224" s="37"/>
      <c r="BX224" s="37">
        <f t="shared" si="48"/>
        <v>0</v>
      </c>
      <c r="BY224" s="37"/>
    </row>
    <row r="225" spans="1:77" x14ac:dyDescent="0.25">
      <c r="A225" s="45"/>
      <c r="B225" s="22"/>
      <c r="C225" s="22"/>
      <c r="D225" s="22"/>
      <c r="E225" s="22"/>
      <c r="F225" s="22"/>
      <c r="G225" s="23"/>
      <c r="H225" s="22"/>
      <c r="I225" s="24" t="s">
        <v>269</v>
      </c>
      <c r="J225" s="25">
        <v>1</v>
      </c>
      <c r="K225" s="25"/>
      <c r="L225" s="25"/>
      <c r="M225" s="26"/>
      <c r="N225" s="25">
        <f>SUM('11-2025'!$K225:$M225)</f>
        <v>0</v>
      </c>
      <c r="O225" s="25"/>
      <c r="P225" s="25">
        <f t="shared" si="37"/>
        <v>0</v>
      </c>
      <c r="Q225" s="25">
        <f t="shared" si="38"/>
        <v>0</v>
      </c>
      <c r="R225" s="25">
        <v>1666.6666666666667</v>
      </c>
      <c r="S225" s="27">
        <f t="shared" si="39"/>
        <v>0</v>
      </c>
      <c r="T225" s="25">
        <f t="shared" si="40"/>
        <v>0</v>
      </c>
      <c r="U225" s="25">
        <f>IF(T225&lt;=40000,0,
IF(T225&lt;=55000,(T225-40000)*10%,
IF(T225&lt;=70000,(T225-55000)*15%+1500,
IF(T225&lt;=200000,(T225-70000)*20%+1500+2250,
IF(T225&lt;=400000,(T225-200000)*22.5%+1500+2250+26000,
IF(T225&lt;=600000,(T225-400000)*25%+1500+2250+26000+45000,
IF(AND(T225&gt;600000,T225&lt;=1200000),(T225-400000)*25%+1500+2250+26000+45000
+IFERROR(LOOKUP(T225,{600001;700001;800001;900001},{4000;6750;10250;15250}),0),IF(T225&gt;1200000,((T225-1200000)*27.5%)+300000,0)
)))))))</f>
        <v>0</v>
      </c>
      <c r="V225" s="25">
        <f t="shared" si="41"/>
        <v>0</v>
      </c>
      <c r="W225" s="28">
        <v>0</v>
      </c>
      <c r="X225" s="28">
        <f t="shared" si="42"/>
        <v>0</v>
      </c>
      <c r="Y225" s="29"/>
      <c r="Z225" s="29">
        <f>IFERROR(+'11-2025'!$X225*'11-2025'!$Y225,"")</f>
        <v>0</v>
      </c>
      <c r="AA225" s="29"/>
      <c r="AB225" s="29">
        <f>IFERROR(+'11-2025'!$X225*'11-2025'!$AA225,"")</f>
        <v>0</v>
      </c>
      <c r="AC225" s="29"/>
      <c r="AD225" s="29">
        <f>IFERROR(+'11-2025'!$X225*'11-2025'!$AC225,"")</f>
        <v>0</v>
      </c>
      <c r="AE225" s="29"/>
      <c r="AF225" s="29">
        <f>IFERROR(+'11-2025'!$X225*'11-2025'!$AE225,"")</f>
        <v>0</v>
      </c>
      <c r="AG225" s="29"/>
      <c r="AH225" s="29">
        <f>IFERROR(+'11-2025'!$X225*'11-2025'!$AG225,"")</f>
        <v>0</v>
      </c>
      <c r="AI225" s="29">
        <v>0</v>
      </c>
      <c r="AJ225" s="29">
        <f>IFERROR('11-2025'!$Z225+'11-2025'!$AB225+'11-2025'!$AD225+'11-2025'!$AF225+'11-2025'!$AH225+'11-2025'!$AI225,"")</f>
        <v>0</v>
      </c>
      <c r="AK225" s="30">
        <f>IFERROR('11-2025'!$W225-'11-2025'!$AJ225,"")</f>
        <v>0</v>
      </c>
      <c r="AL225" s="31"/>
      <c r="AM225" s="31"/>
      <c r="AN225" s="31"/>
      <c r="AO225" s="31"/>
      <c r="AP225" s="31"/>
      <c r="AQ225" s="31"/>
      <c r="AR225" s="31">
        <v>0</v>
      </c>
      <c r="AS225" s="31">
        <v>0</v>
      </c>
      <c r="AT225" s="31">
        <v>0</v>
      </c>
      <c r="AU225" s="31">
        <v>0</v>
      </c>
      <c r="AV225" s="31">
        <v>0</v>
      </c>
      <c r="AW225" s="31">
        <v>0</v>
      </c>
      <c r="AX225" s="31">
        <v>0</v>
      </c>
      <c r="AY225" s="31">
        <v>0</v>
      </c>
      <c r="AZ225" s="31">
        <v>0</v>
      </c>
      <c r="BA225" s="31">
        <v>0</v>
      </c>
      <c r="BB225" s="31">
        <v>0</v>
      </c>
      <c r="BC225" s="31">
        <v>0</v>
      </c>
      <c r="BD225" s="31">
        <v>0</v>
      </c>
      <c r="BE225" s="31">
        <v>0</v>
      </c>
      <c r="BF225" s="31">
        <v>0</v>
      </c>
      <c r="BG225" s="31">
        <v>0</v>
      </c>
      <c r="BH225" s="31">
        <v>0</v>
      </c>
      <c r="BI225" s="31">
        <v>0</v>
      </c>
      <c r="BJ225" s="32">
        <f t="shared" si="43"/>
        <v>0</v>
      </c>
      <c r="BK225" s="41">
        <f>BJ225+AM225+AL225+'11-2025'!$N225+AN225+AO225</f>
        <v>0</v>
      </c>
      <c r="BL225" s="34">
        <f>'11-2025'!$O225</f>
        <v>0</v>
      </c>
      <c r="BM225" s="34">
        <f t="shared" si="44"/>
        <v>0</v>
      </c>
      <c r="BN225" s="34">
        <f t="shared" si="45"/>
        <v>0</v>
      </c>
      <c r="BO225" s="34">
        <f t="shared" si="46"/>
        <v>1666.6666666666667</v>
      </c>
      <c r="BP225" s="35">
        <f t="shared" si="47"/>
        <v>0</v>
      </c>
      <c r="BQ225" s="34">
        <f>IFERROR(BP225/'11-2025'!$J225,0)*12</f>
        <v>0</v>
      </c>
      <c r="BR225" s="34">
        <f>IF(BQ225&lt;=40000,0,
IF(BQ225&lt;=55000,(BQ225-40000)*10%,
IF(BQ225&lt;=70000,(BQ225-55000)*15%+1500,
IF(BQ225&lt;=200000,(BQ225-70000)*20%+1500+2250,
IF(BQ225&lt;=400000,(BQ225-200000)*22.5%+1500+2250+26000,
IF(BQ225&lt;=600000,(BQ225-400000)*25%+1500+2250+26000+45000,
IF(AND(BQ225&gt;600000,BQ225&lt;=1200000),(BQ225-400000)*25%+1500+2250+26000+45000
+IFERROR(LOOKUP(BQ225,{600001;700001;800001;900001},{4000;6750;10250;15250}),0),IF(BQ225&gt;1200000,((BQ225-1200000)*27.5%)+300000,0)
)))))))</f>
        <v>0</v>
      </c>
      <c r="BS225" s="32">
        <f>(BR225/12*'11-2025'!$J225)</f>
        <v>0</v>
      </c>
      <c r="BT225" s="33">
        <f>BS225-'11-2025'!$V225</f>
        <v>0</v>
      </c>
      <c r="BU225" s="32">
        <f>IFERROR(+'11-2025'!$W225+AL225+AM225+BJ225-'11-2025'!$AJ225-BT225+AN225+AO225,"")-AL225+AP225+AQ225</f>
        <v>0</v>
      </c>
      <c r="BV225" s="36"/>
      <c r="BW225" s="37"/>
      <c r="BX225" s="37">
        <f t="shared" si="48"/>
        <v>0</v>
      </c>
      <c r="BY225" s="37"/>
    </row>
    <row r="226" spans="1:77" x14ac:dyDescent="0.25">
      <c r="A226" s="45"/>
      <c r="B226" s="22"/>
      <c r="C226" s="22"/>
      <c r="D226" s="22"/>
      <c r="E226" s="22"/>
      <c r="F226" s="22"/>
      <c r="G226" s="23"/>
      <c r="H226" s="22"/>
      <c r="I226" s="24" t="s">
        <v>269</v>
      </c>
      <c r="J226" s="25">
        <v>1</v>
      </c>
      <c r="K226" s="25"/>
      <c r="L226" s="25"/>
      <c r="M226" s="26"/>
      <c r="N226" s="25">
        <f>SUM('11-2025'!$K226:$M226)</f>
        <v>0</v>
      </c>
      <c r="O226" s="25"/>
      <c r="P226" s="25">
        <f t="shared" si="37"/>
        <v>0</v>
      </c>
      <c r="Q226" s="25">
        <f t="shared" si="38"/>
        <v>0</v>
      </c>
      <c r="R226" s="25">
        <v>1666.6666666666667</v>
      </c>
      <c r="S226" s="27">
        <f t="shared" si="39"/>
        <v>0</v>
      </c>
      <c r="T226" s="25">
        <f t="shared" si="40"/>
        <v>0</v>
      </c>
      <c r="U226" s="25">
        <f>IF(T226&lt;=40000,0,
IF(T226&lt;=55000,(T226-40000)*10%,
IF(T226&lt;=70000,(T226-55000)*15%+1500,
IF(T226&lt;=200000,(T226-70000)*20%+1500+2250,
IF(T226&lt;=400000,(T226-200000)*22.5%+1500+2250+26000,
IF(T226&lt;=600000,(T226-400000)*25%+1500+2250+26000+45000,
IF(AND(T226&gt;600000,T226&lt;=1200000),(T226-400000)*25%+1500+2250+26000+45000
+IFERROR(LOOKUP(T226,{600001;700001;800001;900001},{4000;6750;10250;15250}),0),IF(T226&gt;1200000,((T226-1200000)*27.5%)+300000,0)
)))))))</f>
        <v>0</v>
      </c>
      <c r="V226" s="25">
        <f t="shared" si="41"/>
        <v>0</v>
      </c>
      <c r="W226" s="28">
        <v>0</v>
      </c>
      <c r="X226" s="28">
        <f t="shared" si="42"/>
        <v>0</v>
      </c>
      <c r="Y226" s="29"/>
      <c r="Z226" s="29">
        <f>IFERROR(+'11-2025'!$X226*'11-2025'!$Y226,"")</f>
        <v>0</v>
      </c>
      <c r="AA226" s="29"/>
      <c r="AB226" s="29">
        <f>IFERROR(+'11-2025'!$X226*'11-2025'!$AA226,"")</f>
        <v>0</v>
      </c>
      <c r="AC226" s="29"/>
      <c r="AD226" s="29">
        <f>IFERROR(+'11-2025'!$X226*'11-2025'!$AC226,"")</f>
        <v>0</v>
      </c>
      <c r="AE226" s="29"/>
      <c r="AF226" s="29">
        <f>IFERROR(+'11-2025'!$X226*'11-2025'!$AE226,"")</f>
        <v>0</v>
      </c>
      <c r="AG226" s="29"/>
      <c r="AH226" s="29">
        <f>IFERROR(+'11-2025'!$X226*'11-2025'!$AG226,"")</f>
        <v>0</v>
      </c>
      <c r="AI226" s="29">
        <v>0</v>
      </c>
      <c r="AJ226" s="29">
        <f>IFERROR('11-2025'!$Z226+'11-2025'!$AB226+'11-2025'!$AD226+'11-2025'!$AF226+'11-2025'!$AH226+'11-2025'!$AI226,"")</f>
        <v>0</v>
      </c>
      <c r="AK226" s="30">
        <f>IFERROR('11-2025'!$W226-'11-2025'!$AJ226,"")</f>
        <v>0</v>
      </c>
      <c r="AL226" s="31"/>
      <c r="AM226" s="31"/>
      <c r="AN226" s="31"/>
      <c r="AO226" s="31"/>
      <c r="AP226" s="31"/>
      <c r="AQ226" s="31"/>
      <c r="AR226" s="31">
        <v>0</v>
      </c>
      <c r="AS226" s="31">
        <v>0</v>
      </c>
      <c r="AT226" s="31">
        <v>0</v>
      </c>
      <c r="AU226" s="31">
        <v>0</v>
      </c>
      <c r="AV226" s="31">
        <v>0</v>
      </c>
      <c r="AW226" s="31">
        <v>0</v>
      </c>
      <c r="AX226" s="31">
        <v>0</v>
      </c>
      <c r="AY226" s="31">
        <v>0</v>
      </c>
      <c r="AZ226" s="31">
        <v>0</v>
      </c>
      <c r="BA226" s="31">
        <v>0</v>
      </c>
      <c r="BB226" s="31">
        <v>0</v>
      </c>
      <c r="BC226" s="31">
        <v>0</v>
      </c>
      <c r="BD226" s="31">
        <v>0</v>
      </c>
      <c r="BE226" s="31">
        <v>0</v>
      </c>
      <c r="BF226" s="31">
        <v>0</v>
      </c>
      <c r="BG226" s="31">
        <v>0</v>
      </c>
      <c r="BH226" s="31">
        <v>0</v>
      </c>
      <c r="BI226" s="31">
        <v>0</v>
      </c>
      <c r="BJ226" s="32">
        <f t="shared" si="43"/>
        <v>0</v>
      </c>
      <c r="BK226" s="41">
        <f>BJ226+AM226+AL226+'11-2025'!$N226+AN226+AO226</f>
        <v>0</v>
      </c>
      <c r="BL226" s="34">
        <f>'11-2025'!$O226</f>
        <v>0</v>
      </c>
      <c r="BM226" s="34">
        <f t="shared" si="44"/>
        <v>0</v>
      </c>
      <c r="BN226" s="34">
        <f t="shared" si="45"/>
        <v>0</v>
      </c>
      <c r="BO226" s="34">
        <f t="shared" si="46"/>
        <v>1666.6666666666667</v>
      </c>
      <c r="BP226" s="35">
        <f t="shared" si="47"/>
        <v>0</v>
      </c>
      <c r="BQ226" s="34">
        <f>IFERROR(BP226/'11-2025'!$J226,0)*12</f>
        <v>0</v>
      </c>
      <c r="BR226" s="34">
        <f>IF(BQ226&lt;=40000,0,
IF(BQ226&lt;=55000,(BQ226-40000)*10%,
IF(BQ226&lt;=70000,(BQ226-55000)*15%+1500,
IF(BQ226&lt;=200000,(BQ226-70000)*20%+1500+2250,
IF(BQ226&lt;=400000,(BQ226-200000)*22.5%+1500+2250+26000,
IF(BQ226&lt;=600000,(BQ226-400000)*25%+1500+2250+26000+45000,
IF(AND(BQ226&gt;600000,BQ226&lt;=1200000),(BQ226-400000)*25%+1500+2250+26000+45000
+IFERROR(LOOKUP(BQ226,{600001;700001;800001;900001},{4000;6750;10250;15250}),0),IF(BQ226&gt;1200000,((BQ226-1200000)*27.5%)+300000,0)
)))))))</f>
        <v>0</v>
      </c>
      <c r="BS226" s="32">
        <f>(BR226/12*'11-2025'!$J226)</f>
        <v>0</v>
      </c>
      <c r="BT226" s="33">
        <f>BS226-'11-2025'!$V226</f>
        <v>0</v>
      </c>
      <c r="BU226" s="32">
        <f>IFERROR(+'11-2025'!$W226+AL226+AM226+BJ226-'11-2025'!$AJ226-BT226+AN226+AO226,"")-AL226+AP226+AQ226</f>
        <v>0</v>
      </c>
      <c r="BV226" s="36"/>
      <c r="BW226" s="37"/>
      <c r="BX226" s="37">
        <f t="shared" si="48"/>
        <v>0</v>
      </c>
      <c r="BY226" s="37"/>
    </row>
    <row r="227" spans="1:77" x14ac:dyDescent="0.25">
      <c r="A227" s="45"/>
      <c r="B227" s="22"/>
      <c r="C227" s="22"/>
      <c r="D227" s="22"/>
      <c r="E227" s="22"/>
      <c r="F227" s="22"/>
      <c r="G227" s="23"/>
      <c r="H227" s="22"/>
      <c r="I227" s="24" t="s">
        <v>269</v>
      </c>
      <c r="J227" s="25">
        <v>1</v>
      </c>
      <c r="K227" s="25"/>
      <c r="L227" s="25"/>
      <c r="M227" s="26"/>
      <c r="N227" s="25">
        <f>SUM('11-2025'!$K227:$M227)</f>
        <v>0</v>
      </c>
      <c r="O227" s="25"/>
      <c r="P227" s="25">
        <f t="shared" si="37"/>
        <v>0</v>
      </c>
      <c r="Q227" s="25">
        <f t="shared" si="38"/>
        <v>0</v>
      </c>
      <c r="R227" s="25">
        <v>1666.6666666666667</v>
      </c>
      <c r="S227" s="27">
        <f t="shared" si="39"/>
        <v>0</v>
      </c>
      <c r="T227" s="25">
        <f t="shared" si="40"/>
        <v>0</v>
      </c>
      <c r="U227" s="25">
        <f>IF(T227&lt;=40000,0,
IF(T227&lt;=55000,(T227-40000)*10%,
IF(T227&lt;=70000,(T227-55000)*15%+1500,
IF(T227&lt;=200000,(T227-70000)*20%+1500+2250,
IF(T227&lt;=400000,(T227-200000)*22.5%+1500+2250+26000,
IF(T227&lt;=600000,(T227-400000)*25%+1500+2250+26000+45000,
IF(AND(T227&gt;600000,T227&lt;=1200000),(T227-400000)*25%+1500+2250+26000+45000
+IFERROR(LOOKUP(T227,{600001;700001;800001;900001},{4000;6750;10250;15250}),0),IF(T227&gt;1200000,((T227-1200000)*27.5%)+300000,0)
)))))))</f>
        <v>0</v>
      </c>
      <c r="V227" s="25">
        <f t="shared" si="41"/>
        <v>0</v>
      </c>
      <c r="W227" s="28">
        <v>0</v>
      </c>
      <c r="X227" s="28">
        <f t="shared" si="42"/>
        <v>0</v>
      </c>
      <c r="Y227" s="29"/>
      <c r="Z227" s="29">
        <f>IFERROR(+'11-2025'!$X227*'11-2025'!$Y227,"")</f>
        <v>0</v>
      </c>
      <c r="AA227" s="29"/>
      <c r="AB227" s="29">
        <f>IFERROR(+'11-2025'!$X227*'11-2025'!$AA227,"")</f>
        <v>0</v>
      </c>
      <c r="AC227" s="29"/>
      <c r="AD227" s="29">
        <f>IFERROR(+'11-2025'!$X227*'11-2025'!$AC227,"")</f>
        <v>0</v>
      </c>
      <c r="AE227" s="29"/>
      <c r="AF227" s="29">
        <f>IFERROR(+'11-2025'!$X227*'11-2025'!$AE227,"")</f>
        <v>0</v>
      </c>
      <c r="AG227" s="29"/>
      <c r="AH227" s="29">
        <f>IFERROR(+'11-2025'!$X227*'11-2025'!$AG227,"")</f>
        <v>0</v>
      </c>
      <c r="AI227" s="29">
        <v>0</v>
      </c>
      <c r="AJ227" s="29">
        <f>IFERROR('11-2025'!$Z227+'11-2025'!$AB227+'11-2025'!$AD227+'11-2025'!$AF227+'11-2025'!$AH227+'11-2025'!$AI227,"")</f>
        <v>0</v>
      </c>
      <c r="AK227" s="30">
        <f>IFERROR('11-2025'!$W227-'11-2025'!$AJ227,"")</f>
        <v>0</v>
      </c>
      <c r="AL227" s="31"/>
      <c r="AM227" s="31"/>
      <c r="AN227" s="31"/>
      <c r="AO227" s="31"/>
      <c r="AP227" s="31"/>
      <c r="AQ227" s="31"/>
      <c r="AR227" s="31">
        <v>0</v>
      </c>
      <c r="AS227" s="31">
        <v>0</v>
      </c>
      <c r="AT227" s="31">
        <v>0</v>
      </c>
      <c r="AU227" s="31">
        <v>0</v>
      </c>
      <c r="AV227" s="31">
        <v>0</v>
      </c>
      <c r="AW227" s="31">
        <v>0</v>
      </c>
      <c r="AX227" s="31">
        <v>0</v>
      </c>
      <c r="AY227" s="31">
        <v>0</v>
      </c>
      <c r="AZ227" s="31">
        <v>0</v>
      </c>
      <c r="BA227" s="31">
        <v>0</v>
      </c>
      <c r="BB227" s="31">
        <v>0</v>
      </c>
      <c r="BC227" s="31">
        <v>0</v>
      </c>
      <c r="BD227" s="31">
        <v>0</v>
      </c>
      <c r="BE227" s="31">
        <v>0</v>
      </c>
      <c r="BF227" s="31">
        <v>0</v>
      </c>
      <c r="BG227" s="31">
        <v>0</v>
      </c>
      <c r="BH227" s="31">
        <v>0</v>
      </c>
      <c r="BI227" s="31">
        <v>0</v>
      </c>
      <c r="BJ227" s="32">
        <f t="shared" si="43"/>
        <v>0</v>
      </c>
      <c r="BK227" s="41">
        <f>BJ227+AM227+AL227+'11-2025'!$N227+AN227+AO227</f>
        <v>0</v>
      </c>
      <c r="BL227" s="34">
        <f>'11-2025'!$O227</f>
        <v>0</v>
      </c>
      <c r="BM227" s="34">
        <f t="shared" si="44"/>
        <v>0</v>
      </c>
      <c r="BN227" s="34">
        <f t="shared" si="45"/>
        <v>0</v>
      </c>
      <c r="BO227" s="34">
        <f t="shared" si="46"/>
        <v>1666.6666666666667</v>
      </c>
      <c r="BP227" s="35">
        <f t="shared" si="47"/>
        <v>0</v>
      </c>
      <c r="BQ227" s="34">
        <f>IFERROR(BP227/'11-2025'!$J227,0)*12</f>
        <v>0</v>
      </c>
      <c r="BR227" s="34">
        <f>IF(BQ227&lt;=40000,0,
IF(BQ227&lt;=55000,(BQ227-40000)*10%,
IF(BQ227&lt;=70000,(BQ227-55000)*15%+1500,
IF(BQ227&lt;=200000,(BQ227-70000)*20%+1500+2250,
IF(BQ227&lt;=400000,(BQ227-200000)*22.5%+1500+2250+26000,
IF(BQ227&lt;=600000,(BQ227-400000)*25%+1500+2250+26000+45000,
IF(AND(BQ227&gt;600000,BQ227&lt;=1200000),(BQ227-400000)*25%+1500+2250+26000+45000
+IFERROR(LOOKUP(BQ227,{600001;700001;800001;900001},{4000;6750;10250;15250}),0),IF(BQ227&gt;1200000,((BQ227-1200000)*27.5%)+300000,0)
)))))))</f>
        <v>0</v>
      </c>
      <c r="BS227" s="32">
        <f>(BR227/12*'11-2025'!$J227)</f>
        <v>0</v>
      </c>
      <c r="BT227" s="33">
        <f>BS227-'11-2025'!$V227</f>
        <v>0</v>
      </c>
      <c r="BU227" s="32">
        <f>IFERROR(+'11-2025'!$W227+AL227+AM227+BJ227-'11-2025'!$AJ227-BT227+AN227+AO227,"")-AL227+AP227+AQ227</f>
        <v>0</v>
      </c>
      <c r="BV227" s="36"/>
      <c r="BW227" s="37"/>
      <c r="BX227" s="37">
        <f t="shared" si="48"/>
        <v>0</v>
      </c>
      <c r="BY227" s="37"/>
    </row>
    <row r="228" spans="1:77" x14ac:dyDescent="0.25">
      <c r="A228" s="45"/>
      <c r="B228" s="22"/>
      <c r="C228" s="22"/>
      <c r="D228" s="22"/>
      <c r="E228" s="22"/>
      <c r="F228" s="22"/>
      <c r="G228" s="23"/>
      <c r="H228" s="22"/>
      <c r="I228" s="24" t="s">
        <v>269</v>
      </c>
      <c r="J228" s="25">
        <v>1</v>
      </c>
      <c r="K228" s="25"/>
      <c r="L228" s="25"/>
      <c r="M228" s="26"/>
      <c r="N228" s="25">
        <f>SUM('11-2025'!$K228:$M228)</f>
        <v>0</v>
      </c>
      <c r="O228" s="25"/>
      <c r="P228" s="25">
        <f t="shared" si="37"/>
        <v>0</v>
      </c>
      <c r="Q228" s="25">
        <f t="shared" si="38"/>
        <v>0</v>
      </c>
      <c r="R228" s="25">
        <v>1666.6666666666667</v>
      </c>
      <c r="S228" s="27">
        <f t="shared" si="39"/>
        <v>0</v>
      </c>
      <c r="T228" s="25">
        <f t="shared" si="40"/>
        <v>0</v>
      </c>
      <c r="U228" s="25">
        <f>IF(T228&lt;=40000,0,
IF(T228&lt;=55000,(T228-40000)*10%,
IF(T228&lt;=70000,(T228-55000)*15%+1500,
IF(T228&lt;=200000,(T228-70000)*20%+1500+2250,
IF(T228&lt;=400000,(T228-200000)*22.5%+1500+2250+26000,
IF(T228&lt;=600000,(T228-400000)*25%+1500+2250+26000+45000,
IF(AND(T228&gt;600000,T228&lt;=1200000),(T228-400000)*25%+1500+2250+26000+45000
+IFERROR(LOOKUP(T228,{600001;700001;800001;900001},{4000;6750;10250;15250}),0),IF(T228&gt;1200000,((T228-1200000)*27.5%)+300000,0)
)))))))</f>
        <v>0</v>
      </c>
      <c r="V228" s="25">
        <f t="shared" si="41"/>
        <v>0</v>
      </c>
      <c r="W228" s="28">
        <v>0</v>
      </c>
      <c r="X228" s="28">
        <f t="shared" si="42"/>
        <v>0</v>
      </c>
      <c r="Y228" s="29"/>
      <c r="Z228" s="29">
        <f>IFERROR(+'11-2025'!$X228*'11-2025'!$Y228,"")</f>
        <v>0</v>
      </c>
      <c r="AA228" s="29"/>
      <c r="AB228" s="29">
        <f>IFERROR(+'11-2025'!$X228*'11-2025'!$AA228,"")</f>
        <v>0</v>
      </c>
      <c r="AC228" s="29"/>
      <c r="AD228" s="29">
        <f>IFERROR(+'11-2025'!$X228*'11-2025'!$AC228,"")</f>
        <v>0</v>
      </c>
      <c r="AE228" s="29"/>
      <c r="AF228" s="29">
        <f>IFERROR(+'11-2025'!$X228*'11-2025'!$AE228,"")</f>
        <v>0</v>
      </c>
      <c r="AG228" s="29"/>
      <c r="AH228" s="29">
        <f>IFERROR(+'11-2025'!$X228*'11-2025'!$AG228,"")</f>
        <v>0</v>
      </c>
      <c r="AI228" s="29">
        <v>0</v>
      </c>
      <c r="AJ228" s="29">
        <f>IFERROR('11-2025'!$Z228+'11-2025'!$AB228+'11-2025'!$AD228+'11-2025'!$AF228+'11-2025'!$AH228+'11-2025'!$AI228,"")</f>
        <v>0</v>
      </c>
      <c r="AK228" s="30">
        <f>IFERROR('11-2025'!$W228-'11-2025'!$AJ228,"")</f>
        <v>0</v>
      </c>
      <c r="AL228" s="31"/>
      <c r="AM228" s="31"/>
      <c r="AN228" s="31"/>
      <c r="AO228" s="31"/>
      <c r="AP228" s="31"/>
      <c r="AQ228" s="31"/>
      <c r="AR228" s="31">
        <v>0</v>
      </c>
      <c r="AS228" s="31">
        <v>0</v>
      </c>
      <c r="AT228" s="31">
        <v>0</v>
      </c>
      <c r="AU228" s="31">
        <v>0</v>
      </c>
      <c r="AV228" s="31">
        <v>0</v>
      </c>
      <c r="AW228" s="31">
        <v>0</v>
      </c>
      <c r="AX228" s="31">
        <v>0</v>
      </c>
      <c r="AY228" s="31">
        <v>0</v>
      </c>
      <c r="AZ228" s="31">
        <v>0</v>
      </c>
      <c r="BA228" s="31">
        <v>0</v>
      </c>
      <c r="BB228" s="31">
        <v>0</v>
      </c>
      <c r="BC228" s="31">
        <v>0</v>
      </c>
      <c r="BD228" s="31">
        <v>0</v>
      </c>
      <c r="BE228" s="31">
        <v>0</v>
      </c>
      <c r="BF228" s="31">
        <v>0</v>
      </c>
      <c r="BG228" s="31">
        <v>0</v>
      </c>
      <c r="BH228" s="31">
        <v>0</v>
      </c>
      <c r="BI228" s="31">
        <v>0</v>
      </c>
      <c r="BJ228" s="32">
        <f t="shared" si="43"/>
        <v>0</v>
      </c>
      <c r="BK228" s="41">
        <f>BJ228+AM228+AL228+'11-2025'!$N228+AN228+AO228</f>
        <v>0</v>
      </c>
      <c r="BL228" s="34">
        <f>'11-2025'!$O228</f>
        <v>0</v>
      </c>
      <c r="BM228" s="34">
        <f t="shared" si="44"/>
        <v>0</v>
      </c>
      <c r="BN228" s="34">
        <f t="shared" si="45"/>
        <v>0</v>
      </c>
      <c r="BO228" s="34">
        <f t="shared" si="46"/>
        <v>1666.6666666666667</v>
      </c>
      <c r="BP228" s="35">
        <f t="shared" si="47"/>
        <v>0</v>
      </c>
      <c r="BQ228" s="34">
        <f>IFERROR(BP228/'11-2025'!$J228,0)*12</f>
        <v>0</v>
      </c>
      <c r="BR228" s="34">
        <f>IF(BQ228&lt;=40000,0,
IF(BQ228&lt;=55000,(BQ228-40000)*10%,
IF(BQ228&lt;=70000,(BQ228-55000)*15%+1500,
IF(BQ228&lt;=200000,(BQ228-70000)*20%+1500+2250,
IF(BQ228&lt;=400000,(BQ228-200000)*22.5%+1500+2250+26000,
IF(BQ228&lt;=600000,(BQ228-400000)*25%+1500+2250+26000+45000,
IF(AND(BQ228&gt;600000,BQ228&lt;=1200000),(BQ228-400000)*25%+1500+2250+26000+45000
+IFERROR(LOOKUP(BQ228,{600001;700001;800001;900001},{4000;6750;10250;15250}),0),IF(BQ228&gt;1200000,((BQ228-1200000)*27.5%)+300000,0)
)))))))</f>
        <v>0</v>
      </c>
      <c r="BS228" s="32">
        <f>(BR228/12*'11-2025'!$J228)</f>
        <v>0</v>
      </c>
      <c r="BT228" s="33">
        <f>BS228-'11-2025'!$V228</f>
        <v>0</v>
      </c>
      <c r="BU228" s="32">
        <f>IFERROR(+'11-2025'!$W228+AL228+AM228+BJ228-'11-2025'!$AJ228-BT228+AN228+AO228,"")-AL228+AP228+AQ228</f>
        <v>0</v>
      </c>
      <c r="BV228" s="36"/>
      <c r="BW228" s="37"/>
      <c r="BX228" s="37">
        <f t="shared" si="48"/>
        <v>0</v>
      </c>
      <c r="BY228" s="37"/>
    </row>
    <row r="229" spans="1:77" x14ac:dyDescent="0.25">
      <c r="A229" s="45"/>
      <c r="B229" s="22"/>
      <c r="C229" s="22"/>
      <c r="D229" s="22"/>
      <c r="E229" s="22"/>
      <c r="F229" s="22"/>
      <c r="G229" s="23"/>
      <c r="H229" s="22"/>
      <c r="I229" s="24" t="s">
        <v>269</v>
      </c>
      <c r="J229" s="25">
        <v>1</v>
      </c>
      <c r="K229" s="25"/>
      <c r="L229" s="25"/>
      <c r="M229" s="26"/>
      <c r="N229" s="25">
        <f>SUM('11-2025'!$K229:$M229)</f>
        <v>0</v>
      </c>
      <c r="O229" s="25"/>
      <c r="P229" s="25">
        <f t="shared" si="27"/>
        <v>0</v>
      </c>
      <c r="Q229" s="25">
        <f t="shared" si="28"/>
        <v>0</v>
      </c>
      <c r="R229" s="25">
        <v>1666.6666666666667</v>
      </c>
      <c r="S229" s="27">
        <f t="shared" si="29"/>
        <v>0</v>
      </c>
      <c r="T229" s="25">
        <f t="shared" si="30"/>
        <v>0</v>
      </c>
      <c r="U229" s="25">
        <f>IF(T229&lt;=40000,0,
IF(T229&lt;=55000,(T229-40000)*10%,
IF(T229&lt;=70000,(T229-55000)*15%+1500,
IF(T229&lt;=200000,(T229-70000)*20%+1500+2250,
IF(T229&lt;=400000,(T229-200000)*22.5%+1500+2250+26000,
IF(T229&lt;=600000,(T229-400000)*25%+1500+2250+26000+45000,
IF(AND(T229&gt;600000,T229&lt;=1200000),(T229-400000)*25%+1500+2250+26000+45000
+IFERROR(LOOKUP(T229,{600001;700001;800001;900001},{4000;6750;10250;15250}),0),IF(T229&gt;1200000,((T229-1200000)*27.5%)+300000,0)
)))))))</f>
        <v>0</v>
      </c>
      <c r="V229" s="25">
        <f t="shared" si="31"/>
        <v>0</v>
      </c>
      <c r="W229" s="28">
        <v>0</v>
      </c>
      <c r="X229" s="28">
        <f t="shared" si="32"/>
        <v>0</v>
      </c>
      <c r="Y229" s="29"/>
      <c r="Z229" s="29">
        <f>IFERROR(+'11-2025'!$X229*'11-2025'!$Y229,"")</f>
        <v>0</v>
      </c>
      <c r="AA229" s="29"/>
      <c r="AB229" s="29">
        <f>IFERROR(+'11-2025'!$X229*'11-2025'!$AA229,"")</f>
        <v>0</v>
      </c>
      <c r="AC229" s="29"/>
      <c r="AD229" s="29">
        <f>IFERROR(+'11-2025'!$X229*'11-2025'!$AC229,"")</f>
        <v>0</v>
      </c>
      <c r="AE229" s="29"/>
      <c r="AF229" s="29">
        <f>IFERROR(+'11-2025'!$X229*'11-2025'!$AE229,"")</f>
        <v>0</v>
      </c>
      <c r="AG229" s="29"/>
      <c r="AH229" s="29">
        <f>IFERROR(+'11-2025'!$X229*'11-2025'!$AG229,"")</f>
        <v>0</v>
      </c>
      <c r="AI229" s="29">
        <v>0</v>
      </c>
      <c r="AJ229" s="29">
        <f>IFERROR('11-2025'!$Z229+'11-2025'!$AB229+'11-2025'!$AD229+'11-2025'!$AF229+'11-2025'!$AH229+'11-2025'!$AI229,"")</f>
        <v>0</v>
      </c>
      <c r="AK229" s="30">
        <f>IFERROR('11-2025'!$W229-'11-2025'!$AJ229,"")</f>
        <v>0</v>
      </c>
      <c r="AL229" s="31"/>
      <c r="AM229" s="31"/>
      <c r="AN229" s="31"/>
      <c r="AO229" s="31"/>
      <c r="AP229" s="31"/>
      <c r="AQ229" s="31"/>
      <c r="AR229" s="31">
        <v>0</v>
      </c>
      <c r="AS229" s="31">
        <v>0</v>
      </c>
      <c r="AT229" s="31">
        <v>0</v>
      </c>
      <c r="AU229" s="31">
        <v>0</v>
      </c>
      <c r="AV229" s="31">
        <v>0</v>
      </c>
      <c r="AW229" s="31">
        <v>0</v>
      </c>
      <c r="AX229" s="31">
        <v>0</v>
      </c>
      <c r="AY229" s="31">
        <v>0</v>
      </c>
      <c r="AZ229" s="31">
        <v>0</v>
      </c>
      <c r="BA229" s="31">
        <v>0</v>
      </c>
      <c r="BB229" s="31">
        <v>0</v>
      </c>
      <c r="BC229" s="31">
        <v>0</v>
      </c>
      <c r="BD229" s="31">
        <v>0</v>
      </c>
      <c r="BE229" s="31">
        <v>0</v>
      </c>
      <c r="BF229" s="31">
        <v>0</v>
      </c>
      <c r="BG229" s="31">
        <v>0</v>
      </c>
      <c r="BH229" s="31">
        <v>0</v>
      </c>
      <c r="BI229" s="31">
        <v>0</v>
      </c>
      <c r="BJ229" s="32">
        <f t="shared" si="36"/>
        <v>0</v>
      </c>
      <c r="BK229" s="41">
        <f>BJ229+AM229+AL229+'11-2025'!$N229+AN229+AO229</f>
        <v>0</v>
      </c>
      <c r="BL229" s="34">
        <f>'11-2025'!$O229</f>
        <v>0</v>
      </c>
      <c r="BM229" s="34">
        <f t="shared" si="24"/>
        <v>0</v>
      </c>
      <c r="BN229" s="34">
        <f t="shared" si="25"/>
        <v>0</v>
      </c>
      <c r="BO229" s="34">
        <f t="shared" si="33"/>
        <v>1666.6666666666667</v>
      </c>
      <c r="BP229" s="35">
        <f t="shared" si="26"/>
        <v>0</v>
      </c>
      <c r="BQ229" s="34">
        <f>IFERROR(BP229/'11-2025'!$J229,0)*12</f>
        <v>0</v>
      </c>
      <c r="BR229" s="34">
        <f>IF(BQ229&lt;=40000,0,
IF(BQ229&lt;=55000,(BQ229-40000)*10%,
IF(BQ229&lt;=70000,(BQ229-55000)*15%+1500,
IF(BQ229&lt;=200000,(BQ229-70000)*20%+1500+2250,
IF(BQ229&lt;=400000,(BQ229-200000)*22.5%+1500+2250+26000,
IF(BQ229&lt;=600000,(BQ229-400000)*25%+1500+2250+26000+45000,
IF(AND(BQ229&gt;600000,BQ229&lt;=1200000),(BQ229-400000)*25%+1500+2250+26000+45000
+IFERROR(LOOKUP(BQ229,{600001;700001;800001;900001},{4000;6750;10250;15250}),0),IF(BQ229&gt;1200000,((BQ229-1200000)*27.5%)+300000,0)
)))))))</f>
        <v>0</v>
      </c>
      <c r="BS229" s="32">
        <f>(BR229/12*'11-2025'!$J229)</f>
        <v>0</v>
      </c>
      <c r="BT229" s="33">
        <f>BS229-'11-2025'!$V229</f>
        <v>0</v>
      </c>
      <c r="BU229" s="32">
        <f>IFERROR(+'11-2025'!$W229+AL229+AM229+BJ229-'11-2025'!$AJ229-BT229+AN229+AO229,"")-AL229+AP229+AQ229</f>
        <v>0</v>
      </c>
      <c r="BV229" s="36"/>
      <c r="BW229" s="37"/>
      <c r="BX229" s="37">
        <f t="shared" si="34"/>
        <v>0</v>
      </c>
      <c r="BY229" s="37"/>
    </row>
    <row r="230" spans="1:77" x14ac:dyDescent="0.25">
      <c r="A230" s="45"/>
      <c r="B230" s="22"/>
      <c r="C230" s="22"/>
      <c r="D230" s="22"/>
      <c r="E230" s="22"/>
      <c r="F230" s="22"/>
      <c r="G230" s="23"/>
      <c r="H230" s="22"/>
      <c r="I230" s="24" t="s">
        <v>269</v>
      </c>
      <c r="J230" s="25">
        <v>1</v>
      </c>
      <c r="K230" s="25"/>
      <c r="L230" s="25"/>
      <c r="M230" s="26"/>
      <c r="N230" s="25">
        <f>SUM('11-2025'!$K230:$M230)</f>
        <v>0</v>
      </c>
      <c r="O230" s="25"/>
      <c r="P230" s="25">
        <f t="shared" si="27"/>
        <v>0</v>
      </c>
      <c r="Q230" s="25">
        <f t="shared" si="28"/>
        <v>0</v>
      </c>
      <c r="R230" s="25">
        <v>1666.6666666666667</v>
      </c>
      <c r="S230" s="27">
        <f t="shared" si="29"/>
        <v>0</v>
      </c>
      <c r="T230" s="25">
        <f t="shared" si="30"/>
        <v>0</v>
      </c>
      <c r="U230" s="25">
        <f>IF(T230&lt;=40000,0,
IF(T230&lt;=55000,(T230-40000)*10%,
IF(T230&lt;=70000,(T230-55000)*15%+1500,
IF(T230&lt;=200000,(T230-70000)*20%+1500+2250,
IF(T230&lt;=400000,(T230-200000)*22.5%+1500+2250+26000,
IF(T230&lt;=600000,(T230-400000)*25%+1500+2250+26000+45000,
IF(AND(T230&gt;600000,T230&lt;=1200000),(T230-400000)*25%+1500+2250+26000+45000
+IFERROR(LOOKUP(T230,{600001;700001;800001;900001},{4000;6750;10250;15250}),0),IF(T230&gt;1200000,((T230-1200000)*27.5%)+300000,0)
)))))))</f>
        <v>0</v>
      </c>
      <c r="V230" s="25">
        <f t="shared" si="31"/>
        <v>0</v>
      </c>
      <c r="W230" s="28">
        <v>0</v>
      </c>
      <c r="X230" s="28">
        <f t="shared" si="32"/>
        <v>0</v>
      </c>
      <c r="Y230" s="29"/>
      <c r="Z230" s="29">
        <f>IFERROR(+'11-2025'!$X230*'11-2025'!$Y230,"")</f>
        <v>0</v>
      </c>
      <c r="AA230" s="29"/>
      <c r="AB230" s="29">
        <f>IFERROR(+'11-2025'!$X230*'11-2025'!$AA230,"")</f>
        <v>0</v>
      </c>
      <c r="AC230" s="29"/>
      <c r="AD230" s="29">
        <f>IFERROR(+'11-2025'!$X230*'11-2025'!$AC230,"")</f>
        <v>0</v>
      </c>
      <c r="AE230" s="29"/>
      <c r="AF230" s="29">
        <f>IFERROR(+'11-2025'!$X230*'11-2025'!$AE230,"")</f>
        <v>0</v>
      </c>
      <c r="AG230" s="29"/>
      <c r="AH230" s="29">
        <f>IFERROR(+'11-2025'!$X230*'11-2025'!$AG230,"")</f>
        <v>0</v>
      </c>
      <c r="AI230" s="29">
        <v>0</v>
      </c>
      <c r="AJ230" s="29">
        <f>IFERROR('11-2025'!$Z230+'11-2025'!$AB230+'11-2025'!$AD230+'11-2025'!$AF230+'11-2025'!$AH230+'11-2025'!$AI230,"")</f>
        <v>0</v>
      </c>
      <c r="AK230" s="30">
        <f>IFERROR('11-2025'!$W230-'11-2025'!$AJ230,"")</f>
        <v>0</v>
      </c>
      <c r="AL230" s="31"/>
      <c r="AM230" s="31"/>
      <c r="AN230" s="31"/>
      <c r="AO230" s="31"/>
      <c r="AP230" s="31"/>
      <c r="AQ230" s="31"/>
      <c r="AR230" s="31">
        <v>0</v>
      </c>
      <c r="AS230" s="31">
        <v>0</v>
      </c>
      <c r="AT230" s="31">
        <v>0</v>
      </c>
      <c r="AU230" s="31">
        <v>0</v>
      </c>
      <c r="AV230" s="31">
        <v>0</v>
      </c>
      <c r="AW230" s="31">
        <v>0</v>
      </c>
      <c r="AX230" s="31">
        <v>0</v>
      </c>
      <c r="AY230" s="31">
        <v>0</v>
      </c>
      <c r="AZ230" s="31">
        <v>0</v>
      </c>
      <c r="BA230" s="31">
        <v>0</v>
      </c>
      <c r="BB230" s="31">
        <v>0</v>
      </c>
      <c r="BC230" s="31">
        <v>0</v>
      </c>
      <c r="BD230" s="31">
        <v>0</v>
      </c>
      <c r="BE230" s="31">
        <v>0</v>
      </c>
      <c r="BF230" s="31">
        <v>0</v>
      </c>
      <c r="BG230" s="31">
        <v>0</v>
      </c>
      <c r="BH230" s="31">
        <v>0</v>
      </c>
      <c r="BI230" s="31">
        <v>0</v>
      </c>
      <c r="BJ230" s="32">
        <f t="shared" si="36"/>
        <v>0</v>
      </c>
      <c r="BK230" s="41">
        <f>BJ230+AM230+AL230+'11-2025'!$N230+AN230+AO230</f>
        <v>0</v>
      </c>
      <c r="BL230" s="34">
        <f>'11-2025'!$O230</f>
        <v>0</v>
      </c>
      <c r="BM230" s="34">
        <f t="shared" si="24"/>
        <v>0</v>
      </c>
      <c r="BN230" s="34">
        <f t="shared" si="25"/>
        <v>0</v>
      </c>
      <c r="BO230" s="34">
        <f t="shared" si="33"/>
        <v>1666.6666666666667</v>
      </c>
      <c r="BP230" s="35">
        <f t="shared" si="26"/>
        <v>0</v>
      </c>
      <c r="BQ230" s="34">
        <f>IFERROR(BP230/'11-2025'!$J230,0)*12</f>
        <v>0</v>
      </c>
      <c r="BR230" s="34">
        <f>IF(BQ230&lt;=40000,0,
IF(BQ230&lt;=55000,(BQ230-40000)*10%,
IF(BQ230&lt;=70000,(BQ230-55000)*15%+1500,
IF(BQ230&lt;=200000,(BQ230-70000)*20%+1500+2250,
IF(BQ230&lt;=400000,(BQ230-200000)*22.5%+1500+2250+26000,
IF(BQ230&lt;=600000,(BQ230-400000)*25%+1500+2250+26000+45000,
IF(AND(BQ230&gt;600000,BQ230&lt;=1200000),(BQ230-400000)*25%+1500+2250+26000+45000
+IFERROR(LOOKUP(BQ230,{600001;700001;800001;900001},{4000;6750;10250;15250}),0),IF(BQ230&gt;1200000,((BQ230-1200000)*27.5%)+300000,0)
)))))))</f>
        <v>0</v>
      </c>
      <c r="BS230" s="32">
        <f>(BR230/12*'11-2025'!$J230)</f>
        <v>0</v>
      </c>
      <c r="BT230" s="33">
        <f>BS230-'11-2025'!$V230</f>
        <v>0</v>
      </c>
      <c r="BU230" s="32">
        <f>IFERROR(+'11-2025'!$W230+AL230+AM230+BJ230-'11-2025'!$AJ230-BT230+AN230+AO230,"")-AL230+AP230+AQ230</f>
        <v>0</v>
      </c>
      <c r="BV230" s="36"/>
      <c r="BW230" s="37"/>
      <c r="BX230" s="37">
        <f t="shared" si="34"/>
        <v>0</v>
      </c>
      <c r="BY230" s="37"/>
    </row>
    <row r="231" spans="1:77" x14ac:dyDescent="0.25">
      <c r="A231" s="45"/>
      <c r="B231" s="22"/>
      <c r="C231" s="22"/>
      <c r="D231" s="22"/>
      <c r="E231" s="22"/>
      <c r="F231" s="22"/>
      <c r="G231" s="23"/>
      <c r="H231" s="22"/>
      <c r="I231" s="24" t="s">
        <v>269</v>
      </c>
      <c r="J231" s="25">
        <v>1</v>
      </c>
      <c r="K231" s="25"/>
      <c r="L231" s="25"/>
      <c r="M231" s="26"/>
      <c r="N231" s="25">
        <f>SUM('11-2025'!$K231:$M231)</f>
        <v>0</v>
      </c>
      <c r="O231" s="25"/>
      <c r="P231" s="25">
        <f t="shared" si="27"/>
        <v>0</v>
      </c>
      <c r="Q231" s="25">
        <f t="shared" si="28"/>
        <v>0</v>
      </c>
      <c r="R231" s="25">
        <v>1666.6666666666667</v>
      </c>
      <c r="S231" s="27">
        <f t="shared" si="29"/>
        <v>0</v>
      </c>
      <c r="T231" s="25">
        <f t="shared" si="30"/>
        <v>0</v>
      </c>
      <c r="U231" s="25">
        <f>IF(T231&lt;=40000,0,
IF(T231&lt;=55000,(T231-40000)*10%,
IF(T231&lt;=70000,(T231-55000)*15%+1500,
IF(T231&lt;=200000,(T231-70000)*20%+1500+2250,
IF(T231&lt;=400000,(T231-200000)*22.5%+1500+2250+26000,
IF(T231&lt;=600000,(T231-400000)*25%+1500+2250+26000+45000,
IF(AND(T231&gt;600000,T231&lt;=1200000),(T231-400000)*25%+1500+2250+26000+45000
+IFERROR(LOOKUP(T231,{600001;700001;800001;900001},{4000;6750;10250;15250}),0),IF(T231&gt;1200000,((T231-1200000)*27.5%)+300000,0)
)))))))</f>
        <v>0</v>
      </c>
      <c r="V231" s="25">
        <f t="shared" si="31"/>
        <v>0</v>
      </c>
      <c r="W231" s="28">
        <v>0</v>
      </c>
      <c r="X231" s="28">
        <f t="shared" si="32"/>
        <v>0</v>
      </c>
      <c r="Y231" s="29"/>
      <c r="Z231" s="29">
        <f>IFERROR(+'11-2025'!$X231*'11-2025'!$Y231,"")</f>
        <v>0</v>
      </c>
      <c r="AA231" s="29"/>
      <c r="AB231" s="29">
        <f>IFERROR(+'11-2025'!$X231*'11-2025'!$AA231,"")</f>
        <v>0</v>
      </c>
      <c r="AC231" s="29"/>
      <c r="AD231" s="29">
        <f>IFERROR(+'11-2025'!$X231*'11-2025'!$AC231,"")</f>
        <v>0</v>
      </c>
      <c r="AE231" s="29"/>
      <c r="AF231" s="29">
        <f>IFERROR(+'11-2025'!$X231*'11-2025'!$AE231,"")</f>
        <v>0</v>
      </c>
      <c r="AG231" s="29"/>
      <c r="AH231" s="29">
        <f>IFERROR(+'11-2025'!$X231*'11-2025'!$AG231,"")</f>
        <v>0</v>
      </c>
      <c r="AI231" s="29">
        <v>0</v>
      </c>
      <c r="AJ231" s="29">
        <f>IFERROR('11-2025'!$Z231+'11-2025'!$AB231+'11-2025'!$AD231+'11-2025'!$AF231+'11-2025'!$AH231+'11-2025'!$AI231,"")</f>
        <v>0</v>
      </c>
      <c r="AK231" s="30">
        <f>IFERROR('11-2025'!$W231-'11-2025'!$AJ231,"")</f>
        <v>0</v>
      </c>
      <c r="AL231" s="31"/>
      <c r="AM231" s="31"/>
      <c r="AN231" s="31"/>
      <c r="AO231" s="31"/>
      <c r="AP231" s="31"/>
      <c r="AQ231" s="31"/>
      <c r="AR231" s="31">
        <v>0</v>
      </c>
      <c r="AS231" s="31">
        <v>0</v>
      </c>
      <c r="AT231" s="31">
        <v>0</v>
      </c>
      <c r="AU231" s="31">
        <v>0</v>
      </c>
      <c r="AV231" s="31">
        <v>0</v>
      </c>
      <c r="AW231" s="31">
        <v>0</v>
      </c>
      <c r="AX231" s="31">
        <v>0</v>
      </c>
      <c r="AY231" s="31">
        <v>0</v>
      </c>
      <c r="AZ231" s="31">
        <v>0</v>
      </c>
      <c r="BA231" s="31">
        <v>0</v>
      </c>
      <c r="BB231" s="31">
        <v>0</v>
      </c>
      <c r="BC231" s="31">
        <v>0</v>
      </c>
      <c r="BD231" s="31">
        <v>0</v>
      </c>
      <c r="BE231" s="31">
        <v>0</v>
      </c>
      <c r="BF231" s="31">
        <v>0</v>
      </c>
      <c r="BG231" s="31">
        <v>0</v>
      </c>
      <c r="BH231" s="31">
        <v>0</v>
      </c>
      <c r="BI231" s="31">
        <v>0</v>
      </c>
      <c r="BJ231" s="32">
        <f t="shared" si="36"/>
        <v>0</v>
      </c>
      <c r="BK231" s="41">
        <f>BJ231+AM231+AL231+'11-2025'!$N231+AN231+AO231</f>
        <v>0</v>
      </c>
      <c r="BL231" s="34">
        <f>'11-2025'!$O231</f>
        <v>0</v>
      </c>
      <c r="BM231" s="34">
        <f t="shared" si="24"/>
        <v>0</v>
      </c>
      <c r="BN231" s="34">
        <f t="shared" si="25"/>
        <v>0</v>
      </c>
      <c r="BO231" s="34">
        <f t="shared" si="33"/>
        <v>1666.6666666666667</v>
      </c>
      <c r="BP231" s="35">
        <f t="shared" si="26"/>
        <v>0</v>
      </c>
      <c r="BQ231" s="34">
        <f>IFERROR(BP231/'11-2025'!$J231,0)*12</f>
        <v>0</v>
      </c>
      <c r="BR231" s="34">
        <f>IF(BQ231&lt;=40000,0,
IF(BQ231&lt;=55000,(BQ231-40000)*10%,
IF(BQ231&lt;=70000,(BQ231-55000)*15%+1500,
IF(BQ231&lt;=200000,(BQ231-70000)*20%+1500+2250,
IF(BQ231&lt;=400000,(BQ231-200000)*22.5%+1500+2250+26000,
IF(BQ231&lt;=600000,(BQ231-400000)*25%+1500+2250+26000+45000,
IF(AND(BQ231&gt;600000,BQ231&lt;=1200000),(BQ231-400000)*25%+1500+2250+26000+45000
+IFERROR(LOOKUP(BQ231,{600001;700001;800001;900001},{4000;6750;10250;15250}),0),IF(BQ231&gt;1200000,((BQ231-1200000)*27.5%)+300000,0)
)))))))</f>
        <v>0</v>
      </c>
      <c r="BS231" s="32">
        <f>(BR231/12*'11-2025'!$J231)</f>
        <v>0</v>
      </c>
      <c r="BT231" s="33">
        <f>BS231-'11-2025'!$V231</f>
        <v>0</v>
      </c>
      <c r="BU231" s="32">
        <f>IFERROR(+'11-2025'!$W231+AL231+AM231+BJ231-'11-2025'!$AJ231-BT231+AN231+AO231,"")-AL231+AP231+AQ231</f>
        <v>0</v>
      </c>
      <c r="BV231" s="36"/>
      <c r="BW231" s="37"/>
      <c r="BX231" s="37">
        <f t="shared" si="34"/>
        <v>0</v>
      </c>
      <c r="BY231" s="37"/>
    </row>
    <row r="232" spans="1:77" x14ac:dyDescent="0.25">
      <c r="A232" s="45"/>
      <c r="B232" s="22"/>
      <c r="C232" s="22"/>
      <c r="D232" s="22"/>
      <c r="E232" s="22"/>
      <c r="F232" s="22"/>
      <c r="G232" s="23"/>
      <c r="H232" s="22"/>
      <c r="I232" s="24" t="s">
        <v>269</v>
      </c>
      <c r="J232" s="25">
        <v>1</v>
      </c>
      <c r="K232" s="25"/>
      <c r="L232" s="25"/>
      <c r="M232" s="26"/>
      <c r="N232" s="25">
        <f>SUM('11-2025'!$K232:$M232)</f>
        <v>0</v>
      </c>
      <c r="O232" s="25"/>
      <c r="P232" s="25">
        <f t="shared" si="27"/>
        <v>0</v>
      </c>
      <c r="Q232" s="25">
        <f t="shared" si="28"/>
        <v>0</v>
      </c>
      <c r="R232" s="25">
        <v>1666.6666666666667</v>
      </c>
      <c r="S232" s="27">
        <f t="shared" si="29"/>
        <v>0</v>
      </c>
      <c r="T232" s="25">
        <f t="shared" si="30"/>
        <v>0</v>
      </c>
      <c r="U232" s="25">
        <f>IF(T232&lt;=40000,0,
IF(T232&lt;=55000,(T232-40000)*10%,
IF(T232&lt;=70000,(T232-55000)*15%+1500,
IF(T232&lt;=200000,(T232-70000)*20%+1500+2250,
IF(T232&lt;=400000,(T232-200000)*22.5%+1500+2250+26000,
IF(T232&lt;=600000,(T232-400000)*25%+1500+2250+26000+45000,
IF(AND(T232&gt;600000,T232&lt;=1200000),(T232-400000)*25%+1500+2250+26000+45000
+IFERROR(LOOKUP(T232,{600001;700001;800001;900001},{4000;6750;10250;15250}),0),IF(T232&gt;1200000,((T232-1200000)*27.5%)+300000,0)
)))))))</f>
        <v>0</v>
      </c>
      <c r="V232" s="25">
        <f t="shared" si="31"/>
        <v>0</v>
      </c>
      <c r="W232" s="28">
        <v>0</v>
      </c>
      <c r="X232" s="28">
        <f t="shared" si="32"/>
        <v>0</v>
      </c>
      <c r="Y232" s="29"/>
      <c r="Z232" s="29">
        <f>IFERROR(+'11-2025'!$X232*'11-2025'!$Y232,"")</f>
        <v>0</v>
      </c>
      <c r="AA232" s="29"/>
      <c r="AB232" s="29">
        <f>IFERROR(+'11-2025'!$X232*'11-2025'!$AA232,"")</f>
        <v>0</v>
      </c>
      <c r="AC232" s="29"/>
      <c r="AD232" s="29">
        <f>IFERROR(+'11-2025'!$X232*'11-2025'!$AC232,"")</f>
        <v>0</v>
      </c>
      <c r="AE232" s="29"/>
      <c r="AF232" s="29">
        <f>IFERROR(+'11-2025'!$X232*'11-2025'!$AE232,"")</f>
        <v>0</v>
      </c>
      <c r="AG232" s="29"/>
      <c r="AH232" s="29">
        <f>IFERROR(+'11-2025'!$X232*'11-2025'!$AG232,"")</f>
        <v>0</v>
      </c>
      <c r="AI232" s="29">
        <v>0</v>
      </c>
      <c r="AJ232" s="29">
        <f>IFERROR('11-2025'!$Z232+'11-2025'!$AB232+'11-2025'!$AD232+'11-2025'!$AF232+'11-2025'!$AH232+'11-2025'!$AI232,"")</f>
        <v>0</v>
      </c>
      <c r="AK232" s="30">
        <f>IFERROR('11-2025'!$W232-'11-2025'!$AJ232,"")</f>
        <v>0</v>
      </c>
      <c r="AL232" s="31"/>
      <c r="AM232" s="31"/>
      <c r="AN232" s="31"/>
      <c r="AO232" s="31"/>
      <c r="AP232" s="31"/>
      <c r="AQ232" s="31"/>
      <c r="AR232" s="31">
        <v>0</v>
      </c>
      <c r="AS232" s="31">
        <v>0</v>
      </c>
      <c r="AT232" s="31">
        <v>0</v>
      </c>
      <c r="AU232" s="31">
        <v>0</v>
      </c>
      <c r="AV232" s="31">
        <v>0</v>
      </c>
      <c r="AW232" s="31">
        <v>0</v>
      </c>
      <c r="AX232" s="31">
        <v>0</v>
      </c>
      <c r="AY232" s="31">
        <v>0</v>
      </c>
      <c r="AZ232" s="31">
        <v>0</v>
      </c>
      <c r="BA232" s="31">
        <v>0</v>
      </c>
      <c r="BB232" s="31">
        <v>0</v>
      </c>
      <c r="BC232" s="31">
        <v>0</v>
      </c>
      <c r="BD232" s="31">
        <v>0</v>
      </c>
      <c r="BE232" s="31">
        <v>0</v>
      </c>
      <c r="BF232" s="31">
        <v>0</v>
      </c>
      <c r="BG232" s="31">
        <v>0</v>
      </c>
      <c r="BH232" s="31">
        <v>0</v>
      </c>
      <c r="BI232" s="31">
        <v>0</v>
      </c>
      <c r="BJ232" s="32">
        <f t="shared" si="36"/>
        <v>0</v>
      </c>
      <c r="BK232" s="41">
        <f>BJ232+AM232+AL232+'11-2025'!$N232+AN232+AO232</f>
        <v>0</v>
      </c>
      <c r="BL232" s="34">
        <f>'11-2025'!$O232</f>
        <v>0</v>
      </c>
      <c r="BM232" s="34">
        <f t="shared" si="24"/>
        <v>0</v>
      </c>
      <c r="BN232" s="34">
        <f t="shared" si="25"/>
        <v>0</v>
      </c>
      <c r="BO232" s="34">
        <f t="shared" si="33"/>
        <v>1666.6666666666667</v>
      </c>
      <c r="BP232" s="35">
        <f t="shared" si="26"/>
        <v>0</v>
      </c>
      <c r="BQ232" s="34">
        <f>IFERROR(BP232/'11-2025'!$J232,0)*12</f>
        <v>0</v>
      </c>
      <c r="BR232" s="34">
        <f>IF(BQ232&lt;=40000,0,
IF(BQ232&lt;=55000,(BQ232-40000)*10%,
IF(BQ232&lt;=70000,(BQ232-55000)*15%+1500,
IF(BQ232&lt;=200000,(BQ232-70000)*20%+1500+2250,
IF(BQ232&lt;=400000,(BQ232-200000)*22.5%+1500+2250+26000,
IF(BQ232&lt;=600000,(BQ232-400000)*25%+1500+2250+26000+45000,
IF(AND(BQ232&gt;600000,BQ232&lt;=1200000),(BQ232-400000)*25%+1500+2250+26000+45000
+IFERROR(LOOKUP(BQ232,{600001;700001;800001;900001},{4000;6750;10250;15250}),0),IF(BQ232&gt;1200000,((BQ232-1200000)*27.5%)+300000,0)
)))))))</f>
        <v>0</v>
      </c>
      <c r="BS232" s="32">
        <f>(BR232/12*'11-2025'!$J232)</f>
        <v>0</v>
      </c>
      <c r="BT232" s="33">
        <f>BS232-'11-2025'!$V232</f>
        <v>0</v>
      </c>
      <c r="BU232" s="32">
        <f>IFERROR(+'11-2025'!$W232+AL232+AM232+BJ232-'11-2025'!$AJ232-BT232+AN232+AO232,"")-AL232+AP232+AQ232</f>
        <v>0</v>
      </c>
      <c r="BV232" s="36"/>
      <c r="BW232" s="37"/>
      <c r="BX232" s="37">
        <f t="shared" si="34"/>
        <v>0</v>
      </c>
      <c r="BY232" s="37"/>
    </row>
    <row r="233" spans="1:77" x14ac:dyDescent="0.25">
      <c r="A233" s="138">
        <v>1324</v>
      </c>
      <c r="B233" s="139" t="s">
        <v>437</v>
      </c>
      <c r="C233" s="22"/>
      <c r="D233" s="22" t="s">
        <v>72</v>
      </c>
      <c r="E233" s="22" t="s">
        <v>346</v>
      </c>
      <c r="F233" s="22"/>
      <c r="G233" s="23"/>
      <c r="H233" s="22"/>
      <c r="I233" s="24" t="s">
        <v>269</v>
      </c>
      <c r="J233" s="25">
        <v>1</v>
      </c>
      <c r="K233" s="25"/>
      <c r="L233" s="25"/>
      <c r="M233" s="26"/>
      <c r="N233" s="25">
        <f>SUM('11-2025'!$K233:$M233)</f>
        <v>0</v>
      </c>
      <c r="O233" s="25"/>
      <c r="P233" s="25">
        <f t="shared" si="27"/>
        <v>0</v>
      </c>
      <c r="Q233" s="25">
        <f t="shared" si="28"/>
        <v>0</v>
      </c>
      <c r="R233" s="25">
        <v>1666.6666666666667</v>
      </c>
      <c r="S233" s="27">
        <f t="shared" si="29"/>
        <v>0</v>
      </c>
      <c r="T233" s="25">
        <f t="shared" si="30"/>
        <v>0</v>
      </c>
      <c r="U233" s="25">
        <f>IF(T233&lt;=40000,0,
IF(T233&lt;=55000,(T233-40000)*10%,
IF(T233&lt;=70000,(T233-55000)*15%+1500,
IF(T233&lt;=200000,(T233-70000)*20%+1500+2250,
IF(T233&lt;=400000,(T233-200000)*22.5%+1500+2250+26000,
IF(T233&lt;=600000,(T233-400000)*25%+1500+2250+26000+45000,
IF(AND(T233&gt;600000,T233&lt;=1200000),(T233-400000)*25%+1500+2250+26000+45000
+IFERROR(LOOKUP(T233,{600001;700001;800001;900001},{4000;6750;10250;15250}),0),IF(T233&gt;1200000,((T233-1200000)*27.5%)+300000,0)
)))))))</f>
        <v>0</v>
      </c>
      <c r="V233" s="25">
        <f t="shared" si="31"/>
        <v>0</v>
      </c>
      <c r="W233" s="28">
        <v>0</v>
      </c>
      <c r="X233" s="28">
        <f t="shared" si="32"/>
        <v>0</v>
      </c>
      <c r="Y233" s="29"/>
      <c r="Z233" s="29">
        <f>IFERROR(+'11-2025'!$X233*'11-2025'!$Y233,"")</f>
        <v>0</v>
      </c>
      <c r="AA233" s="29"/>
      <c r="AB233" s="29">
        <f>IFERROR(+'11-2025'!$X233*'11-2025'!$AA233,"")</f>
        <v>0</v>
      </c>
      <c r="AC233" s="29"/>
      <c r="AD233" s="29">
        <f>IFERROR(+'11-2025'!$X233*'11-2025'!$AC233,"")</f>
        <v>0</v>
      </c>
      <c r="AE233" s="29"/>
      <c r="AF233" s="29">
        <f>IFERROR(+'11-2025'!$X233*'11-2025'!$AE233,"")</f>
        <v>0</v>
      </c>
      <c r="AG233" s="29"/>
      <c r="AH233" s="29">
        <f>IFERROR(+'11-2025'!$X233*'11-2025'!$AG233,"")</f>
        <v>0</v>
      </c>
      <c r="AI233" s="29">
        <v>0</v>
      </c>
      <c r="AJ233" s="29">
        <f>IFERROR('11-2025'!$Z233+'11-2025'!$AB233+'11-2025'!$AD233+'11-2025'!$AF233+'11-2025'!$AH233+'11-2025'!$AI233,"")</f>
        <v>0</v>
      </c>
      <c r="AK233" s="30">
        <f>IFERROR('11-2025'!$W233-'11-2025'!$AJ233,"")</f>
        <v>0</v>
      </c>
      <c r="AL233" s="31"/>
      <c r="AM233" s="31"/>
      <c r="AN233" s="31"/>
      <c r="AO233" s="31"/>
      <c r="AP233" s="31"/>
      <c r="AQ233" s="31"/>
      <c r="AR233" s="31">
        <v>0</v>
      </c>
      <c r="AS233" s="31">
        <v>0</v>
      </c>
      <c r="AT233" s="31">
        <v>0</v>
      </c>
      <c r="AU233" s="31">
        <v>0</v>
      </c>
      <c r="AV233" s="31">
        <v>0</v>
      </c>
      <c r="AW233" s="31">
        <v>0</v>
      </c>
      <c r="AX233" s="31">
        <v>0</v>
      </c>
      <c r="AY233" s="31">
        <v>0</v>
      </c>
      <c r="AZ233" s="31">
        <v>0</v>
      </c>
      <c r="BA233" s="31">
        <v>0</v>
      </c>
      <c r="BB233" s="31">
        <v>0</v>
      </c>
      <c r="BC233" s="31">
        <v>1238.57</v>
      </c>
      <c r="BD233" s="31">
        <v>0</v>
      </c>
      <c r="BE233" s="31">
        <v>0</v>
      </c>
      <c r="BF233" s="31">
        <v>0</v>
      </c>
      <c r="BG233" s="31">
        <v>0</v>
      </c>
      <c r="BH233" s="31">
        <v>0</v>
      </c>
      <c r="BI233" s="31">
        <v>0</v>
      </c>
      <c r="BJ233" s="32">
        <f t="shared" si="36"/>
        <v>1238.57</v>
      </c>
      <c r="BK233" s="41">
        <f>BJ233+AM233+AL233+'11-2025'!$N233+AN233+AO233</f>
        <v>1238.57</v>
      </c>
      <c r="BL233" s="34">
        <f>'11-2025'!$O233</f>
        <v>0</v>
      </c>
      <c r="BM233" s="34">
        <f t="shared" si="24"/>
        <v>0</v>
      </c>
      <c r="BN233" s="34">
        <f t="shared" si="25"/>
        <v>0</v>
      </c>
      <c r="BO233" s="34">
        <f t="shared" si="33"/>
        <v>1666.6666666666667</v>
      </c>
      <c r="BP233" s="35">
        <f t="shared" si="26"/>
        <v>0</v>
      </c>
      <c r="BQ233" s="34">
        <f>IFERROR(BP233/'11-2025'!$J233,0)*12</f>
        <v>0</v>
      </c>
      <c r="BR233" s="34">
        <f>IF(BQ233&lt;=40000,0,
IF(BQ233&lt;=55000,(BQ233-40000)*10%,
IF(BQ233&lt;=70000,(BQ233-55000)*15%+1500,
IF(BQ233&lt;=200000,(BQ233-70000)*20%+1500+2250,
IF(BQ233&lt;=400000,(BQ233-200000)*22.5%+1500+2250+26000,
IF(BQ233&lt;=600000,(BQ233-400000)*25%+1500+2250+26000+45000,
IF(AND(BQ233&gt;600000,BQ233&lt;=1200000),(BQ233-400000)*25%+1500+2250+26000+45000
+IFERROR(LOOKUP(BQ233,{600001;700001;800001;900001},{4000;6750;10250;15250}),0),IF(BQ233&gt;1200000,((BQ233-1200000)*27.5%)+300000,0)
)))))))</f>
        <v>0</v>
      </c>
      <c r="BS233" s="32">
        <f>(BR233/12*'11-2025'!$J233)</f>
        <v>0</v>
      </c>
      <c r="BT233" s="33">
        <f>BS233-'11-2025'!$V233</f>
        <v>0</v>
      </c>
      <c r="BU233" s="32">
        <f>IFERROR(+'11-2025'!$W233+AL233+AM233+BJ233-'11-2025'!$AJ233-BT233+AN233+AO233,"")-AL233+AP233+AQ233</f>
        <v>1238.57</v>
      </c>
      <c r="BV233" s="36"/>
      <c r="BW233" s="37"/>
      <c r="BX233" s="37">
        <f t="shared" si="34"/>
        <v>1238.57</v>
      </c>
      <c r="BY233" s="37"/>
    </row>
    <row r="234" spans="1:77" x14ac:dyDescent="0.25">
      <c r="A234" s="138">
        <v>1325</v>
      </c>
      <c r="B234" s="139" t="s">
        <v>438</v>
      </c>
      <c r="C234" s="22"/>
      <c r="D234" s="22" t="s">
        <v>72</v>
      </c>
      <c r="E234" s="22" t="s">
        <v>346</v>
      </c>
      <c r="F234" s="22"/>
      <c r="G234" s="23"/>
      <c r="H234" s="22"/>
      <c r="I234" s="24" t="s">
        <v>269</v>
      </c>
      <c r="J234" s="25">
        <v>1</v>
      </c>
      <c r="K234" s="25"/>
      <c r="L234" s="25"/>
      <c r="M234" s="26"/>
      <c r="N234" s="25">
        <f>SUM('11-2025'!$K234:$M234)</f>
        <v>0</v>
      </c>
      <c r="O234" s="25"/>
      <c r="P234" s="25">
        <f t="shared" si="27"/>
        <v>0</v>
      </c>
      <c r="Q234" s="25">
        <f t="shared" si="28"/>
        <v>0</v>
      </c>
      <c r="R234" s="25">
        <v>1666.6666666666667</v>
      </c>
      <c r="S234" s="27">
        <f t="shared" si="29"/>
        <v>0</v>
      </c>
      <c r="T234" s="25">
        <f t="shared" si="30"/>
        <v>0</v>
      </c>
      <c r="U234" s="25">
        <f>IF(T234&lt;=40000,0,
IF(T234&lt;=55000,(T234-40000)*10%,
IF(T234&lt;=70000,(T234-55000)*15%+1500,
IF(T234&lt;=200000,(T234-70000)*20%+1500+2250,
IF(T234&lt;=400000,(T234-200000)*22.5%+1500+2250+26000,
IF(T234&lt;=600000,(T234-400000)*25%+1500+2250+26000+45000,
IF(AND(T234&gt;600000,T234&lt;=1200000),(T234-400000)*25%+1500+2250+26000+45000
+IFERROR(LOOKUP(T234,{600001;700001;800001;900001},{4000;6750;10250;15250}),0),IF(T234&gt;1200000,((T234-1200000)*27.5%)+300000,0)
)))))))</f>
        <v>0</v>
      </c>
      <c r="V234" s="25">
        <f t="shared" si="31"/>
        <v>0</v>
      </c>
      <c r="W234" s="28">
        <v>0</v>
      </c>
      <c r="X234" s="28">
        <f t="shared" si="32"/>
        <v>0</v>
      </c>
      <c r="Y234" s="29"/>
      <c r="Z234" s="29">
        <f>IFERROR(+'11-2025'!$X234*'11-2025'!$Y234,"")</f>
        <v>0</v>
      </c>
      <c r="AA234" s="29"/>
      <c r="AB234" s="29">
        <f>IFERROR(+'11-2025'!$X234*'11-2025'!$AA234,"")</f>
        <v>0</v>
      </c>
      <c r="AC234" s="29"/>
      <c r="AD234" s="29">
        <f>IFERROR(+'11-2025'!$X234*'11-2025'!$AC234,"")</f>
        <v>0</v>
      </c>
      <c r="AE234" s="29"/>
      <c r="AF234" s="29">
        <f>IFERROR(+'11-2025'!$X234*'11-2025'!$AE234,"")</f>
        <v>0</v>
      </c>
      <c r="AG234" s="29"/>
      <c r="AH234" s="29">
        <f>IFERROR(+'11-2025'!$X234*'11-2025'!$AG234,"")</f>
        <v>0</v>
      </c>
      <c r="AI234" s="29">
        <v>0</v>
      </c>
      <c r="AJ234" s="29">
        <f>IFERROR('11-2025'!$Z234+'11-2025'!$AB234+'11-2025'!$AD234+'11-2025'!$AF234+'11-2025'!$AH234+'11-2025'!$AI234,"")</f>
        <v>0</v>
      </c>
      <c r="AK234" s="30">
        <f>IFERROR('11-2025'!$W234-'11-2025'!$AJ234,"")</f>
        <v>0</v>
      </c>
      <c r="AL234" s="31"/>
      <c r="AM234" s="31"/>
      <c r="AN234" s="31"/>
      <c r="AO234" s="31"/>
      <c r="AP234" s="31"/>
      <c r="AQ234" s="31"/>
      <c r="AR234" s="31">
        <v>954.29250000000002</v>
      </c>
      <c r="AS234" s="31">
        <v>0</v>
      </c>
      <c r="AT234" s="31">
        <v>0</v>
      </c>
      <c r="AU234" s="31">
        <v>0</v>
      </c>
      <c r="AV234" s="31">
        <v>0</v>
      </c>
      <c r="AW234" s="31">
        <v>0</v>
      </c>
      <c r="AX234" s="31">
        <v>0</v>
      </c>
      <c r="AY234" s="31">
        <v>0</v>
      </c>
      <c r="AZ234" s="31">
        <v>0</v>
      </c>
      <c r="BA234" s="31">
        <v>0</v>
      </c>
      <c r="BB234" s="31">
        <v>0</v>
      </c>
      <c r="BC234" s="31">
        <v>0</v>
      </c>
      <c r="BD234" s="31">
        <v>0</v>
      </c>
      <c r="BE234" s="31">
        <v>0</v>
      </c>
      <c r="BF234" s="31">
        <v>0</v>
      </c>
      <c r="BG234" s="31">
        <v>0</v>
      </c>
      <c r="BH234" s="31">
        <v>0</v>
      </c>
      <c r="BI234" s="31">
        <v>0</v>
      </c>
      <c r="BJ234" s="32">
        <f t="shared" si="36"/>
        <v>954.29250000000002</v>
      </c>
      <c r="BK234" s="41">
        <f>BJ234+AM234+AL234+'11-2025'!$N234+AN234+AO234</f>
        <v>954.29250000000002</v>
      </c>
      <c r="BL234" s="34">
        <f>'11-2025'!$O234</f>
        <v>0</v>
      </c>
      <c r="BM234" s="34">
        <f t="shared" si="24"/>
        <v>0</v>
      </c>
      <c r="BN234" s="34">
        <f t="shared" si="25"/>
        <v>0</v>
      </c>
      <c r="BO234" s="34">
        <f t="shared" si="33"/>
        <v>1666.6666666666667</v>
      </c>
      <c r="BP234" s="35">
        <f t="shared" si="26"/>
        <v>0</v>
      </c>
      <c r="BQ234" s="34">
        <f>IFERROR(BP234/'11-2025'!$J234,0)*12</f>
        <v>0</v>
      </c>
      <c r="BR234" s="34">
        <f>IF(BQ234&lt;=40000,0,
IF(BQ234&lt;=55000,(BQ234-40000)*10%,
IF(BQ234&lt;=70000,(BQ234-55000)*15%+1500,
IF(BQ234&lt;=200000,(BQ234-70000)*20%+1500+2250,
IF(BQ234&lt;=400000,(BQ234-200000)*22.5%+1500+2250+26000,
IF(BQ234&lt;=600000,(BQ234-400000)*25%+1500+2250+26000+45000,
IF(AND(BQ234&gt;600000,BQ234&lt;=1200000),(BQ234-400000)*25%+1500+2250+26000+45000
+IFERROR(LOOKUP(BQ234,{600001;700001;800001;900001},{4000;6750;10250;15250}),0),IF(BQ234&gt;1200000,((BQ234-1200000)*27.5%)+300000,0)
)))))))</f>
        <v>0</v>
      </c>
      <c r="BS234" s="32">
        <f>(BR234/12*'11-2025'!$J234)</f>
        <v>0</v>
      </c>
      <c r="BT234" s="33">
        <f>BS234-'11-2025'!$V234</f>
        <v>0</v>
      </c>
      <c r="BU234" s="32">
        <f>IFERROR(+'11-2025'!$W234+AL234+AM234+BJ234-'11-2025'!$AJ234-BT234+AN234+AO234,"")-AL234+AP234+AQ234</f>
        <v>954.29250000000002</v>
      </c>
      <c r="BV234" s="36"/>
      <c r="BW234" s="37"/>
      <c r="BX234" s="37">
        <f t="shared" si="34"/>
        <v>954.29250000000002</v>
      </c>
      <c r="BY234" s="37"/>
    </row>
    <row r="235" spans="1:77" x14ac:dyDescent="0.25">
      <c r="A235" s="45"/>
      <c r="B235" s="22" t="s">
        <v>345</v>
      </c>
      <c r="C235" s="22" t="s">
        <v>226</v>
      </c>
      <c r="D235" s="22" t="s">
        <v>72</v>
      </c>
      <c r="E235" s="22" t="s">
        <v>346</v>
      </c>
      <c r="F235" s="22" t="s">
        <v>139</v>
      </c>
      <c r="G235" s="23"/>
      <c r="H235" s="22"/>
      <c r="I235" s="24" t="s">
        <v>269</v>
      </c>
      <c r="J235" s="25">
        <v>1</v>
      </c>
      <c r="K235" s="25">
        <v>1000</v>
      </c>
      <c r="L235" s="25"/>
      <c r="M235" s="26"/>
      <c r="N235" s="25">
        <f>SUM('11-2025'!$K235:$M235)</f>
        <v>1000</v>
      </c>
      <c r="O235" s="25"/>
      <c r="P235" s="25">
        <f t="shared" si="27"/>
        <v>0</v>
      </c>
      <c r="Q235" s="25">
        <f t="shared" si="28"/>
        <v>0</v>
      </c>
      <c r="R235" s="25">
        <v>1666.6666666666667</v>
      </c>
      <c r="S235" s="27">
        <f t="shared" si="29"/>
        <v>0</v>
      </c>
      <c r="T235" s="25">
        <f t="shared" si="30"/>
        <v>0</v>
      </c>
      <c r="U235" s="25">
        <f>IF(T235&lt;=40000,0,
IF(T235&lt;=55000,(T235-40000)*10%,
IF(T235&lt;=70000,(T235-55000)*15%+1500,
IF(T235&lt;=200000,(T235-70000)*20%+1500+2250,
IF(T235&lt;=400000,(T235-200000)*22.5%+1500+2250+26000,
IF(T235&lt;=600000,(T235-400000)*25%+1500+2250+26000+45000,
IF(AND(T235&gt;600000,T235&lt;=1200000),(T235-400000)*25%+1500+2250+26000+45000
+IFERROR(LOOKUP(T235,{600001;700001;800001;900001},{4000;6750;10250;15250}),0),IF(T235&gt;1200000,((T235-1200000)*27.5%)+300000,0)
)))))))</f>
        <v>0</v>
      </c>
      <c r="V235" s="25">
        <f t="shared" si="31"/>
        <v>0</v>
      </c>
      <c r="W235" s="28">
        <v>1000</v>
      </c>
      <c r="X235" s="28">
        <f t="shared" si="32"/>
        <v>33.333333333333336</v>
      </c>
      <c r="Y235" s="29"/>
      <c r="Z235" s="29">
        <f>IFERROR(+'11-2025'!$X235*'11-2025'!$Y235,"")</f>
        <v>0</v>
      </c>
      <c r="AA235" s="29"/>
      <c r="AB235" s="29">
        <f>IFERROR(+'11-2025'!$X235*'11-2025'!$AA235,"")</f>
        <v>0</v>
      </c>
      <c r="AC235" s="29"/>
      <c r="AD235" s="29">
        <f>IFERROR(+'11-2025'!$X235*'11-2025'!$AC235,"")</f>
        <v>0</v>
      </c>
      <c r="AE235" s="29"/>
      <c r="AF235" s="29">
        <f>IFERROR(+'11-2025'!$X235*'11-2025'!$AE235,"")</f>
        <v>0</v>
      </c>
      <c r="AG235" s="29"/>
      <c r="AH235" s="29">
        <f>IFERROR(+'11-2025'!$X235*'11-2025'!$AG235,"")</f>
        <v>0</v>
      </c>
      <c r="AI235" s="29">
        <v>0</v>
      </c>
      <c r="AJ235" s="29">
        <f>IFERROR('11-2025'!$Z235+'11-2025'!$AB235+'11-2025'!$AD235+'11-2025'!$AF235+'11-2025'!$AH235+'11-2025'!$AI235,"")</f>
        <v>0</v>
      </c>
      <c r="AK235" s="30">
        <f>IFERROR('11-2025'!$W235-'11-2025'!$AJ235,"")</f>
        <v>1000</v>
      </c>
      <c r="AL235" s="31"/>
      <c r="AM235" s="31"/>
      <c r="AN235" s="31"/>
      <c r="AO235" s="31"/>
      <c r="AP235" s="31"/>
      <c r="AQ235" s="31"/>
      <c r="AR235" s="31">
        <v>0</v>
      </c>
      <c r="AS235" s="31">
        <v>0</v>
      </c>
      <c r="AT235" s="31">
        <v>0</v>
      </c>
      <c r="AU235" s="31">
        <v>0</v>
      </c>
      <c r="AV235" s="31">
        <v>0</v>
      </c>
      <c r="AW235" s="31">
        <v>0</v>
      </c>
      <c r="AX235" s="31">
        <v>0</v>
      </c>
      <c r="AY235" s="31">
        <v>0</v>
      </c>
      <c r="AZ235" s="31">
        <v>0</v>
      </c>
      <c r="BA235" s="31">
        <v>0</v>
      </c>
      <c r="BB235" s="31">
        <v>0</v>
      </c>
      <c r="BC235" s="31">
        <v>0</v>
      </c>
      <c r="BD235" s="31">
        <v>0</v>
      </c>
      <c r="BE235" s="31">
        <v>0</v>
      </c>
      <c r="BF235" s="31">
        <v>0</v>
      </c>
      <c r="BG235" s="31">
        <v>0</v>
      </c>
      <c r="BH235" s="31">
        <v>0</v>
      </c>
      <c r="BI235" s="31">
        <v>0</v>
      </c>
      <c r="BJ235" s="32">
        <f t="shared" si="36"/>
        <v>0</v>
      </c>
      <c r="BK235" s="41">
        <f>BJ235+AM235+AL235+'11-2025'!$N235+AN235+AO235</f>
        <v>1000</v>
      </c>
      <c r="BL235" s="34">
        <f>'11-2025'!$O235</f>
        <v>0</v>
      </c>
      <c r="BM235" s="34">
        <f t="shared" si="24"/>
        <v>0</v>
      </c>
      <c r="BN235" s="34">
        <f t="shared" si="25"/>
        <v>0</v>
      </c>
      <c r="BO235" s="34">
        <f t="shared" si="33"/>
        <v>1666.6666666666667</v>
      </c>
      <c r="BP235" s="35">
        <f t="shared" si="26"/>
        <v>0</v>
      </c>
      <c r="BQ235" s="34">
        <f>IFERROR(BP235/'11-2025'!$J235,0)*12</f>
        <v>0</v>
      </c>
      <c r="BR235" s="34">
        <f>IF(BQ235&lt;=40000,0,
IF(BQ235&lt;=55000,(BQ235-40000)*10%,
IF(BQ235&lt;=70000,(BQ235-55000)*15%+1500,
IF(BQ235&lt;=200000,(BQ235-70000)*20%+1500+2250,
IF(BQ235&lt;=400000,(BQ235-200000)*22.5%+1500+2250+26000,
IF(BQ235&lt;=600000,(BQ235-400000)*25%+1500+2250+26000+45000,
IF(AND(BQ235&gt;600000,BQ235&lt;=1200000),(BQ235-400000)*25%+1500+2250+26000+45000
+IFERROR(LOOKUP(BQ235,{600001;700001;800001;900001},{4000;6750;10250;15250}),0),IF(BQ235&gt;1200000,((BQ235-1200000)*27.5%)+300000,0)
)))))))</f>
        <v>0</v>
      </c>
      <c r="BS235" s="32">
        <f>(BR235/12*'11-2025'!$J235)</f>
        <v>0</v>
      </c>
      <c r="BT235" s="33">
        <f>BS235-'11-2025'!$V235</f>
        <v>0</v>
      </c>
      <c r="BU235" s="32">
        <f>IFERROR(+'11-2025'!$W235+AL235+AM235+BJ235-'11-2025'!$AJ235-BT235+AN235+AO235,"")-AL235+AP235+AQ235</f>
        <v>1000</v>
      </c>
      <c r="BV235" s="36"/>
      <c r="BW235" s="37"/>
      <c r="BX235" s="37">
        <f t="shared" si="34"/>
        <v>1000</v>
      </c>
      <c r="BY235" s="37"/>
    </row>
    <row r="236" spans="1:77" x14ac:dyDescent="0.25">
      <c r="A236" s="45"/>
      <c r="B236" s="22" t="s">
        <v>347</v>
      </c>
      <c r="C236" s="22" t="s">
        <v>226</v>
      </c>
      <c r="D236" s="22" t="s">
        <v>72</v>
      </c>
      <c r="E236" s="22" t="s">
        <v>346</v>
      </c>
      <c r="F236" s="22" t="s">
        <v>139</v>
      </c>
      <c r="G236" s="23"/>
      <c r="H236" s="22"/>
      <c r="I236" s="24"/>
      <c r="J236" s="25">
        <v>1</v>
      </c>
      <c r="K236" s="25">
        <v>1000</v>
      </c>
      <c r="L236" s="25"/>
      <c r="M236" s="26"/>
      <c r="N236" s="25">
        <f>SUM('11-2025'!$K236:$M236)</f>
        <v>1000</v>
      </c>
      <c r="O236" s="25"/>
      <c r="P236" s="25">
        <f t="shared" si="27"/>
        <v>0</v>
      </c>
      <c r="Q236" s="25">
        <f t="shared" si="28"/>
        <v>0</v>
      </c>
      <c r="R236" s="25">
        <v>1666.6666666666667</v>
      </c>
      <c r="S236" s="27">
        <f t="shared" si="29"/>
        <v>0</v>
      </c>
      <c r="T236" s="25">
        <f t="shared" si="30"/>
        <v>0</v>
      </c>
      <c r="U236" s="25">
        <f>IF(T236&lt;=40000,0,
IF(T236&lt;=55000,(T236-40000)*10%,
IF(T236&lt;=70000,(T236-55000)*15%+1500,
IF(T236&lt;=200000,(T236-70000)*20%+1500+2250,
IF(T236&lt;=400000,(T236-200000)*22.5%+1500+2250+26000,
IF(T236&lt;=600000,(T236-400000)*25%+1500+2250+26000+45000,
IF(AND(T236&gt;600000,T236&lt;=1200000),(T236-400000)*25%+1500+2250+26000+45000
+IFERROR(LOOKUP(T236,{600001;700001;800001;900001},{4000;6750;10250;15250}),0),IF(T236&gt;1200000,((T236-1200000)*27.5%)+300000,0)
)))))))</f>
        <v>0</v>
      </c>
      <c r="V236" s="25">
        <f t="shared" si="31"/>
        <v>0</v>
      </c>
      <c r="W236" s="28">
        <v>1000</v>
      </c>
      <c r="X236" s="28">
        <f t="shared" si="32"/>
        <v>33.333333333333336</v>
      </c>
      <c r="Y236" s="29"/>
      <c r="Z236" s="29">
        <f>IFERROR(+'11-2025'!$X236*'11-2025'!$Y236,"")</f>
        <v>0</v>
      </c>
      <c r="AA236" s="29"/>
      <c r="AB236" s="29">
        <f>IFERROR(+'11-2025'!$X236*'11-2025'!$AA236,"")</f>
        <v>0</v>
      </c>
      <c r="AC236" s="29"/>
      <c r="AD236" s="29">
        <f>IFERROR(+'11-2025'!$X236*'11-2025'!$AC236,"")</f>
        <v>0</v>
      </c>
      <c r="AE236" s="29"/>
      <c r="AF236" s="29">
        <f>IFERROR(+'11-2025'!$X236*'11-2025'!$AE236,"")</f>
        <v>0</v>
      </c>
      <c r="AG236" s="29"/>
      <c r="AH236" s="29">
        <f>IFERROR(+'11-2025'!$X236*'11-2025'!$AG236,"")</f>
        <v>0</v>
      </c>
      <c r="AI236" s="29">
        <v>0</v>
      </c>
      <c r="AJ236" s="29">
        <f>IFERROR('11-2025'!$Z236+'11-2025'!$AB236+'11-2025'!$AD236+'11-2025'!$AF236+'11-2025'!$AH236+'11-2025'!$AI236,"")</f>
        <v>0</v>
      </c>
      <c r="AK236" s="30">
        <f>IFERROR('11-2025'!$W236-'11-2025'!$AJ236,"")</f>
        <v>1000</v>
      </c>
      <c r="AL236" s="31"/>
      <c r="AM236" s="31"/>
      <c r="AN236" s="31"/>
      <c r="AO236" s="31"/>
      <c r="AP236" s="31"/>
      <c r="AQ236" s="31"/>
      <c r="AR236" s="31">
        <v>0</v>
      </c>
      <c r="AS236" s="31">
        <v>0</v>
      </c>
      <c r="AT236" s="31">
        <v>0</v>
      </c>
      <c r="AU236" s="31">
        <v>0</v>
      </c>
      <c r="AV236" s="31">
        <v>0</v>
      </c>
      <c r="AW236" s="31">
        <v>0</v>
      </c>
      <c r="AX236" s="31">
        <v>0</v>
      </c>
      <c r="AY236" s="31">
        <v>0</v>
      </c>
      <c r="AZ236" s="31">
        <v>0</v>
      </c>
      <c r="BA236" s="31">
        <v>0</v>
      </c>
      <c r="BB236" s="31">
        <v>0</v>
      </c>
      <c r="BC236" s="31">
        <v>0</v>
      </c>
      <c r="BD236" s="31">
        <v>0</v>
      </c>
      <c r="BE236" s="31">
        <v>0</v>
      </c>
      <c r="BF236" s="31">
        <v>0</v>
      </c>
      <c r="BG236" s="31">
        <v>0</v>
      </c>
      <c r="BH236" s="31">
        <v>0</v>
      </c>
      <c r="BI236" s="31">
        <v>0</v>
      </c>
      <c r="BJ236" s="32">
        <f t="shared" si="36"/>
        <v>0</v>
      </c>
      <c r="BK236" s="41">
        <f>BJ236+AM236+AL236+'11-2025'!$N236+AN236+AO236</f>
        <v>1000</v>
      </c>
      <c r="BL236" s="34">
        <f>'11-2025'!$O236</f>
        <v>0</v>
      </c>
      <c r="BM236" s="34">
        <f t="shared" si="24"/>
        <v>0</v>
      </c>
      <c r="BN236" s="34">
        <f t="shared" si="25"/>
        <v>0</v>
      </c>
      <c r="BO236" s="34">
        <f t="shared" si="33"/>
        <v>1666.6666666666667</v>
      </c>
      <c r="BP236" s="35">
        <f t="shared" si="26"/>
        <v>0</v>
      </c>
      <c r="BQ236" s="34">
        <f>IFERROR(BP236/'11-2025'!$J236,0)*12</f>
        <v>0</v>
      </c>
      <c r="BR236" s="34">
        <f>IF(BQ236&lt;=40000,0,
IF(BQ236&lt;=55000,(BQ236-40000)*10%,
IF(BQ236&lt;=70000,(BQ236-55000)*15%+1500,
IF(BQ236&lt;=200000,(BQ236-70000)*20%+1500+2250,
IF(BQ236&lt;=400000,(BQ236-200000)*22.5%+1500+2250+26000,
IF(BQ236&lt;=600000,(BQ236-400000)*25%+1500+2250+26000+45000,
IF(AND(BQ236&gt;600000,BQ236&lt;=1200000),(BQ236-400000)*25%+1500+2250+26000+45000
+IFERROR(LOOKUP(BQ236,{600001;700001;800001;900001},{4000;6750;10250;15250}),0),IF(BQ236&gt;1200000,((BQ236-1200000)*27.5%)+300000,0)
)))))))</f>
        <v>0</v>
      </c>
      <c r="BS236" s="32">
        <f>(BR236/12*'11-2025'!$J236)</f>
        <v>0</v>
      </c>
      <c r="BT236" s="33">
        <f>BS236-'11-2025'!$V236</f>
        <v>0</v>
      </c>
      <c r="BU236" s="32">
        <f>IFERROR(+'11-2025'!$W236+AL236+AM236+BJ236-'11-2025'!$AJ236-BT236+AN236+AO236,"")-AL236+AP236+AQ236</f>
        <v>1000</v>
      </c>
      <c r="BV236" s="36"/>
      <c r="BW236" s="37"/>
      <c r="BX236" s="37">
        <f t="shared" si="34"/>
        <v>1000</v>
      </c>
      <c r="BY236" s="37"/>
    </row>
    <row r="237" spans="1:77" x14ac:dyDescent="0.25">
      <c r="A237" s="42">
        <v>6</v>
      </c>
      <c r="B237" s="22" t="s">
        <v>311</v>
      </c>
      <c r="C237" s="22" t="s">
        <v>71</v>
      </c>
      <c r="D237" s="22" t="s">
        <v>77</v>
      </c>
      <c r="E237" s="22" t="s">
        <v>312</v>
      </c>
      <c r="F237" s="22" t="s">
        <v>313</v>
      </c>
      <c r="G237" s="23"/>
      <c r="H237" s="22"/>
      <c r="I237" s="24"/>
      <c r="J237" s="25">
        <v>1</v>
      </c>
      <c r="K237" s="25">
        <v>2753.1</v>
      </c>
      <c r="L237" s="25"/>
      <c r="M237" s="26"/>
      <c r="N237" s="25">
        <f>SUM('11-2025'!$K237:$M237)</f>
        <v>2753.1</v>
      </c>
      <c r="O237" s="25">
        <v>2300.8846153846152</v>
      </c>
      <c r="P237" s="25">
        <f t="shared" si="27"/>
        <v>431.41586538461536</v>
      </c>
      <c r="Q237" s="25">
        <f t="shared" si="28"/>
        <v>253.09730769230768</v>
      </c>
      <c r="R237" s="25">
        <v>1666.6666666666667</v>
      </c>
      <c r="S237" s="27">
        <f t="shared" si="29"/>
        <v>833.33602564102534</v>
      </c>
      <c r="T237" s="25">
        <f t="shared" si="30"/>
        <v>10000.032307692305</v>
      </c>
      <c r="U237" s="25">
        <f>IF(T237&lt;=40000,0,
IF(T237&lt;=55000,(T237-40000)*10%,
IF(T237&lt;=70000,(T237-55000)*15%+1500,
IF(T237&lt;=200000,(T237-70000)*20%+1500+2250,
IF(T237&lt;=400000,(T237-200000)*22.5%+1500+2250+26000,
IF(T237&lt;=600000,(T237-400000)*25%+1500+2250+26000+45000,
IF(AND(T237&gt;600000,T237&lt;=1200000),(T237-400000)*25%+1500+2250+26000+45000
+IFERROR(LOOKUP(T237,{600001;700001;800001;900001},{4000;6750;10250;15250}),0),IF(T237&gt;1200000,((T237-1200000)*27.5%)+300000,0)
)))))))</f>
        <v>0</v>
      </c>
      <c r="V237" s="25">
        <f t="shared" si="31"/>
        <v>0</v>
      </c>
      <c r="W237" s="28">
        <f>+'11-2025'!$S237-'11-2025'!$V237+'11-2025'!$R237</f>
        <v>2500.0026923076921</v>
      </c>
      <c r="X237" s="28">
        <f t="shared" si="32"/>
        <v>83.333423076923069</v>
      </c>
      <c r="Y237" s="29"/>
      <c r="Z237" s="29">
        <f>IFERROR(+'11-2025'!$X237*'11-2025'!$Y237,"")</f>
        <v>0</v>
      </c>
      <c r="AA237" s="29"/>
      <c r="AB237" s="29">
        <f>IFERROR(+'11-2025'!$X237*'11-2025'!$AA237,"")</f>
        <v>0</v>
      </c>
      <c r="AC237" s="29"/>
      <c r="AD237" s="29">
        <f>IFERROR(+'11-2025'!$X237*'11-2025'!$AC237,"")</f>
        <v>0</v>
      </c>
      <c r="AE237" s="29"/>
      <c r="AF237" s="29">
        <f>IFERROR(+'11-2025'!$X237*'11-2025'!$AE237,"")</f>
        <v>0</v>
      </c>
      <c r="AG237" s="29"/>
      <c r="AH237" s="29">
        <f>IFERROR(+'11-2025'!$X237*'11-2025'!$AG237,"")</f>
        <v>0</v>
      </c>
      <c r="AI237" s="29">
        <v>0</v>
      </c>
      <c r="AJ237" s="29">
        <f>IFERROR('11-2025'!$Z237+'11-2025'!$AB237+'11-2025'!$AD237+'11-2025'!$AF237+'11-2025'!$AH237+'11-2025'!$AI237,"")</f>
        <v>0</v>
      </c>
      <c r="AK237" s="30">
        <f>IFERROR('11-2025'!$W237-'11-2025'!$AJ237,"")</f>
        <v>2500.0026923076921</v>
      </c>
      <c r="AL237" s="31"/>
      <c r="AM237" s="31"/>
      <c r="AN237" s="31"/>
      <c r="AO237" s="31"/>
      <c r="AP237" s="31"/>
      <c r="AQ237" s="31"/>
      <c r="AR237" s="31">
        <v>0</v>
      </c>
      <c r="AS237" s="31">
        <v>0</v>
      </c>
      <c r="AT237" s="31">
        <v>0</v>
      </c>
      <c r="AU237" s="31">
        <v>0</v>
      </c>
      <c r="AV237" s="31">
        <v>0</v>
      </c>
      <c r="AW237" s="31">
        <v>0</v>
      </c>
      <c r="AX237" s="31">
        <v>0</v>
      </c>
      <c r="AY237" s="31">
        <v>0</v>
      </c>
      <c r="AZ237" s="31">
        <v>0</v>
      </c>
      <c r="BA237" s="31">
        <v>0</v>
      </c>
      <c r="BB237" s="31">
        <v>0</v>
      </c>
      <c r="BC237" s="31">
        <v>0</v>
      </c>
      <c r="BD237" s="31">
        <v>0</v>
      </c>
      <c r="BE237" s="31">
        <v>0</v>
      </c>
      <c r="BF237" s="31">
        <v>0</v>
      </c>
      <c r="BG237" s="31">
        <v>0</v>
      </c>
      <c r="BH237" s="31">
        <v>0</v>
      </c>
      <c r="BI237" s="31">
        <v>0</v>
      </c>
      <c r="BJ237" s="32">
        <f t="shared" si="36"/>
        <v>0</v>
      </c>
      <c r="BK237" s="41">
        <f>BJ237+AM237+AL237+'11-2025'!$N237+AN237+AO237</f>
        <v>2753.1</v>
      </c>
      <c r="BL237" s="34">
        <f>'11-2025'!$O237</f>
        <v>2300.8846153846152</v>
      </c>
      <c r="BM237" s="34">
        <f t="shared" si="24"/>
        <v>431.41586538461536</v>
      </c>
      <c r="BN237" s="34">
        <f t="shared" si="25"/>
        <v>253.09730769230768</v>
      </c>
      <c r="BO237" s="34">
        <f t="shared" si="33"/>
        <v>1666.6666666666667</v>
      </c>
      <c r="BP237" s="35">
        <f t="shared" si="26"/>
        <v>833.33602564102534</v>
      </c>
      <c r="BQ237" s="34">
        <f>IFERROR(BP237/'11-2025'!$J237,0)*12</f>
        <v>10000.032307692305</v>
      </c>
      <c r="BR237" s="34">
        <f>IF(BQ237&lt;=40000,0,
IF(BQ237&lt;=55000,(BQ237-40000)*10%,
IF(BQ237&lt;=70000,(BQ237-55000)*15%+1500,
IF(BQ237&lt;=200000,(BQ237-70000)*20%+1500+2250,
IF(BQ237&lt;=400000,(BQ237-200000)*22.5%+1500+2250+26000,
IF(BQ237&lt;=600000,(BQ237-400000)*25%+1500+2250+26000+45000,
IF(AND(BQ237&gt;600000,BQ237&lt;=1200000),(BQ237-400000)*25%+1500+2250+26000+45000
+IFERROR(LOOKUP(BQ237,{600001;700001;800001;900001},{4000;6750;10250;15250}),0),IF(BQ237&gt;1200000,((BQ237-1200000)*27.5%)+300000,0)
)))))))</f>
        <v>0</v>
      </c>
      <c r="BS237" s="32">
        <f>(BR237/12*'11-2025'!$J237)</f>
        <v>0</v>
      </c>
      <c r="BT237" s="33">
        <f>BS237-'11-2025'!$V237</f>
        <v>0</v>
      </c>
      <c r="BU237" s="32">
        <f>IFERROR(+'11-2025'!$W237+AL237+AM237+BJ237-'11-2025'!$AJ237-BT237+AN237+AO237,"")-AL237+AP237+AQ237</f>
        <v>2500.0026923076921</v>
      </c>
      <c r="BV237" s="36"/>
      <c r="BW237" s="37"/>
      <c r="BX237" s="37">
        <f t="shared" si="34"/>
        <v>2500.0026923076921</v>
      </c>
      <c r="BY237" s="37"/>
    </row>
    <row r="238" spans="1:77" x14ac:dyDescent="0.25">
      <c r="A238" s="42">
        <v>8</v>
      </c>
      <c r="B238" s="22" t="s">
        <v>314</v>
      </c>
      <c r="C238" s="22" t="s">
        <v>106</v>
      </c>
      <c r="D238" s="22" t="s">
        <v>72</v>
      </c>
      <c r="E238" s="22" t="s">
        <v>315</v>
      </c>
      <c r="F238" s="22" t="s">
        <v>183</v>
      </c>
      <c r="G238" s="23"/>
      <c r="H238" s="22"/>
      <c r="I238" s="24"/>
      <c r="J238" s="25">
        <v>1</v>
      </c>
      <c r="K238" s="25">
        <v>2000</v>
      </c>
      <c r="L238" s="25"/>
      <c r="M238" s="26"/>
      <c r="N238" s="25">
        <f>SUM('11-2025'!$K238:$M238)</f>
        <v>2000</v>
      </c>
      <c r="O238" s="25"/>
      <c r="P238" s="25">
        <f t="shared" si="27"/>
        <v>0</v>
      </c>
      <c r="Q238" s="25">
        <f t="shared" si="28"/>
        <v>0</v>
      </c>
      <c r="R238" s="25">
        <v>1666.6666666666667</v>
      </c>
      <c r="S238" s="27">
        <f t="shared" si="29"/>
        <v>333.33333333333326</v>
      </c>
      <c r="T238" s="25">
        <f t="shared" si="30"/>
        <v>3999.9999999999991</v>
      </c>
      <c r="U238" s="25">
        <f>IF(T238&lt;=40000,0,
IF(T238&lt;=55000,(T238-40000)*10%,
IF(T238&lt;=70000,(T238-55000)*15%+1500,
IF(T238&lt;=200000,(T238-70000)*20%+1500+2250,
IF(T238&lt;=400000,(T238-200000)*22.5%+1500+2250+26000,
IF(T238&lt;=600000,(T238-400000)*25%+1500+2250+26000+45000,
IF(AND(T238&gt;600000,T238&lt;=1200000),(T238-400000)*25%+1500+2250+26000+45000
+IFERROR(LOOKUP(T238,{600001;700001;800001;900001},{4000;6750;10250;15250}),0),IF(T238&gt;1200000,((T238-1200000)*27.5%)+300000,0)
)))))))</f>
        <v>0</v>
      </c>
      <c r="V238" s="25">
        <f t="shared" si="31"/>
        <v>0</v>
      </c>
      <c r="W238" s="28">
        <f>+'11-2025'!$S238-'11-2025'!$V238+'11-2025'!$R238</f>
        <v>2000</v>
      </c>
      <c r="X238" s="28">
        <f t="shared" si="32"/>
        <v>66.666666666666671</v>
      </c>
      <c r="Y238" s="29"/>
      <c r="Z238" s="29">
        <f>IFERROR(+'11-2025'!$X238*'11-2025'!$Y238,"")</f>
        <v>0</v>
      </c>
      <c r="AA238" s="29"/>
      <c r="AB238" s="29">
        <f>IFERROR(+'11-2025'!$X238*'11-2025'!$AA238,"")</f>
        <v>0</v>
      </c>
      <c r="AC238" s="29"/>
      <c r="AD238" s="29">
        <f>IFERROR(+'11-2025'!$X238*'11-2025'!$AC238,"")</f>
        <v>0</v>
      </c>
      <c r="AE238" s="29"/>
      <c r="AF238" s="29">
        <f>IFERROR(+'11-2025'!$X238*'11-2025'!$AE238,"")</f>
        <v>0</v>
      </c>
      <c r="AG238" s="29"/>
      <c r="AH238" s="29">
        <f>IFERROR(+'11-2025'!$X238*'11-2025'!$AG238,"")</f>
        <v>0</v>
      </c>
      <c r="AI238" s="29">
        <v>0</v>
      </c>
      <c r="AJ238" s="29">
        <f>IFERROR('11-2025'!$Z238+'11-2025'!$AB238+'11-2025'!$AD238+'11-2025'!$AF238+'11-2025'!$AH238+'11-2025'!$AI238,"")</f>
        <v>0</v>
      </c>
      <c r="AK238" s="30">
        <f>IFERROR('11-2025'!$W238-'11-2025'!$AJ238,"")</f>
        <v>2000</v>
      </c>
      <c r="AL238" s="31"/>
      <c r="AM238" s="31"/>
      <c r="AN238" s="31"/>
      <c r="AO238" s="31"/>
      <c r="AP238" s="31"/>
      <c r="AQ238" s="31"/>
      <c r="AR238" s="31">
        <v>0</v>
      </c>
      <c r="AS238" s="31">
        <v>0</v>
      </c>
      <c r="AT238" s="31">
        <v>0</v>
      </c>
      <c r="AU238" s="31">
        <v>0</v>
      </c>
      <c r="AV238" s="31">
        <v>0</v>
      </c>
      <c r="AW238" s="31">
        <v>3362.1750000000002</v>
      </c>
      <c r="AX238" s="31">
        <v>0</v>
      </c>
      <c r="AY238" s="31">
        <v>0</v>
      </c>
      <c r="AZ238" s="31">
        <v>0</v>
      </c>
      <c r="BA238" s="31">
        <v>0</v>
      </c>
      <c r="BB238" s="31">
        <v>0</v>
      </c>
      <c r="BC238" s="31">
        <v>0</v>
      </c>
      <c r="BD238" s="31">
        <v>0</v>
      </c>
      <c r="BE238" s="31">
        <v>0</v>
      </c>
      <c r="BF238" s="31">
        <v>0</v>
      </c>
      <c r="BG238" s="31">
        <v>0</v>
      </c>
      <c r="BH238" s="31">
        <v>0</v>
      </c>
      <c r="BI238" s="31">
        <v>0</v>
      </c>
      <c r="BJ238" s="32">
        <f t="shared" si="36"/>
        <v>3362.1750000000002</v>
      </c>
      <c r="BK238" s="41">
        <f>BJ238+AM238+AL238+'11-2025'!$N238+AN238+AO238</f>
        <v>5362.1750000000002</v>
      </c>
      <c r="BL238" s="34">
        <f>'11-2025'!$O238</f>
        <v>0</v>
      </c>
      <c r="BM238" s="34">
        <f t="shared" si="24"/>
        <v>0</v>
      </c>
      <c r="BN238" s="34">
        <f t="shared" si="25"/>
        <v>0</v>
      </c>
      <c r="BO238" s="34">
        <f t="shared" si="33"/>
        <v>1666.6666666666667</v>
      </c>
      <c r="BP238" s="35">
        <f t="shared" si="26"/>
        <v>3695.5083333333332</v>
      </c>
      <c r="BQ238" s="34">
        <f>IFERROR(BP238/'11-2025'!$J238,0)*12</f>
        <v>44346.1</v>
      </c>
      <c r="BR238" s="34">
        <f>IF(BQ238&lt;=40000,0,
IF(BQ238&lt;=55000,(BQ238-40000)*10%,
IF(BQ238&lt;=70000,(BQ238-55000)*15%+1500,
IF(BQ238&lt;=200000,(BQ238-70000)*20%+1500+2250,
IF(BQ238&lt;=400000,(BQ238-200000)*22.5%+1500+2250+26000,
IF(BQ238&lt;=600000,(BQ238-400000)*25%+1500+2250+26000+45000,
IF(AND(BQ238&gt;600000,BQ238&lt;=1200000),(BQ238-400000)*25%+1500+2250+26000+45000
+IFERROR(LOOKUP(BQ238,{600001;700001;800001;900001},{4000;6750;10250;15250}),0),IF(BQ238&gt;1200000,((BQ238-1200000)*27.5%)+300000,0)
)))))))</f>
        <v>434.6099999999999</v>
      </c>
      <c r="BS238" s="32">
        <f>(BR238/12*'11-2025'!$J238)</f>
        <v>36.217499999999994</v>
      </c>
      <c r="BT238" s="33">
        <v>0</v>
      </c>
      <c r="BU238" s="32">
        <f>IFERROR(+'11-2025'!$W238+AL238+AM238+BJ238-'11-2025'!$AJ238-BT238+AN238+AO238,"")-AL238+AP238+AQ238</f>
        <v>5362.1750000000002</v>
      </c>
      <c r="BV238" s="36"/>
      <c r="BW238" s="37"/>
      <c r="BX238" s="37">
        <f t="shared" si="34"/>
        <v>5362.1750000000002</v>
      </c>
      <c r="BY238" s="37"/>
    </row>
    <row r="239" spans="1:77" x14ac:dyDescent="0.25">
      <c r="A239" s="42">
        <v>4444</v>
      </c>
      <c r="B239" s="22" t="s">
        <v>316</v>
      </c>
      <c r="C239" s="22" t="s">
        <v>106</v>
      </c>
      <c r="D239" s="22" t="s">
        <v>72</v>
      </c>
      <c r="E239" s="22" t="s">
        <v>183</v>
      </c>
      <c r="F239" s="22" t="s">
        <v>183</v>
      </c>
      <c r="G239" s="23"/>
      <c r="H239" s="22"/>
      <c r="I239" s="24"/>
      <c r="J239" s="25">
        <v>1</v>
      </c>
      <c r="K239" s="25">
        <v>1000</v>
      </c>
      <c r="L239" s="25"/>
      <c r="M239" s="26"/>
      <c r="N239" s="25">
        <f>SUM('11-2025'!$K239:$M239)</f>
        <v>1000</v>
      </c>
      <c r="O239" s="25"/>
      <c r="P239" s="25">
        <f t="shared" si="27"/>
        <v>0</v>
      </c>
      <c r="Q239" s="25">
        <f t="shared" si="28"/>
        <v>0</v>
      </c>
      <c r="R239" s="25">
        <v>1666.6666666666667</v>
      </c>
      <c r="S239" s="27">
        <f t="shared" si="29"/>
        <v>0</v>
      </c>
      <c r="T239" s="25">
        <f t="shared" si="30"/>
        <v>0</v>
      </c>
      <c r="U239" s="25">
        <f>IF(T239&lt;=40000,0,
IF(T239&lt;=55000,(T239-40000)*10%,
IF(T239&lt;=70000,(T239-55000)*15%+1500,
IF(T239&lt;=200000,(T239-70000)*20%+1500+2250,
IF(T239&lt;=400000,(T239-200000)*22.5%+1500+2250+26000,
IF(T239&lt;=600000,(T239-400000)*25%+1500+2250+26000+45000,
IF(AND(T239&gt;600000,T239&lt;=1200000),(T239-400000)*25%+1500+2250+26000+45000
+IFERROR(LOOKUP(T239,{600001;700001;800001;900001},{4000;6750;10250;15250}),0),IF(T239&gt;1200000,((T239-1200000)*27.5%)+300000,0)
)))))))</f>
        <v>0</v>
      </c>
      <c r="V239" s="25">
        <f t="shared" si="31"/>
        <v>0</v>
      </c>
      <c r="W239" s="28">
        <v>1000</v>
      </c>
      <c r="X239" s="28">
        <f t="shared" si="32"/>
        <v>33.333333333333336</v>
      </c>
      <c r="Y239" s="29"/>
      <c r="Z239" s="29">
        <f>IFERROR(+'11-2025'!$X239*'11-2025'!$Y239,"")</f>
        <v>0</v>
      </c>
      <c r="AA239" s="29"/>
      <c r="AB239" s="29">
        <f>IFERROR(+'11-2025'!$X239*'11-2025'!$AA239,"")</f>
        <v>0</v>
      </c>
      <c r="AC239" s="29"/>
      <c r="AD239" s="29">
        <f>IFERROR(+'11-2025'!$X239*'11-2025'!$AC239,"")</f>
        <v>0</v>
      </c>
      <c r="AE239" s="29"/>
      <c r="AF239" s="29">
        <f>IFERROR(+'11-2025'!$X239*'11-2025'!$AE239,"")</f>
        <v>0</v>
      </c>
      <c r="AG239" s="29"/>
      <c r="AH239" s="29">
        <f>IFERROR(+'11-2025'!$X239*'11-2025'!$AG239,"")</f>
        <v>0</v>
      </c>
      <c r="AI239" s="29">
        <v>0</v>
      </c>
      <c r="AJ239" s="29">
        <f>IFERROR('11-2025'!$Z239+'11-2025'!$AB239+'11-2025'!$AD239+'11-2025'!$AF239+'11-2025'!$AH239+'11-2025'!$AI239,"")</f>
        <v>0</v>
      </c>
      <c r="AK239" s="30">
        <f>IFERROR('11-2025'!$W239-'11-2025'!$AJ239,"")</f>
        <v>1000</v>
      </c>
      <c r="AL239" s="31"/>
      <c r="AM239" s="31"/>
      <c r="AN239" s="31"/>
      <c r="AO239" s="31"/>
      <c r="AP239" s="31"/>
      <c r="AQ239" s="31"/>
      <c r="AR239" s="31">
        <v>0</v>
      </c>
      <c r="AS239" s="31">
        <v>0</v>
      </c>
      <c r="AT239" s="31">
        <v>0</v>
      </c>
      <c r="AU239" s="31">
        <v>0</v>
      </c>
      <c r="AV239" s="31">
        <v>0</v>
      </c>
      <c r="AW239" s="31">
        <v>0</v>
      </c>
      <c r="AX239" s="31">
        <v>0</v>
      </c>
      <c r="AY239" s="31">
        <v>0</v>
      </c>
      <c r="AZ239" s="31">
        <v>0</v>
      </c>
      <c r="BA239" s="31">
        <v>0</v>
      </c>
      <c r="BB239" s="31">
        <v>0</v>
      </c>
      <c r="BC239" s="31">
        <v>0</v>
      </c>
      <c r="BD239" s="31">
        <v>0</v>
      </c>
      <c r="BE239" s="31">
        <v>0</v>
      </c>
      <c r="BF239" s="31">
        <v>0</v>
      </c>
      <c r="BG239" s="31">
        <v>0</v>
      </c>
      <c r="BH239" s="31">
        <v>136.905</v>
      </c>
      <c r="BI239" s="31">
        <v>0</v>
      </c>
      <c r="BJ239" s="32">
        <f t="shared" si="36"/>
        <v>136.905</v>
      </c>
      <c r="BK239" s="41">
        <f>BJ239+AM239+AL239+'11-2025'!$N239+AN239+AO239</f>
        <v>1136.905</v>
      </c>
      <c r="BL239" s="34">
        <f>'11-2025'!$O239</f>
        <v>0</v>
      </c>
      <c r="BM239" s="34">
        <f t="shared" si="24"/>
        <v>0</v>
      </c>
      <c r="BN239" s="34">
        <f t="shared" si="25"/>
        <v>0</v>
      </c>
      <c r="BO239" s="34">
        <f t="shared" si="33"/>
        <v>1666.6666666666667</v>
      </c>
      <c r="BP239" s="35">
        <f t="shared" si="26"/>
        <v>0</v>
      </c>
      <c r="BQ239" s="34">
        <f>IFERROR(BP239/'11-2025'!$J239,0)*12</f>
        <v>0</v>
      </c>
      <c r="BR239" s="34">
        <f>IF(BQ239&lt;=40000,0,
IF(BQ239&lt;=55000,(BQ239-40000)*10%,
IF(BQ239&lt;=70000,(BQ239-55000)*15%+1500,
IF(BQ239&lt;=200000,(BQ239-70000)*20%+1500+2250,
IF(BQ239&lt;=400000,(BQ239-200000)*22.5%+1500+2250+26000,
IF(BQ239&lt;=600000,(BQ239-400000)*25%+1500+2250+26000+45000,
IF(AND(BQ239&gt;600000,BQ239&lt;=1200000),(BQ239-400000)*25%+1500+2250+26000+45000
+IFERROR(LOOKUP(BQ239,{600001;700001;800001;900001},{4000;6750;10250;15250}),0),IF(BQ239&gt;1200000,((BQ239-1200000)*27.5%)+300000,0)
)))))))</f>
        <v>0</v>
      </c>
      <c r="BS239" s="32">
        <f>(BR239/12*'11-2025'!$J239)</f>
        <v>0</v>
      </c>
      <c r="BT239" s="33">
        <f>BS239-'11-2025'!$V239</f>
        <v>0</v>
      </c>
      <c r="BU239" s="32">
        <f>IFERROR(+'11-2025'!$W239+AL239+AM239+BJ239-'11-2025'!$AJ239-BT239+AN239+AO239,"")-AL239+AP239+AQ239</f>
        <v>1136.905</v>
      </c>
      <c r="BV239" s="36"/>
      <c r="BW239" s="37"/>
      <c r="BX239" s="37">
        <f t="shared" si="34"/>
        <v>1136.905</v>
      </c>
      <c r="BY239" s="37"/>
    </row>
    <row r="240" spans="1:77" x14ac:dyDescent="0.25">
      <c r="A240" s="42">
        <v>88888</v>
      </c>
      <c r="B240" s="22" t="s">
        <v>317</v>
      </c>
      <c r="C240" s="22" t="s">
        <v>71</v>
      </c>
      <c r="D240" s="22" t="s">
        <v>72</v>
      </c>
      <c r="E240" s="22" t="s">
        <v>183</v>
      </c>
      <c r="F240" s="22" t="s">
        <v>183</v>
      </c>
      <c r="G240" s="23">
        <v>45545</v>
      </c>
      <c r="H240" s="22"/>
      <c r="I240" s="24"/>
      <c r="J240" s="25">
        <v>1</v>
      </c>
      <c r="K240" s="25">
        <v>2000</v>
      </c>
      <c r="L240" s="25"/>
      <c r="M240" s="26"/>
      <c r="N240" s="25">
        <f>SUM('11-2025'!$K240:$M240)</f>
        <v>2000</v>
      </c>
      <c r="O240" s="25"/>
      <c r="P240" s="25">
        <f t="shared" si="27"/>
        <v>0</v>
      </c>
      <c r="Q240" s="25">
        <f t="shared" si="28"/>
        <v>0</v>
      </c>
      <c r="R240" s="25">
        <v>1666.6666666666667</v>
      </c>
      <c r="S240" s="27">
        <f t="shared" si="29"/>
        <v>333.33333333333326</v>
      </c>
      <c r="T240" s="25">
        <f t="shared" si="30"/>
        <v>3999.9999999999991</v>
      </c>
      <c r="U240" s="25">
        <f>IF(T240&lt;=40000,0,
IF(T240&lt;=55000,(T240-40000)*10%,
IF(T240&lt;=70000,(T240-55000)*15%+1500,
IF(T240&lt;=200000,(T240-70000)*20%+1500+2250,
IF(T240&lt;=400000,(T240-200000)*22.5%+1500+2250+26000,
IF(T240&lt;=600000,(T240-400000)*25%+1500+2250+26000+45000,
IF(AND(T240&gt;600000,T240&lt;=1200000),(T240-400000)*25%+1500+2250+26000+45000
+IFERROR(LOOKUP(T240,{600001;700001;800001;900001},{4000;6750;10250;15250}),0),IF(T240&gt;1200000,((T240-1200000)*27.5%)+300000,0)
)))))))</f>
        <v>0</v>
      </c>
      <c r="V240" s="25">
        <f t="shared" si="31"/>
        <v>0</v>
      </c>
      <c r="W240" s="28">
        <f>+'11-2025'!$S240-'11-2025'!$V240+'11-2025'!$R240</f>
        <v>2000</v>
      </c>
      <c r="X240" s="28">
        <f t="shared" si="32"/>
        <v>66.666666666666671</v>
      </c>
      <c r="Y240" s="29"/>
      <c r="Z240" s="29">
        <f>IFERROR(+'11-2025'!$X240*'11-2025'!$Y240,"")</f>
        <v>0</v>
      </c>
      <c r="AA240" s="29"/>
      <c r="AB240" s="29">
        <f>IFERROR(+'11-2025'!$X240*'11-2025'!$AA240,"")</f>
        <v>0</v>
      </c>
      <c r="AC240" s="29"/>
      <c r="AD240" s="29">
        <f>IFERROR(+'11-2025'!$X240*'11-2025'!$AC240,"")</f>
        <v>0</v>
      </c>
      <c r="AE240" s="29"/>
      <c r="AF240" s="29">
        <f>IFERROR(+'11-2025'!$X240*'11-2025'!$AE240,"")</f>
        <v>0</v>
      </c>
      <c r="AG240" s="29"/>
      <c r="AH240" s="29">
        <f>IFERROR(+'11-2025'!$X240*'11-2025'!$AG240,"")</f>
        <v>0</v>
      </c>
      <c r="AI240" s="29">
        <v>0</v>
      </c>
      <c r="AJ240" s="29">
        <f>IFERROR('11-2025'!$Z240+'11-2025'!$AB240+'11-2025'!$AD240+'11-2025'!$AF240+'11-2025'!$AH240+'11-2025'!$AI240,"")</f>
        <v>0</v>
      </c>
      <c r="AK240" s="30">
        <f>IFERROR('11-2025'!$W240-'11-2025'!$AJ240,"")</f>
        <v>2000</v>
      </c>
      <c r="AL240" s="31"/>
      <c r="AM240" s="31"/>
      <c r="AN240" s="31"/>
      <c r="AO240" s="31"/>
      <c r="AP240" s="31"/>
      <c r="AQ240" s="31"/>
      <c r="AR240" s="31">
        <v>0</v>
      </c>
      <c r="AS240" s="31">
        <v>0</v>
      </c>
      <c r="AT240" s="31">
        <v>0</v>
      </c>
      <c r="AU240" s="31">
        <v>0</v>
      </c>
      <c r="AV240" s="31">
        <v>0</v>
      </c>
      <c r="AW240" s="31">
        <v>2536.5299999999997</v>
      </c>
      <c r="AX240" s="31">
        <v>0</v>
      </c>
      <c r="AY240" s="31">
        <v>0</v>
      </c>
      <c r="AZ240" s="31">
        <v>0</v>
      </c>
      <c r="BA240" s="31">
        <v>0</v>
      </c>
      <c r="BB240" s="31">
        <v>0</v>
      </c>
      <c r="BC240" s="31">
        <v>0</v>
      </c>
      <c r="BD240" s="31">
        <v>0</v>
      </c>
      <c r="BE240" s="31">
        <v>0</v>
      </c>
      <c r="BF240" s="31">
        <v>0</v>
      </c>
      <c r="BG240" s="31">
        <v>0</v>
      </c>
      <c r="BH240" s="31">
        <v>0</v>
      </c>
      <c r="BI240" s="31">
        <v>0</v>
      </c>
      <c r="BJ240" s="32">
        <f t="shared" si="36"/>
        <v>2536.5299999999997</v>
      </c>
      <c r="BK240" s="41">
        <f>BJ240+AM240+AL240+'11-2025'!$N240+AN240+AO240</f>
        <v>4536.53</v>
      </c>
      <c r="BL240" s="34">
        <f>'11-2025'!$O240</f>
        <v>0</v>
      </c>
      <c r="BM240" s="34">
        <f t="shared" si="24"/>
        <v>0</v>
      </c>
      <c r="BN240" s="34">
        <f t="shared" si="25"/>
        <v>0</v>
      </c>
      <c r="BO240" s="34">
        <f t="shared" si="33"/>
        <v>1666.6666666666667</v>
      </c>
      <c r="BP240" s="35">
        <f t="shared" si="26"/>
        <v>2869.8633333333328</v>
      </c>
      <c r="BQ240" s="34">
        <f>IFERROR(BP240/'11-2025'!$J240,0)*12</f>
        <v>34438.359999999993</v>
      </c>
      <c r="BR240" s="34">
        <f>IF(BQ240&lt;=40000,0,
IF(BQ240&lt;=55000,(BQ240-40000)*10%,
IF(BQ240&lt;=70000,(BQ240-55000)*15%+1500,
IF(BQ240&lt;=200000,(BQ240-70000)*20%+1500+2250,
IF(BQ240&lt;=400000,(BQ240-200000)*22.5%+1500+2250+26000,
IF(BQ240&lt;=600000,(BQ240-400000)*25%+1500+2250+26000+45000,
IF(AND(BQ240&gt;600000,BQ240&lt;=1200000),(BQ240-400000)*25%+1500+2250+26000+45000
+IFERROR(LOOKUP(BQ240,{600001;700001;800001;900001},{4000;6750;10250;15250}),0),IF(BQ240&gt;1200000,((BQ240-1200000)*27.5%)+300000,0)
)))))))</f>
        <v>0</v>
      </c>
      <c r="BS240" s="32">
        <f>(BR240/12*'11-2025'!$J240)</f>
        <v>0</v>
      </c>
      <c r="BT240" s="33">
        <v>0</v>
      </c>
      <c r="BU240" s="32">
        <f>IFERROR(+'11-2025'!$W240+AL240+AM240+BJ240-'11-2025'!$AJ240-BT240+AN240+AO240,"")-AL240+AP240+AQ240</f>
        <v>4536.53</v>
      </c>
      <c r="BV240" s="32"/>
      <c r="BW240" s="37"/>
      <c r="BX240" s="37">
        <f t="shared" si="34"/>
        <v>4536.53</v>
      </c>
      <c r="BY240" s="37"/>
    </row>
    <row r="241" spans="1:77" x14ac:dyDescent="0.25">
      <c r="A241" s="42"/>
      <c r="B241" s="22"/>
      <c r="C241" s="22"/>
      <c r="D241" s="22"/>
      <c r="E241" s="22"/>
      <c r="F241" s="22"/>
      <c r="G241" s="23"/>
      <c r="H241" s="22"/>
      <c r="I241" s="24"/>
      <c r="J241" s="25">
        <v>1</v>
      </c>
      <c r="K241" s="25"/>
      <c r="L241" s="25"/>
      <c r="M241" s="26"/>
      <c r="N241" s="25">
        <f>SUM('11-2025'!$K241:$M241)</f>
        <v>0</v>
      </c>
      <c r="O241" s="25"/>
      <c r="P241" s="25">
        <f t="shared" si="27"/>
        <v>0</v>
      </c>
      <c r="Q241" s="25">
        <f t="shared" si="28"/>
        <v>0</v>
      </c>
      <c r="R241" s="25">
        <v>1666.6666666666667</v>
      </c>
      <c r="S241" s="27">
        <f t="shared" si="29"/>
        <v>0</v>
      </c>
      <c r="T241" s="25">
        <f t="shared" si="30"/>
        <v>0</v>
      </c>
      <c r="U241" s="25">
        <f>IF(T241&lt;=40000,0,
IF(T241&lt;=55000,(T241-40000)*10%,
IF(T241&lt;=70000,(T241-55000)*15%+1500,
IF(T241&lt;=200000,(T241-70000)*20%+1500+2250,
IF(T241&lt;=400000,(T241-200000)*22.5%+1500+2250+26000,
IF(T241&lt;=600000,(T241-400000)*25%+1500+2250+26000+45000,
IF(AND(T241&gt;600000,T241&lt;=1200000),(T241-400000)*25%+1500+2250+26000+45000
+IFERROR(LOOKUP(T241,{600001;700001;800001;900001},{4000;6750;10250;15250}),0),IF(T241&gt;1200000,((T241-1200000)*27.5%)+300000,0)
)))))))</f>
        <v>0</v>
      </c>
      <c r="V241" s="25">
        <f t="shared" si="31"/>
        <v>0</v>
      </c>
      <c r="W241" s="28">
        <v>0</v>
      </c>
      <c r="X241" s="28">
        <f t="shared" si="32"/>
        <v>0</v>
      </c>
      <c r="Y241" s="29"/>
      <c r="Z241" s="29">
        <f>IFERROR(+'11-2025'!$X241*'11-2025'!$Y241,"")</f>
        <v>0</v>
      </c>
      <c r="AA241" s="29"/>
      <c r="AB241" s="29">
        <f>IFERROR(+'11-2025'!$X241*'11-2025'!$AA241,"")</f>
        <v>0</v>
      </c>
      <c r="AC241" s="29"/>
      <c r="AD241" s="29">
        <f>IFERROR(+'11-2025'!$X241*'11-2025'!$AC241,"")</f>
        <v>0</v>
      </c>
      <c r="AE241" s="29"/>
      <c r="AF241" s="29">
        <f>IFERROR(+'11-2025'!$X241*'11-2025'!$AE241,"")</f>
        <v>0</v>
      </c>
      <c r="AG241" s="29"/>
      <c r="AH241" s="29">
        <f>IFERROR(+'11-2025'!$X241*'11-2025'!$AG241,"")</f>
        <v>0</v>
      </c>
      <c r="AI241" s="29"/>
      <c r="AJ241" s="29">
        <f>IFERROR('11-2025'!$Z241+'11-2025'!$AB241+'11-2025'!$AD241+'11-2025'!$AF241+'11-2025'!$AH241+'11-2025'!$AI241,"")</f>
        <v>0</v>
      </c>
      <c r="AK241" s="30">
        <f>IFERROR('11-2025'!$W241-'11-2025'!$AJ241,"")</f>
        <v>0</v>
      </c>
      <c r="AL241" s="31"/>
      <c r="AM241" s="31"/>
      <c r="AN241" s="31"/>
      <c r="AO241" s="31"/>
      <c r="AP241" s="31"/>
      <c r="AQ241" s="31"/>
      <c r="AR241" s="31">
        <v>0</v>
      </c>
      <c r="AS241" s="31">
        <v>0</v>
      </c>
      <c r="AT241" s="31">
        <v>0</v>
      </c>
      <c r="AU241" s="31">
        <v>0</v>
      </c>
      <c r="AV241" s="31">
        <v>0</v>
      </c>
      <c r="AW241" s="31">
        <v>0</v>
      </c>
      <c r="AX241" s="31">
        <v>0</v>
      </c>
      <c r="AY241" s="31">
        <v>0</v>
      </c>
      <c r="AZ241" s="31">
        <v>0</v>
      </c>
      <c r="BA241" s="31">
        <v>0</v>
      </c>
      <c r="BB241" s="31">
        <v>0</v>
      </c>
      <c r="BC241" s="31">
        <v>0</v>
      </c>
      <c r="BD241" s="31">
        <v>0</v>
      </c>
      <c r="BE241" s="31">
        <v>0</v>
      </c>
      <c r="BF241" s="31">
        <v>0</v>
      </c>
      <c r="BG241" s="31">
        <v>0</v>
      </c>
      <c r="BH241" s="31">
        <v>0</v>
      </c>
      <c r="BI241" s="31">
        <v>0</v>
      </c>
      <c r="BJ241" s="32">
        <f t="shared" si="36"/>
        <v>0</v>
      </c>
      <c r="BK241" s="41">
        <f>BJ241+AM241+AL241+'11-2025'!$N241+AN241+AO241</f>
        <v>0</v>
      </c>
      <c r="BL241" s="34">
        <f>'11-2025'!$O241</f>
        <v>0</v>
      </c>
      <c r="BM241" s="34">
        <f t="shared" si="24"/>
        <v>0</v>
      </c>
      <c r="BN241" s="34">
        <f t="shared" si="25"/>
        <v>0</v>
      </c>
      <c r="BO241" s="34">
        <f t="shared" si="33"/>
        <v>1666.6666666666667</v>
      </c>
      <c r="BP241" s="35">
        <f t="shared" si="26"/>
        <v>0</v>
      </c>
      <c r="BQ241" s="34">
        <f>IFERROR(BP241/'11-2025'!$J241,0)*12</f>
        <v>0</v>
      </c>
      <c r="BR241" s="34">
        <f>IF(BQ241&lt;=40000,0,
IF(BQ241&lt;=55000,(BQ241-40000)*10%,
IF(BQ241&lt;=70000,(BQ241-55000)*15%+1500,
IF(BQ241&lt;=200000,(BQ241-70000)*20%+1500+2250,
IF(BQ241&lt;=400000,(BQ241-200000)*22.5%+1500+2250+26000,
IF(BQ241&lt;=600000,(BQ241-400000)*25%+1500+2250+26000+45000,
IF(AND(BQ241&gt;600000,BQ241&lt;=1200000),(BQ241-400000)*25%+1500+2250+26000+45000
+IFERROR(LOOKUP(BQ241,{600001;700001;800001;900001},{4000;6750;10250;15250}),0),IF(BQ241&gt;1200000,((BQ241-1200000)*27.5%)+300000,0)
)))))))</f>
        <v>0</v>
      </c>
      <c r="BS241" s="32">
        <f>(BR241/12*'11-2025'!$J241)</f>
        <v>0</v>
      </c>
      <c r="BT241" s="33">
        <f>BS241-'11-2025'!$V241</f>
        <v>0</v>
      </c>
      <c r="BU241" s="32">
        <f>IFERROR(+'11-2025'!$W241+AL241+AM241+BJ241-'11-2025'!$AJ241-BT241+AN241+AO241,"")-AL241+AP241+AQ241</f>
        <v>0</v>
      </c>
      <c r="BV241" s="36"/>
      <c r="BW241" s="37"/>
      <c r="BX241" s="37">
        <f t="shared" si="34"/>
        <v>0</v>
      </c>
      <c r="BY241" s="37"/>
    </row>
    <row r="242" spans="1:77" x14ac:dyDescent="0.25">
      <c r="A242" s="42"/>
      <c r="B242" s="22"/>
      <c r="C242" s="22"/>
      <c r="D242" s="22"/>
      <c r="E242" s="22"/>
      <c r="F242" s="22"/>
      <c r="G242" s="23"/>
      <c r="H242" s="22"/>
      <c r="I242" s="24"/>
      <c r="J242" s="25">
        <v>1</v>
      </c>
      <c r="K242" s="25"/>
      <c r="L242" s="25"/>
      <c r="M242" s="26"/>
      <c r="N242" s="25">
        <f>SUM('11-2025'!$K242:$M242)</f>
        <v>0</v>
      </c>
      <c r="O242" s="25"/>
      <c r="P242" s="25">
        <f t="shared" si="27"/>
        <v>0</v>
      </c>
      <c r="Q242" s="25">
        <f t="shared" si="28"/>
        <v>0</v>
      </c>
      <c r="R242" s="25">
        <v>1666.6666666666667</v>
      </c>
      <c r="S242" s="27">
        <f t="shared" si="29"/>
        <v>0</v>
      </c>
      <c r="T242" s="25">
        <f t="shared" si="30"/>
        <v>0</v>
      </c>
      <c r="U242" s="25">
        <f>IF(T242&lt;=40000,0,
IF(T242&lt;=55000,(T242-40000)*10%,
IF(T242&lt;=70000,(T242-55000)*15%+1500,
IF(T242&lt;=200000,(T242-70000)*20%+1500+2250,
IF(T242&lt;=400000,(T242-200000)*22.5%+1500+2250+26000,
IF(T242&lt;=600000,(T242-400000)*25%+1500+2250+26000+45000,
IF(AND(T242&gt;600000,T242&lt;=1200000),(T242-400000)*25%+1500+2250+26000+45000
+IFERROR(LOOKUP(T242,{600001;700001;800001;900001},{4000;6750;10250;15250}),0),IF(T242&gt;1200000,((T242-1200000)*27.5%)+300000,0)
)))))))</f>
        <v>0</v>
      </c>
      <c r="V242" s="25">
        <f t="shared" si="31"/>
        <v>0</v>
      </c>
      <c r="W242" s="28">
        <v>0</v>
      </c>
      <c r="X242" s="28">
        <f t="shared" si="32"/>
        <v>0</v>
      </c>
      <c r="Y242" s="29"/>
      <c r="Z242" s="29">
        <f>IFERROR(+'11-2025'!$X242*'11-2025'!$Y242,"")</f>
        <v>0</v>
      </c>
      <c r="AA242" s="29"/>
      <c r="AB242" s="29">
        <f>IFERROR(+'11-2025'!$X242*'11-2025'!$AA242,"")</f>
        <v>0</v>
      </c>
      <c r="AC242" s="29"/>
      <c r="AD242" s="29">
        <f>IFERROR(+'11-2025'!$X242*'11-2025'!$AC242,"")</f>
        <v>0</v>
      </c>
      <c r="AE242" s="29"/>
      <c r="AF242" s="29">
        <f>IFERROR(+'11-2025'!$X242*'11-2025'!$AE242,"")</f>
        <v>0</v>
      </c>
      <c r="AG242" s="29"/>
      <c r="AH242" s="29">
        <f>IFERROR(+'11-2025'!$X242*'11-2025'!$AG242,"")</f>
        <v>0</v>
      </c>
      <c r="AI242" s="29"/>
      <c r="AJ242" s="29">
        <f>IFERROR('11-2025'!$Z242+'11-2025'!$AB242+'11-2025'!$AD242+'11-2025'!$AF242+'11-2025'!$AH242+'11-2025'!$AI242,"")</f>
        <v>0</v>
      </c>
      <c r="AK242" s="30">
        <f>IFERROR('11-2025'!$W242-'11-2025'!$AJ242,"")</f>
        <v>0</v>
      </c>
      <c r="AL242" s="31">
        <v>0</v>
      </c>
      <c r="AM242" s="31"/>
      <c r="AN242" s="31"/>
      <c r="AO242" s="31"/>
      <c r="AP242" s="31"/>
      <c r="AQ242" s="31"/>
      <c r="AR242" s="31">
        <v>0</v>
      </c>
      <c r="AS242" s="31">
        <v>0</v>
      </c>
      <c r="AT242" s="31">
        <v>0</v>
      </c>
      <c r="AU242" s="31">
        <v>0</v>
      </c>
      <c r="AV242" s="31">
        <v>0</v>
      </c>
      <c r="AW242" s="31">
        <v>0</v>
      </c>
      <c r="AX242" s="31">
        <v>0</v>
      </c>
      <c r="AY242" s="31">
        <v>0</v>
      </c>
      <c r="AZ242" s="31">
        <v>0</v>
      </c>
      <c r="BA242" s="31">
        <v>0</v>
      </c>
      <c r="BB242" s="31">
        <v>0</v>
      </c>
      <c r="BC242" s="31">
        <v>0</v>
      </c>
      <c r="BD242" s="31">
        <v>0</v>
      </c>
      <c r="BE242" s="31">
        <v>0</v>
      </c>
      <c r="BF242" s="31">
        <v>0</v>
      </c>
      <c r="BG242" s="31">
        <v>0</v>
      </c>
      <c r="BH242" s="31">
        <v>0</v>
      </c>
      <c r="BI242" s="31">
        <v>0</v>
      </c>
      <c r="BJ242" s="32">
        <f t="shared" si="36"/>
        <v>0</v>
      </c>
      <c r="BK242" s="41">
        <f>BJ242+AM242+AL242+'11-2025'!$N242+AN242+AO242</f>
        <v>0</v>
      </c>
      <c r="BL242" s="34">
        <f>'11-2025'!$O242</f>
        <v>0</v>
      </c>
      <c r="BM242" s="34">
        <f t="shared" si="24"/>
        <v>0</v>
      </c>
      <c r="BN242" s="34">
        <f t="shared" si="25"/>
        <v>0</v>
      </c>
      <c r="BO242" s="34">
        <f t="shared" si="33"/>
        <v>1666.6666666666667</v>
      </c>
      <c r="BP242" s="35">
        <f t="shared" si="26"/>
        <v>0</v>
      </c>
      <c r="BQ242" s="34">
        <f>IFERROR(BP242/'11-2025'!$J242,0)*12</f>
        <v>0</v>
      </c>
      <c r="BR242" s="34">
        <f>IF(BQ242&lt;=40000,0,
IF(BQ242&lt;=55000,(BQ242-40000)*10%,
IF(BQ242&lt;=70000,(BQ242-55000)*15%+1500,
IF(BQ242&lt;=200000,(BQ242-70000)*20%+1500+2250,
IF(BQ242&lt;=400000,(BQ242-200000)*22.5%+1500+2250+26000,
IF(BQ242&lt;=600000,(BQ242-400000)*25%+1500+2250+26000+45000,
IF(AND(BQ242&gt;600000,BQ242&lt;=1200000),(BQ242-400000)*25%+1500+2250+26000+45000
+IFERROR(LOOKUP(BQ242,{600001;700001;800001;900001},{4000;6750;10250;15250}),0),IF(BQ242&gt;1200000,((BQ242-1200000)*27.5%)+300000,0)
)))))))</f>
        <v>0</v>
      </c>
      <c r="BS242" s="32">
        <f>(BR242/12*'11-2025'!$J242)</f>
        <v>0</v>
      </c>
      <c r="BT242" s="33">
        <f>BS242-'11-2025'!$V242</f>
        <v>0</v>
      </c>
      <c r="BU242" s="32">
        <f>IFERROR(+'11-2025'!$W242+AL242+AM242+BJ242-'11-2025'!$AJ242-BT242+AN242+AO242,"")-AL242+AP242</f>
        <v>0</v>
      </c>
      <c r="BV242" s="46"/>
      <c r="BW242" s="37"/>
      <c r="BX242" s="37">
        <f t="shared" si="34"/>
        <v>0</v>
      </c>
      <c r="BY242" s="37"/>
    </row>
    <row r="243" spans="1:77" ht="22.5" x14ac:dyDescent="0.25">
      <c r="A243" s="47"/>
      <c r="B243" s="48">
        <f>SUBTOTAL(103,'11-2025'!$B$3:$B$242)</f>
        <v>226</v>
      </c>
      <c r="C243" s="49"/>
      <c r="D243" s="49"/>
      <c r="E243" s="49"/>
      <c r="F243" s="49"/>
      <c r="G243" s="49"/>
      <c r="H243" s="49"/>
      <c r="I243" s="49"/>
      <c r="J243" s="49"/>
      <c r="K243" s="50">
        <f t="shared" ref="K243:AQ243" si="49">SUBTOTAL(9,K3:K242)</f>
        <v>851940.02519999992</v>
      </c>
      <c r="L243" s="50">
        <f t="shared" si="49"/>
        <v>0</v>
      </c>
      <c r="M243" s="50">
        <f t="shared" si="49"/>
        <v>0</v>
      </c>
      <c r="N243" s="50">
        <f t="shared" si="49"/>
        <v>851940.02519999992</v>
      </c>
      <c r="O243" s="50">
        <f t="shared" si="49"/>
        <v>273675.58415384614</v>
      </c>
      <c r="P243" s="50">
        <f t="shared" si="49"/>
        <v>51314.172028846158</v>
      </c>
      <c r="Q243" s="50">
        <f t="shared" si="49"/>
        <v>30104.314256923084</v>
      </c>
      <c r="R243" s="50">
        <f t="shared" si="49"/>
        <v>400000.00000000099</v>
      </c>
      <c r="S243" s="50">
        <f t="shared" si="49"/>
        <v>453835.71094307583</v>
      </c>
      <c r="T243" s="50">
        <f t="shared" si="49"/>
        <v>5446028.531316922</v>
      </c>
      <c r="U243" s="50">
        <f t="shared" si="49"/>
        <v>128409.46915569231</v>
      </c>
      <c r="V243" s="50">
        <f t="shared" si="49"/>
        <v>10700.789096307693</v>
      </c>
      <c r="W243" s="50">
        <f t="shared" si="49"/>
        <v>811134.92184676928</v>
      </c>
      <c r="X243" s="50">
        <f t="shared" si="49"/>
        <v>27037.830728225614</v>
      </c>
      <c r="Y243" s="50">
        <f t="shared" si="49"/>
        <v>5</v>
      </c>
      <c r="Z243" s="50">
        <f t="shared" si="49"/>
        <v>700.58343333333335</v>
      </c>
      <c r="AA243" s="50">
        <f t="shared" si="49"/>
        <v>103</v>
      </c>
      <c r="AB243" s="50">
        <f t="shared" si="49"/>
        <v>10308.365912820514</v>
      </c>
      <c r="AC243" s="50">
        <f t="shared" si="49"/>
        <v>2383</v>
      </c>
      <c r="AD243" s="50">
        <f t="shared" si="49"/>
        <v>266975.6268153846</v>
      </c>
      <c r="AE243" s="50">
        <f t="shared" si="49"/>
        <v>49.5</v>
      </c>
      <c r="AF243" s="50">
        <f t="shared" si="49"/>
        <v>5693.4666666666662</v>
      </c>
      <c r="AG243" s="50">
        <f t="shared" si="49"/>
        <v>82</v>
      </c>
      <c r="AH243" s="50">
        <f t="shared" si="49"/>
        <v>10871.571741666668</v>
      </c>
      <c r="AI243" s="51">
        <f t="shared" si="49"/>
        <v>43100</v>
      </c>
      <c r="AJ243" s="51">
        <f t="shared" si="49"/>
        <v>337649.6145698718</v>
      </c>
      <c r="AK243" s="52">
        <f t="shared" si="49"/>
        <v>473485.30727689766</v>
      </c>
      <c r="AL243" s="58">
        <f t="shared" si="49"/>
        <v>0</v>
      </c>
      <c r="AM243" s="52">
        <f t="shared" si="49"/>
        <v>37433.57</v>
      </c>
      <c r="AN243" s="53">
        <f t="shared" si="49"/>
        <v>0</v>
      </c>
      <c r="AO243" s="53">
        <f t="shared" si="49"/>
        <v>10020</v>
      </c>
      <c r="AP243" s="53">
        <f t="shared" si="49"/>
        <v>2767.9329230769226</v>
      </c>
      <c r="AQ243" s="53">
        <f t="shared" si="49"/>
        <v>-237.333333333334</v>
      </c>
      <c r="AR243" s="54">
        <f>SUBTOTAL(9,AR3:AR242)</f>
        <v>12113.926224999999</v>
      </c>
      <c r="AS243" s="55">
        <f t="shared" ref="AS243:BX243" si="50">SUBTOTAL(9,AS3:AS242)</f>
        <v>35825.236250000002</v>
      </c>
      <c r="AT243" s="55">
        <f t="shared" si="50"/>
        <v>7406.218387500001</v>
      </c>
      <c r="AU243" s="55">
        <f t="shared" si="50"/>
        <v>34783.250224999996</v>
      </c>
      <c r="AV243" s="55">
        <f t="shared" si="50"/>
        <v>70521.155299999999</v>
      </c>
      <c r="AW243" s="55">
        <f t="shared" si="50"/>
        <v>18624.188749999998</v>
      </c>
      <c r="AX243" s="55">
        <f t="shared" si="50"/>
        <v>4925</v>
      </c>
      <c r="AY243" s="53">
        <f t="shared" si="50"/>
        <v>990</v>
      </c>
      <c r="AZ243" s="53">
        <f t="shared" si="50"/>
        <v>0</v>
      </c>
      <c r="BA243" s="53">
        <f t="shared" si="50"/>
        <v>960</v>
      </c>
      <c r="BB243" s="53">
        <f t="shared" si="50"/>
        <v>900</v>
      </c>
      <c r="BC243" s="55">
        <f t="shared" si="50"/>
        <v>10422.2925</v>
      </c>
      <c r="BD243" s="55">
        <f t="shared" si="50"/>
        <v>13517.57</v>
      </c>
      <c r="BE243" s="55">
        <f t="shared" si="50"/>
        <v>32242.354500000005</v>
      </c>
      <c r="BF243" s="55">
        <f t="shared" si="50"/>
        <v>460</v>
      </c>
      <c r="BG243" s="55">
        <f t="shared" si="50"/>
        <v>24864.531074999999</v>
      </c>
      <c r="BH243" s="55">
        <f>SUBTOTAL(9,BH3:BH242)</f>
        <v>7794.4746499999983</v>
      </c>
      <c r="BI243" s="55">
        <f>SUBTOTAL(9,BI3:BI242)</f>
        <v>2130</v>
      </c>
      <c r="BJ243" s="54">
        <f t="shared" si="50"/>
        <v>278480.19786250003</v>
      </c>
      <c r="BK243" s="53">
        <f t="shared" si="50"/>
        <v>1177873.7930625004</v>
      </c>
      <c r="BL243" s="53">
        <f t="shared" si="50"/>
        <v>273675.58415384614</v>
      </c>
      <c r="BM243" s="53">
        <f t="shared" si="50"/>
        <v>51314.172028846158</v>
      </c>
      <c r="BN243" s="53">
        <f t="shared" si="50"/>
        <v>30104.314256923084</v>
      </c>
      <c r="BO243" s="53">
        <f t="shared" si="50"/>
        <v>400000.00000000099</v>
      </c>
      <c r="BP243" s="53">
        <f t="shared" si="50"/>
        <v>774439.71130557847</v>
      </c>
      <c r="BQ243" s="53">
        <f t="shared" si="50"/>
        <v>9293276.5356669221</v>
      </c>
      <c r="BR243" s="53">
        <f t="shared" si="50"/>
        <v>534002.50619180768</v>
      </c>
      <c r="BS243" s="53">
        <f t="shared" si="50"/>
        <v>44500.2088493173</v>
      </c>
      <c r="BT243" s="53">
        <f t="shared" si="50"/>
        <v>32778.622268394218</v>
      </c>
      <c r="BU243" s="53">
        <f t="shared" si="50"/>
        <v>769171.05246074637</v>
      </c>
      <c r="BV243" s="53"/>
      <c r="BW243" s="53">
        <f t="shared" si="50"/>
        <v>0</v>
      </c>
      <c r="BX243" s="53">
        <f t="shared" si="50"/>
        <v>769171.05246074637</v>
      </c>
      <c r="BY243" s="53"/>
    </row>
    <row r="244" spans="1:77" x14ac:dyDescent="0.25">
      <c r="A244" s="1"/>
    </row>
    <row r="245" spans="1:77" x14ac:dyDescent="0.25">
      <c r="A245" s="1"/>
    </row>
    <row r="246" spans="1:77" x14ac:dyDescent="0.25">
      <c r="A246" s="1"/>
    </row>
    <row r="247" spans="1:77" x14ac:dyDescent="0.25">
      <c r="A247" s="1"/>
    </row>
    <row r="248" spans="1:77" x14ac:dyDescent="0.25">
      <c r="A248" s="1"/>
    </row>
    <row r="249" spans="1:77" x14ac:dyDescent="0.25">
      <c r="A249" s="1"/>
    </row>
    <row r="250" spans="1:77" x14ac:dyDescent="0.25">
      <c r="A250" s="1"/>
    </row>
    <row r="268" spans="1:1" x14ac:dyDescent="0.25">
      <c r="A268" s="57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</sheetData>
  <autoFilter ref="A2:BY404" xr:uid="{AC86B652-F237-462C-A131-89B18459E42F}"/>
  <mergeCells count="5">
    <mergeCell ref="Y1:Z1"/>
    <mergeCell ref="AA1:AB1"/>
    <mergeCell ref="AC1:AD1"/>
    <mergeCell ref="AE1:AF1"/>
    <mergeCell ref="AG1:AH1"/>
  </mergeCells>
  <conditionalFormatting sqref="A1:A232 A235:A1048576">
    <cfRule type="duplicateValues" dxfId="18" priority="6"/>
  </conditionalFormatting>
  <conditionalFormatting sqref="A2:A232 A235:A242">
    <cfRule type="duplicateValues" dxfId="17" priority="19"/>
  </conditionalFormatting>
  <conditionalFormatting sqref="A233:A234">
    <cfRule type="duplicateValues" dxfId="16" priority="2"/>
    <cfRule type="duplicateValues" dxfId="15" priority="3"/>
    <cfRule type="duplicateValues" dxfId="14" priority="5"/>
  </conditionalFormatting>
  <conditionalFormatting sqref="A244:A250 A1:A47 A278:A404 A268">
    <cfRule type="duplicateValues" dxfId="13" priority="14"/>
  </conditionalFormatting>
  <conditionalFormatting sqref="A278:A404 A268 A1:A232 A235:A250">
    <cfRule type="duplicateValues" dxfId="12" priority="7"/>
    <cfRule type="duplicateValues" dxfId="11" priority="9"/>
    <cfRule type="duplicateValues" dxfId="10" priority="15"/>
  </conditionalFormatting>
  <conditionalFormatting sqref="A278:A404 A268 A77:A232 A235:A250">
    <cfRule type="duplicateValues" dxfId="9" priority="16"/>
    <cfRule type="duplicateValues" dxfId="8" priority="17"/>
  </conditionalFormatting>
  <conditionalFormatting sqref="B1:B232 B235:B1048576">
    <cfRule type="duplicateValues" dxfId="7" priority="8"/>
  </conditionalFormatting>
  <conditionalFormatting sqref="B233">
    <cfRule type="duplicateValues" dxfId="6" priority="4"/>
  </conditionalFormatting>
  <conditionalFormatting sqref="B234">
    <cfRule type="duplicateValues" dxfId="5" priority="1"/>
  </conditionalFormatting>
  <conditionalFormatting sqref="B244:B1048576 B2:B232 B235:B242">
    <cfRule type="duplicateValues" dxfId="4" priority="18"/>
  </conditionalFormatting>
  <conditionalFormatting sqref="XEK11">
    <cfRule type="duplicateValues" dxfId="3" priority="10"/>
    <cfRule type="duplicateValues" dxfId="2" priority="11"/>
    <cfRule type="duplicateValues" dxfId="1" priority="13"/>
  </conditionalFormatting>
  <conditionalFormatting sqref="XEL11">
    <cfRule type="duplicateValues" dxfId="0" priority="12"/>
  </conditionalFormatting>
  <printOptions horizontalCentered="1"/>
  <pageMargins left="0" right="0" top="0.54" bottom="0" header="0" footer="0"/>
  <pageSetup paperSize="9" scale="10" fitToHeight="0" orientation="portrait" r:id="rId1"/>
  <rowBreaks count="1" manualBreakCount="1">
    <brk id="44" max="69" man="1"/>
  </rowBreaks>
  <colBreaks count="1" manualBreakCount="1">
    <brk id="22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2C5C-4F00-4B67-89E7-BC573D660A46}">
  <sheetPr>
    <pageSetUpPr fitToPage="1"/>
  </sheetPr>
  <dimension ref="A1:O189"/>
  <sheetViews>
    <sheetView rightToLeft="1" zoomScale="115" zoomScaleNormal="115" zoomScaleSheetLayoutView="130" workbookViewId="0">
      <pane ySplit="2" topLeftCell="A3" activePane="bottomLeft" state="frozen"/>
      <selection pane="bottomLeft" activeCell="H72" sqref="H72"/>
    </sheetView>
  </sheetViews>
  <sheetFormatPr defaultColWidth="9.140625" defaultRowHeight="15" x14ac:dyDescent="0.25"/>
  <cols>
    <col min="1" max="1" width="11.5703125" style="79" bestFit="1" customWidth="1"/>
    <col min="2" max="2" width="10.7109375" style="79" bestFit="1" customWidth="1"/>
    <col min="3" max="3" width="11.28515625" style="79" bestFit="1" customWidth="1"/>
    <col min="4" max="4" width="33.140625" style="79" customWidth="1"/>
    <col min="5" max="5" width="18.7109375" style="79" bestFit="1" customWidth="1"/>
    <col min="6" max="6" width="22.140625" style="79" hidden="1" customWidth="1"/>
    <col min="7" max="7" width="14" style="79" bestFit="1" customWidth="1"/>
    <col min="8" max="8" width="16" style="100" bestFit="1" customWidth="1"/>
    <col min="9" max="9" width="36.140625" style="79" bestFit="1" customWidth="1"/>
    <col min="10" max="10" width="26.140625" style="79" bestFit="1" customWidth="1"/>
    <col min="11" max="11" width="14" style="79" bestFit="1" customWidth="1"/>
    <col min="12" max="12" width="9.140625" style="79"/>
    <col min="13" max="13" width="33.28515625" style="79" bestFit="1" customWidth="1"/>
    <col min="14" max="14" width="12.140625" style="79" bestFit="1" customWidth="1"/>
    <col min="15" max="15" width="12.42578125" style="79" bestFit="1" customWidth="1"/>
    <col min="16" max="16384" width="9.140625" style="79"/>
  </cols>
  <sheetData>
    <row r="1" spans="1:15" ht="21.75" thickBot="1" x14ac:dyDescent="0.4">
      <c r="E1" s="80">
        <f>SUM(Table4[[السلفه ]])</f>
        <v>43000</v>
      </c>
      <c r="G1" s="81" t="s">
        <v>354</v>
      </c>
      <c r="H1" s="82">
        <f>SUBTOTAL(9,Table4[[السلفه ]])</f>
        <v>43000</v>
      </c>
      <c r="J1" s="83"/>
      <c r="K1" s="83"/>
    </row>
    <row r="2" spans="1:15" x14ac:dyDescent="0.25">
      <c r="A2" s="84" t="s">
        <v>356</v>
      </c>
      <c r="B2" s="85" t="s">
        <v>357</v>
      </c>
      <c r="C2" s="85" t="s">
        <v>6</v>
      </c>
      <c r="D2" s="85" t="s">
        <v>358</v>
      </c>
      <c r="E2" s="85" t="s">
        <v>359</v>
      </c>
      <c r="F2" s="85" t="s">
        <v>360</v>
      </c>
      <c r="G2" s="86" t="s">
        <v>361</v>
      </c>
      <c r="H2" s="87" t="s">
        <v>362</v>
      </c>
      <c r="I2" s="85" t="s">
        <v>363</v>
      </c>
      <c r="J2" s="88" t="s">
        <v>364</v>
      </c>
      <c r="K2" s="88" t="s">
        <v>393</v>
      </c>
    </row>
    <row r="3" spans="1:15" x14ac:dyDescent="0.25">
      <c r="A3" s="89">
        <v>45403</v>
      </c>
      <c r="B3" s="90" t="str">
        <f>TEXT(Table4[[#This Row],[التاريخ ]],"mmm")</f>
        <v>Apr</v>
      </c>
      <c r="C3" s="91">
        <v>281</v>
      </c>
      <c r="D3" s="91" t="str">
        <f>VLOOKUP(C:C,'[10]قاعدة بيانات  '!K:L,2,0)</f>
        <v>احمد عاطف محمد محمود</v>
      </c>
      <c r="E3" s="91" t="str">
        <f>VLOOKUP(C:C,'[10]قاعدة بيانات  '!K:P,4,0)</f>
        <v xml:space="preserve">وكيل تحصيل </v>
      </c>
      <c r="F3" s="91" t="str">
        <f>VLOOKUP(C:C,'[10]قاعدة بيانات  '!K:Q,5,0)</f>
        <v>سهولة</v>
      </c>
      <c r="G3" s="91" t="s">
        <v>355</v>
      </c>
      <c r="H3" s="92"/>
      <c r="I3" s="90" t="s">
        <v>365</v>
      </c>
      <c r="K3" s="93"/>
    </row>
    <row r="4" spans="1:15" x14ac:dyDescent="0.25">
      <c r="A4" s="94">
        <v>45400</v>
      </c>
      <c r="B4" s="90" t="str">
        <f>TEXT(Table4[[#This Row],[التاريخ ]],"mmm")</f>
        <v>Apr</v>
      </c>
      <c r="C4" s="91">
        <v>266</v>
      </c>
      <c r="D4" s="91" t="str">
        <f>VLOOKUP(C:C,'[10]قاعدة بيانات  '!K:L,2,0)</f>
        <v>عبد الرحمن خالد عبد الفتاح محمد الرياش</v>
      </c>
      <c r="E4" s="91" t="str">
        <f>VLOOKUP(C:C,'[10]قاعدة بيانات  '!K:P,4,0)</f>
        <v xml:space="preserve">وكيل تحصيل </v>
      </c>
      <c r="F4" s="91" t="str">
        <f>VLOOKUP(C:C,'[10]قاعدة بيانات  '!K:Q,5,0)</f>
        <v>فاليو</v>
      </c>
      <c r="G4" s="91" t="s">
        <v>355</v>
      </c>
      <c r="H4" s="92"/>
      <c r="I4" s="90" t="s">
        <v>365</v>
      </c>
      <c r="J4" s="83"/>
      <c r="K4" s="93"/>
      <c r="M4" s="101" t="s">
        <v>394</v>
      </c>
      <c r="N4" t="s">
        <v>406</v>
      </c>
      <c r="O4"/>
    </row>
    <row r="5" spans="1:15" x14ac:dyDescent="0.25">
      <c r="A5" s="94">
        <v>45501</v>
      </c>
      <c r="B5" s="90" t="str">
        <f>TEXT(Table4[[#This Row],[التاريخ ]],"mmm")</f>
        <v>Jul</v>
      </c>
      <c r="C5" s="91">
        <v>339</v>
      </c>
      <c r="D5" s="91" t="str">
        <f>VLOOKUP(C:C,'[10]قاعدة بيانات  '!K:L,2,0)</f>
        <v>كريم مجدى ربيع</v>
      </c>
      <c r="E5" s="91" t="str">
        <f>VLOOKUP(C:C,'[10]قاعدة بيانات  '!K:P,4,0)</f>
        <v>كبير مشرفى تحصيل</v>
      </c>
      <c r="F5" s="91" t="str">
        <f>VLOOKUP(C:C,'[10]قاعدة بيانات  '!K:Q,5,0)</f>
        <v>كريدى اجريكول</v>
      </c>
      <c r="G5" s="91" t="s">
        <v>355</v>
      </c>
      <c r="H5" s="92"/>
      <c r="I5" s="90" t="s">
        <v>365</v>
      </c>
      <c r="K5" s="93"/>
      <c r="M5" s="102">
        <v>31</v>
      </c>
      <c r="N5">
        <v>3000</v>
      </c>
      <c r="O5"/>
    </row>
    <row r="6" spans="1:15" x14ac:dyDescent="0.25">
      <c r="A6" s="89">
        <v>45738</v>
      </c>
      <c r="B6" s="90" t="str">
        <f>TEXT(Table4[[#This Row],[التاريخ ]],"mmm")</f>
        <v>Mar</v>
      </c>
      <c r="C6" s="91">
        <v>574</v>
      </c>
      <c r="D6" s="91" t="str">
        <f>VLOOKUP(C:C,'[10]قاعدة بيانات  '!K:L,2,0)</f>
        <v>عادل الادهم امين احمد</v>
      </c>
      <c r="E6" s="91" t="str">
        <f>VLOOKUP(C:C,'[10]قاعدة بيانات  '!K:P,4,0)</f>
        <v>بنك كريدى اجريكول</v>
      </c>
      <c r="F6" s="91" t="str">
        <f>VLOOKUP(C:C,'[10]قاعدة بيانات  '!K:Q,5,0)</f>
        <v>مشرف تحصيل</v>
      </c>
      <c r="G6" s="91" t="s">
        <v>355</v>
      </c>
      <c r="H6" s="92"/>
      <c r="I6" s="90" t="s">
        <v>365</v>
      </c>
      <c r="K6" s="93"/>
      <c r="M6" s="103" t="s">
        <v>80</v>
      </c>
      <c r="N6">
        <v>3000</v>
      </c>
      <c r="O6"/>
    </row>
    <row r="7" spans="1:15" x14ac:dyDescent="0.25">
      <c r="A7" s="89">
        <v>45875</v>
      </c>
      <c r="B7" s="90" t="str">
        <f>TEXT(Table4[[#This Row],[التاريخ ]],"mmm")</f>
        <v>Aug</v>
      </c>
      <c r="C7" s="91">
        <v>527</v>
      </c>
      <c r="D7" s="91" t="str">
        <f>VLOOKUP(C:C,'[10]قاعدة بيانات  '!K:L,2,0)</f>
        <v>محمد محمود حسين محمود</v>
      </c>
      <c r="E7" s="90" t="str">
        <f>VLOOKUP(C:C,'[10]قاعدة بيانات  '!K:P,4,0)</f>
        <v>مشرف تحصيل</v>
      </c>
      <c r="F7" s="91" t="str">
        <f>VLOOKUP(C:C,'[10]قاعدة بيانات  '!K:Q,5,0)</f>
        <v>بنك الاسكندرية</v>
      </c>
      <c r="G7" s="91" t="s">
        <v>355</v>
      </c>
      <c r="H7" s="92"/>
      <c r="I7" s="90" t="s">
        <v>368</v>
      </c>
      <c r="K7" s="93"/>
      <c r="M7" s="102">
        <v>45</v>
      </c>
      <c r="N7">
        <v>3000</v>
      </c>
      <c r="O7"/>
    </row>
    <row r="8" spans="1:15" x14ac:dyDescent="0.25">
      <c r="A8" s="89">
        <v>45792</v>
      </c>
      <c r="B8" s="90" t="str">
        <f>TEXT(Table4[[#This Row],[التاريخ ]],"mmm")</f>
        <v>May</v>
      </c>
      <c r="C8" s="91">
        <v>340</v>
      </c>
      <c r="D8" s="91" t="str">
        <f>VLOOKUP(C:C,'[10]قاعدة بيانات  '!K:L,2,0)</f>
        <v>اميرة شعراوى ابراهيم  حامد على</v>
      </c>
      <c r="E8" s="90" t="str">
        <f>VLOOKUP(C:C,'[10]قاعدة بيانات  '!K:P,4,0)</f>
        <v>كبير مشرفى تحصيل</v>
      </c>
      <c r="F8" s="91" t="str">
        <f>VLOOKUP(C:C,'[10]قاعدة بيانات  '!K:Q,5,0)</f>
        <v>شركة فاليو</v>
      </c>
      <c r="G8" s="91" t="s">
        <v>355</v>
      </c>
      <c r="H8" s="92">
        <v>1500</v>
      </c>
      <c r="I8" s="90" t="s">
        <v>370</v>
      </c>
      <c r="K8" s="93"/>
      <c r="M8" s="103" t="s">
        <v>87</v>
      </c>
      <c r="N8">
        <v>3000</v>
      </c>
      <c r="O8"/>
    </row>
    <row r="9" spans="1:15" x14ac:dyDescent="0.25">
      <c r="A9" s="89">
        <v>45831</v>
      </c>
      <c r="B9" s="90" t="str">
        <f>TEXT(Table4[[#This Row],[التاريخ ]],"mmm")</f>
        <v>Jun</v>
      </c>
      <c r="C9" s="91">
        <v>515</v>
      </c>
      <c r="D9" s="91" t="str">
        <f>VLOOKUP(C:C,'[10]قاعدة بيانات  '!K:L,2,0)</f>
        <v>محمد عبدالمنعم عبدالحليم إبراهيم</v>
      </c>
      <c r="E9" s="90" t="str">
        <f>VLOOKUP(C:C,'[10]قاعدة بيانات  '!K:P,4,0)</f>
        <v>خدمات معاونة</v>
      </c>
      <c r="F9" s="91" t="str">
        <f>VLOOKUP(C:C,'[10]قاعدة بيانات  '!K:Q,5,0)</f>
        <v>الخدمات المعاونة</v>
      </c>
      <c r="G9" s="91" t="s">
        <v>355</v>
      </c>
      <c r="H9" s="92">
        <v>500</v>
      </c>
      <c r="I9" s="90" t="s">
        <v>371</v>
      </c>
      <c r="K9" s="93"/>
      <c r="M9" s="102">
        <v>54</v>
      </c>
      <c r="N9">
        <v>500</v>
      </c>
      <c r="O9"/>
    </row>
    <row r="10" spans="1:15" x14ac:dyDescent="0.25">
      <c r="A10" s="89">
        <v>45853</v>
      </c>
      <c r="B10" s="90" t="str">
        <f>TEXT(Table4[[#This Row],[التاريخ ]],"mmm")</f>
        <v>Jul</v>
      </c>
      <c r="C10" s="91">
        <v>701</v>
      </c>
      <c r="D10" s="91" t="s">
        <v>374</v>
      </c>
      <c r="E10" s="90" t="s">
        <v>83</v>
      </c>
      <c r="F10" s="91" t="e">
        <f>VLOOKUP(C:C,'[10]قاعدة بيانات  '!K:Q,5,0)</f>
        <v>#N/A</v>
      </c>
      <c r="G10" s="91" t="s">
        <v>355</v>
      </c>
      <c r="H10" s="92">
        <v>1000</v>
      </c>
      <c r="I10" s="90" t="s">
        <v>375</v>
      </c>
      <c r="K10" s="93"/>
      <c r="M10" s="103" t="s">
        <v>90</v>
      </c>
      <c r="N10">
        <v>500</v>
      </c>
      <c r="O10"/>
    </row>
    <row r="11" spans="1:15" x14ac:dyDescent="0.25">
      <c r="A11" s="89">
        <v>45868</v>
      </c>
      <c r="B11" s="90" t="str">
        <f>TEXT(Table4[[#This Row],[التاريخ ]],"mmm")</f>
        <v>Jul</v>
      </c>
      <c r="C11" s="91">
        <v>119</v>
      </c>
      <c r="D11" s="91" t="str">
        <f>VLOOKUP(Table4[[#This Row],[الكود]],'[11]قاعدة بيانات  '!$K$3:$L$225,2,0)</f>
        <v>مصطفى جميل عبد الفتاح محمد شاهين</v>
      </c>
      <c r="E11" s="90" t="str">
        <f>VLOOKUP(Table4[[#This Row],[الكود]],'[11]قاعدة بيانات  '!$K$3:$N$225,4,0)</f>
        <v>وكيل تحصيل</v>
      </c>
      <c r="F11" s="91" t="str">
        <f>VLOOKUP(C:C,'[10]قاعدة بيانات  '!K:Q,5,0)</f>
        <v>بنك كريدى اجريكول</v>
      </c>
      <c r="G11" s="91" t="s">
        <v>355</v>
      </c>
      <c r="H11" s="92"/>
      <c r="I11" s="90" t="s">
        <v>376</v>
      </c>
      <c r="K11" s="93"/>
      <c r="M11" s="102">
        <v>60</v>
      </c>
      <c r="N11"/>
      <c r="O11"/>
    </row>
    <row r="12" spans="1:15" x14ac:dyDescent="0.25">
      <c r="A12" s="89">
        <v>45887</v>
      </c>
      <c r="B12" s="90" t="str">
        <f>TEXT(Table4[[#This Row],[التاريخ ]],"mmm")</f>
        <v>Aug</v>
      </c>
      <c r="C12" s="91">
        <v>284</v>
      </c>
      <c r="D12" s="91" t="str">
        <f>VLOOKUP(Table4[[#This Row],[الكود]],'[11]قاعدة بيانات  '!$K$3:$L$225,2,0)</f>
        <v>زياد كرم عبد الفضيل عبد المجيد</v>
      </c>
      <c r="E12" s="90" t="str">
        <f>VLOOKUP(Table4[[#This Row],[الكود]],'[11]قاعدة بيانات  '!$K$3:$N$225,4,0)</f>
        <v>وكيل تحصيل</v>
      </c>
      <c r="F12" s="91" t="str">
        <f>VLOOKUP(C:C,'[10]قاعدة بيانات  '!K:Q,5,0)</f>
        <v>شركة فاليو</v>
      </c>
      <c r="G12" s="91" t="s">
        <v>355</v>
      </c>
      <c r="H12" s="92"/>
      <c r="I12" s="90"/>
      <c r="K12" s="93"/>
      <c r="M12" s="103" t="s">
        <v>92</v>
      </c>
      <c r="N12"/>
      <c r="O12"/>
    </row>
    <row r="13" spans="1:15" x14ac:dyDescent="0.25">
      <c r="A13" s="89">
        <v>45895</v>
      </c>
      <c r="B13" s="90" t="str">
        <f>TEXT(Table4[[#This Row],[التاريخ ]],"mmm")</f>
        <v>Aug</v>
      </c>
      <c r="C13" s="91">
        <v>515</v>
      </c>
      <c r="D13" s="91" t="str">
        <f>VLOOKUP(Table4[[#This Row],[الكود]],'[11]قاعدة بيانات  '!$K$3:$L$225,2,0)</f>
        <v>محمد عبدالمنعم عبدالحليم إبراهيم</v>
      </c>
      <c r="E13" s="90" t="str">
        <f>VLOOKUP(Table4[[#This Row],[الكود]],'[11]قاعدة بيانات  '!$K$3:$N$225,4,0)</f>
        <v>خدمات معاونة</v>
      </c>
      <c r="F13" s="91" t="str">
        <f>VLOOKUP(C:C,'[10]قاعدة بيانات  '!K:Q,5,0)</f>
        <v>الخدمات المعاونة</v>
      </c>
      <c r="G13" s="91" t="s">
        <v>355</v>
      </c>
      <c r="H13" s="92"/>
      <c r="I13" s="90" t="s">
        <v>378</v>
      </c>
      <c r="K13" s="93"/>
      <c r="M13" s="102">
        <v>71</v>
      </c>
      <c r="N13">
        <v>1500</v>
      </c>
      <c r="O13"/>
    </row>
    <row r="14" spans="1:15" x14ac:dyDescent="0.25">
      <c r="A14" s="89">
        <v>45895</v>
      </c>
      <c r="B14" s="90" t="str">
        <f>TEXT(Table4[[#This Row],[التاريخ ]],"mmm")</f>
        <v>Aug</v>
      </c>
      <c r="C14" s="91">
        <v>223</v>
      </c>
      <c r="D14" s="91" t="str">
        <f>VLOOKUP(Table4[[#This Row],[الكود]],'[11]قاعدة بيانات  '!$K$3:$L$290,2,0)</f>
        <v>هبة خلف محمد احمد</v>
      </c>
      <c r="E14" s="90" t="str">
        <f>VLOOKUP(Table4[[#This Row],[الكود]],'[11]قاعدة بيانات  '!$K$3:$N$225,4,0)</f>
        <v>وكيل تحصيل هاتفى</v>
      </c>
      <c r="F14" s="91" t="str">
        <f>VLOOKUP(C:C,'[10]قاعدة بيانات  '!K:Q,5,0)</f>
        <v>شركة راية</v>
      </c>
      <c r="G14" s="91" t="s">
        <v>355</v>
      </c>
      <c r="H14" s="92"/>
      <c r="I14" s="90" t="s">
        <v>379</v>
      </c>
      <c r="K14" s="93"/>
      <c r="M14" s="103" t="s">
        <v>98</v>
      </c>
      <c r="N14">
        <v>1500</v>
      </c>
      <c r="O14"/>
    </row>
    <row r="15" spans="1:15" x14ac:dyDescent="0.25">
      <c r="A15" s="89">
        <v>45903</v>
      </c>
      <c r="B15" s="90" t="str">
        <f>TEXT(Table4[[#This Row],[التاريخ ]],"mmm")</f>
        <v>Sep</v>
      </c>
      <c r="C15" s="91">
        <v>731</v>
      </c>
      <c r="D15" s="91" t="str">
        <f>VLOOKUP(Table4[[#This Row],[الكود]],'[11]قاعدة بيانات  '!$K$3:$L$290,2,0)</f>
        <v>يوسف تامر محمد</v>
      </c>
      <c r="E15" s="90" t="s">
        <v>139</v>
      </c>
      <c r="F15" s="91" t="e">
        <f>VLOOKUP(C:C,'[10]قاعدة بيانات  '!K:Q,5,0)</f>
        <v>#N/A</v>
      </c>
      <c r="G15" s="91" t="s">
        <v>355</v>
      </c>
      <c r="H15" s="92"/>
      <c r="I15" s="90"/>
      <c r="K15" s="93"/>
      <c r="M15" s="102">
        <v>97</v>
      </c>
      <c r="N15"/>
      <c r="O15"/>
    </row>
    <row r="16" spans="1:15" x14ac:dyDescent="0.25">
      <c r="A16" s="89">
        <v>45917</v>
      </c>
      <c r="B16" s="90" t="str">
        <f>TEXT(Table4[[#This Row],[التاريخ ]],"mmm")</f>
        <v>Sep</v>
      </c>
      <c r="C16" s="91">
        <v>340</v>
      </c>
      <c r="D16" s="91" t="str">
        <f>VLOOKUP(Table4[[#This Row],[الكود]],'[11]قاعدة بيانات  '!$K$3:$L$290,2,0)</f>
        <v>اميرة شعراوى ابراهيم  حامد على</v>
      </c>
      <c r="E16" s="90" t="str">
        <f>VLOOKUP(Table4[[#This Row],[الكود]],'[11]قاعدة بيانات  '!$K$3:$N$225,4,0)</f>
        <v>كبير مشرفى تحصيل</v>
      </c>
      <c r="F16" s="91" t="str">
        <f>VLOOKUP(C:C,'[10]قاعدة بيانات  '!K:Q,5,0)</f>
        <v>شركة فاليو</v>
      </c>
      <c r="G16" s="91" t="s">
        <v>355</v>
      </c>
      <c r="H16" s="92"/>
      <c r="I16" s="90"/>
      <c r="K16" s="93"/>
      <c r="M16" s="103" t="s">
        <v>101</v>
      </c>
      <c r="N16"/>
      <c r="O16"/>
    </row>
    <row r="17" spans="1:15" x14ac:dyDescent="0.25">
      <c r="A17" s="89">
        <v>45918</v>
      </c>
      <c r="B17" s="90" t="str">
        <f>TEXT(Table4[[#This Row],[التاريخ ]],"mmm")</f>
        <v>Sep</v>
      </c>
      <c r="C17" s="91">
        <v>119</v>
      </c>
      <c r="D17" s="91" t="str">
        <f>VLOOKUP(Table4[[#This Row],[الكود]],'[11]قاعدة بيانات  '!$K$3:$L$290,2,0)</f>
        <v>مصطفى جميل عبد الفتاح محمد شاهين</v>
      </c>
      <c r="E17" s="90" t="str">
        <f>VLOOKUP(Table4[[#This Row],[الكود]],'[11]قاعدة بيانات  '!$K$3:$N$225,4,0)</f>
        <v>وكيل تحصيل</v>
      </c>
      <c r="F17" s="91" t="str">
        <f>VLOOKUP(C:C,'[10]قاعدة بيانات  '!K:Q,5,0)</f>
        <v>بنك كريدى اجريكول</v>
      </c>
      <c r="G17" s="91" t="s">
        <v>355</v>
      </c>
      <c r="H17" s="92"/>
      <c r="I17" s="90"/>
      <c r="K17" s="93"/>
      <c r="M17" s="102">
        <v>119</v>
      </c>
      <c r="N17">
        <v>4000</v>
      </c>
      <c r="O17"/>
    </row>
    <row r="18" spans="1:15" x14ac:dyDescent="0.25">
      <c r="A18" s="89">
        <v>45920</v>
      </c>
      <c r="B18" s="90" t="str">
        <f>TEXT(Table4[[#This Row],[التاريخ ]],"mmm")</f>
        <v>Sep</v>
      </c>
      <c r="C18" s="91">
        <v>515</v>
      </c>
      <c r="D18" s="91" t="str">
        <f>VLOOKUP(Table4[[#This Row],[الكود]],'[11]قاعدة بيانات  '!$K$3:$L$290,2,0)</f>
        <v>محمد عبدالمنعم عبدالحليم إبراهيم</v>
      </c>
      <c r="E18" s="90" t="str">
        <f>VLOOKUP(Table4[[#This Row],[الكود]],'[11]قاعدة بيانات  '!$K$3:$N$290,4,0)</f>
        <v>خدمات معاونة</v>
      </c>
      <c r="F18" s="91" t="str">
        <f>VLOOKUP(C:C,'[10]قاعدة بيانات  '!K:Q,5,0)</f>
        <v>الخدمات المعاونة</v>
      </c>
      <c r="G18" s="91" t="s">
        <v>355</v>
      </c>
      <c r="H18" s="92"/>
      <c r="I18" s="90" t="s">
        <v>382</v>
      </c>
      <c r="K18" s="93"/>
      <c r="M18" s="103" t="s">
        <v>103</v>
      </c>
      <c r="N18">
        <v>4000</v>
      </c>
      <c r="O18"/>
    </row>
    <row r="19" spans="1:15" x14ac:dyDescent="0.25">
      <c r="A19" s="89">
        <v>45921</v>
      </c>
      <c r="B19" s="90" t="str">
        <f>TEXT(Table4[[#This Row],[التاريخ ]],"mmm")</f>
        <v>Sep</v>
      </c>
      <c r="C19" s="91">
        <v>657</v>
      </c>
      <c r="D19" s="91" t="str">
        <f>VLOOKUP(Table4[[#This Row],[الكود]],'[11]قاعدة بيانات  '!$K$3:$L$290,2,0)</f>
        <v>محمود فوزى بخيت</v>
      </c>
      <c r="E19" s="90" t="str">
        <f>VLOOKUP(Table4[[#This Row],[الكود]],'[11]قاعدة بيانات  '!$K$3:$N$290,4,0)</f>
        <v>مشرف تحصيل</v>
      </c>
      <c r="F19" s="91" t="e">
        <f>VLOOKUP(C:C,'[10]قاعدة بيانات  '!K:Q,5,0)</f>
        <v>#N/A</v>
      </c>
      <c r="G19" s="91" t="s">
        <v>355</v>
      </c>
      <c r="H19" s="92"/>
      <c r="I19" s="90" t="s">
        <v>384</v>
      </c>
      <c r="K19" s="93"/>
      <c r="M19" s="102">
        <v>197</v>
      </c>
      <c r="N19">
        <v>5000</v>
      </c>
      <c r="O19"/>
    </row>
    <row r="20" spans="1:15" x14ac:dyDescent="0.25">
      <c r="A20" s="89">
        <v>45921</v>
      </c>
      <c r="B20" s="90" t="str">
        <f>TEXT(Table4[[#This Row],[التاريخ ]],"mmm")</f>
        <v>Sep</v>
      </c>
      <c r="C20" s="91">
        <v>284</v>
      </c>
      <c r="D20" s="91" t="str">
        <f>VLOOKUP(Table4[[#This Row],[الكود]],'[11]قاعدة بيانات  '!$K$3:$L$290,2,0)</f>
        <v>زياد كرم عبد الفضيل عبد المجيد</v>
      </c>
      <c r="E20" s="90" t="str">
        <f>VLOOKUP(Table4[[#This Row],[الكود]],'[11]قاعدة بيانات  '!$K$3:$N$290,4,0)</f>
        <v>وكيل تحصيل</v>
      </c>
      <c r="F20" s="91" t="str">
        <f>VLOOKUP(C:C,'[10]قاعدة بيانات  '!K:Q,5,0)</f>
        <v>شركة فاليو</v>
      </c>
      <c r="G20" s="91" t="s">
        <v>355</v>
      </c>
      <c r="H20" s="92">
        <v>500</v>
      </c>
      <c r="I20" s="90"/>
      <c r="K20" s="93"/>
      <c r="M20" s="103" t="s">
        <v>119</v>
      </c>
      <c r="N20">
        <v>5000</v>
      </c>
      <c r="O20"/>
    </row>
    <row r="21" spans="1:15" x14ac:dyDescent="0.25">
      <c r="A21" s="89">
        <v>45925</v>
      </c>
      <c r="B21" s="90" t="str">
        <f>TEXT(Table4[[#This Row],[التاريخ ]],"mmm")</f>
        <v>Sep</v>
      </c>
      <c r="C21" s="91">
        <v>119</v>
      </c>
      <c r="D21" s="91" t="str">
        <f>VLOOKUP(Table4[[#This Row],[الكود]],'[11]قاعدة بيانات  '!$K$3:$L$290,2,0)</f>
        <v>مصطفى جميل عبد الفتاح محمد شاهين</v>
      </c>
      <c r="E21" s="90" t="str">
        <f>VLOOKUP(Table4[[#This Row],[الكود]],'[11]قاعدة بيانات  '!$K$3:$N$290,4,0)</f>
        <v>وكيل تحصيل</v>
      </c>
      <c r="F21" s="91" t="str">
        <f>VLOOKUP(C:C,'[10]قاعدة بيانات  '!K:Q,5,0)</f>
        <v>بنك كريدى اجريكول</v>
      </c>
      <c r="G21" s="91" t="s">
        <v>355</v>
      </c>
      <c r="H21" s="92"/>
      <c r="I21" s="90"/>
      <c r="K21" s="93"/>
      <c r="M21" s="102">
        <v>215</v>
      </c>
      <c r="N21"/>
      <c r="O21"/>
    </row>
    <row r="22" spans="1:15" x14ac:dyDescent="0.25">
      <c r="A22" s="89">
        <v>45936</v>
      </c>
      <c r="B22" s="90" t="str">
        <f>TEXT(Table4[[#This Row],[التاريخ ]],"mmm")</f>
        <v>Oct</v>
      </c>
      <c r="C22" s="91">
        <v>544</v>
      </c>
      <c r="D22" s="91" t="str">
        <f>VLOOKUP(Table4[[#This Row],[الكود]],'[11]قاعدة بيانات  '!$K$3:$L$290,2,0)</f>
        <v>احمد منصور سليم منصور سليم</v>
      </c>
      <c r="E22" s="90" t="str">
        <f>VLOOKUP(Table4[[#This Row],[الكود]],'[11]قاعدة بيانات  '!$K$3:$N$290,4,0)</f>
        <v>الشئون القانونية</v>
      </c>
      <c r="F22" s="91" t="str">
        <f>VLOOKUP(C:C,'[10]قاعدة بيانات  '!K:Q,5,0)</f>
        <v>محامى</v>
      </c>
      <c r="G22" s="91" t="s">
        <v>355</v>
      </c>
      <c r="H22" s="92">
        <v>1500</v>
      </c>
      <c r="I22" s="90" t="s">
        <v>385</v>
      </c>
      <c r="K22" s="93"/>
      <c r="M22" s="103" t="s">
        <v>120</v>
      </c>
      <c r="N22"/>
      <c r="O22"/>
    </row>
    <row r="23" spans="1:15" x14ac:dyDescent="0.25">
      <c r="A23" s="89">
        <v>45941</v>
      </c>
      <c r="B23" s="90" t="str">
        <f>TEXT(Table4[[#This Row],[التاريخ ]],"mmm")</f>
        <v>Oct</v>
      </c>
      <c r="C23" s="91">
        <v>242</v>
      </c>
      <c r="D23" s="91" t="str">
        <f>VLOOKUP(Table4[[#This Row],[الكود]],'[11]قاعدة بيانات  '!$K$3:$L$290,2,0)</f>
        <v>محمد احمد محمد</v>
      </c>
      <c r="E23" s="90" t="str">
        <f>VLOOKUP(Table4[[#This Row],[الكود]],'[11]قاعدة بيانات  '!$K$3:$N$290,4,0)</f>
        <v>مسئول ادارى</v>
      </c>
      <c r="F23" s="91" t="e">
        <f>VLOOKUP(C:C,'[10]قاعدة بيانات  '!K:Q,5,0)</f>
        <v>#N/A</v>
      </c>
      <c r="G23" s="91" t="s">
        <v>355</v>
      </c>
      <c r="H23" s="92"/>
      <c r="I23" s="90"/>
      <c r="K23" s="93"/>
      <c r="M23" s="102">
        <v>223</v>
      </c>
      <c r="N23"/>
      <c r="O23"/>
    </row>
    <row r="24" spans="1:15" x14ac:dyDescent="0.25">
      <c r="A24" s="89">
        <v>45943</v>
      </c>
      <c r="B24" s="90" t="str">
        <f>TEXT(Table4[[#This Row],[التاريخ ]],"mmm")</f>
        <v>Oct</v>
      </c>
      <c r="C24" s="91">
        <v>655</v>
      </c>
      <c r="D24" s="91" t="str">
        <f>VLOOKUP(Table4[[#This Row],[الكود]],'[11]قاعدة بيانات  '!$K$3:$L$290,2,0)</f>
        <v>احمد عبدالعزيز إبراهيم عبدالعزيز</v>
      </c>
      <c r="E24" s="90" t="str">
        <f>VLOOKUP(Table4[[#This Row],[الكود]],'[11]قاعدة بيانات  '!$K$3:$N$290,4,0)</f>
        <v>وكيل تحصيل</v>
      </c>
      <c r="F24" s="91" t="e">
        <f>VLOOKUP(C:C,'[10]قاعدة بيانات  '!K:Q,5,0)</f>
        <v>#N/A</v>
      </c>
      <c r="G24" s="91" t="s">
        <v>355</v>
      </c>
      <c r="H24" s="92"/>
      <c r="I24" s="79" t="s">
        <v>386</v>
      </c>
      <c r="K24" s="93"/>
      <c r="M24" s="103" t="s">
        <v>121</v>
      </c>
      <c r="N24"/>
      <c r="O24"/>
    </row>
    <row r="25" spans="1:15" x14ac:dyDescent="0.25">
      <c r="A25" s="89">
        <v>45943</v>
      </c>
      <c r="B25" s="90" t="str">
        <f>TEXT(Table4[[#This Row],[التاريخ ]],"mmm")</f>
        <v>Oct</v>
      </c>
      <c r="C25" s="91">
        <v>197</v>
      </c>
      <c r="D25" s="91" t="str">
        <f>VLOOKUP(Table4[[#This Row],[الكود]],'[11]قاعدة بيانات  '!$K$3:$L$290,2,0)</f>
        <v xml:space="preserve">احمد مجدى بكر على </v>
      </c>
      <c r="E25" s="90" t="str">
        <f>VLOOKUP(Table4[[#This Row],[الكود]],'[11]قاعدة بيانات  '!$K$3:$N$290,4,0)</f>
        <v>وكيل تحصيل</v>
      </c>
      <c r="F25" s="91" t="str">
        <f>VLOOKUP(C:C,'[10]قاعدة بيانات  '!K:Q,5,0)</f>
        <v>شركة فاليو</v>
      </c>
      <c r="G25" s="91" t="s">
        <v>355</v>
      </c>
      <c r="H25" s="92"/>
      <c r="I25" s="90"/>
      <c r="K25" s="93"/>
      <c r="M25" s="102">
        <v>238</v>
      </c>
      <c r="N25">
        <v>500</v>
      </c>
      <c r="O25"/>
    </row>
    <row r="26" spans="1:15" x14ac:dyDescent="0.25">
      <c r="A26" s="89">
        <v>45944</v>
      </c>
      <c r="B26" s="90" t="str">
        <f>TEXT(Table4[[#This Row],[التاريخ ]],"mmm")</f>
        <v>Oct</v>
      </c>
      <c r="C26" s="91">
        <v>378</v>
      </c>
      <c r="D26" s="91" t="str">
        <f>VLOOKUP(Table4[[#This Row],[الكود]],'[11]قاعدة بيانات  '!$K$3:$L$290,2,0)</f>
        <v>عبد الحميد نبوى فهيم محمد</v>
      </c>
      <c r="E26" s="90" t="str">
        <f>VLOOKUP(Table4[[#This Row],[الكود]],'[11]قاعدة بيانات  '!$K$3:$N$290,4,0)</f>
        <v>رئيس فريق عمل</v>
      </c>
      <c r="F26" s="91" t="str">
        <f>VLOOKUP(C:C,'[10]قاعدة بيانات  '!K:Q,5,0)</f>
        <v>بنك كريدى اجريكول</v>
      </c>
      <c r="G26" s="91" t="s">
        <v>355</v>
      </c>
      <c r="H26" s="92"/>
      <c r="I26" s="90"/>
      <c r="K26" s="93"/>
      <c r="M26" s="103" t="s">
        <v>122</v>
      </c>
      <c r="N26">
        <v>500</v>
      </c>
      <c r="O26"/>
    </row>
    <row r="27" spans="1:15" x14ac:dyDescent="0.25">
      <c r="A27" s="89">
        <v>45944</v>
      </c>
      <c r="B27" s="90" t="str">
        <f>TEXT(Table4[[#This Row],[التاريخ ]],"mmm")</f>
        <v>Oct</v>
      </c>
      <c r="C27" s="91">
        <v>723</v>
      </c>
      <c r="D27" s="91" t="str">
        <f>VLOOKUP(Table4[[#This Row],[الكود]],'[11]قاعدة بيانات  '!$K$3:$L$290,2,0)</f>
        <v>هاجر عبدالنبي علي</v>
      </c>
      <c r="E27" s="90" t="str">
        <f>VLOOKUP(Table4[[#This Row],[الكود]],'[11]قاعدة بيانات  '!$K$3:$N$290,4,0)</f>
        <v>وكيل تحصيل هاتفى</v>
      </c>
      <c r="F27" s="91" t="e">
        <f>VLOOKUP(C:C,'[10]قاعدة بيانات  '!K:Q,5,0)</f>
        <v>#N/A</v>
      </c>
      <c r="G27" s="91" t="s">
        <v>355</v>
      </c>
      <c r="H27" s="92"/>
      <c r="I27" s="90"/>
      <c r="K27" s="93"/>
      <c r="M27" s="102">
        <v>239</v>
      </c>
      <c r="N27">
        <v>200</v>
      </c>
      <c r="O27"/>
    </row>
    <row r="28" spans="1:15" x14ac:dyDescent="0.25">
      <c r="A28" s="89">
        <v>45944</v>
      </c>
      <c r="B28" s="90" t="str">
        <f>TEXT(Table4[[#This Row],[التاريخ ]],"mmm")</f>
        <v>Oct</v>
      </c>
      <c r="C28" s="91">
        <v>284</v>
      </c>
      <c r="D28" s="91" t="str">
        <f>VLOOKUP(Table4[[#This Row],[الكود]],'[11]قاعدة بيانات  '!$K$3:$L$290,2,0)</f>
        <v>زياد كرم عبد الفضيل عبد المجيد</v>
      </c>
      <c r="E28" s="90" t="str">
        <f>VLOOKUP(Table4[[#This Row],[الكود]],'[11]قاعدة بيانات  '!$K$3:$N$290,4,0)</f>
        <v>وكيل تحصيل</v>
      </c>
      <c r="F28" s="91" t="str">
        <f>VLOOKUP(C:C,'[10]قاعدة بيانات  '!K:Q,5,0)</f>
        <v>شركة فاليو</v>
      </c>
      <c r="G28" s="91" t="s">
        <v>355</v>
      </c>
      <c r="H28" s="92">
        <v>500</v>
      </c>
      <c r="I28" s="90"/>
      <c r="K28" s="93"/>
      <c r="M28" s="103" t="s">
        <v>123</v>
      </c>
      <c r="N28">
        <v>200</v>
      </c>
      <c r="O28"/>
    </row>
    <row r="29" spans="1:15" x14ac:dyDescent="0.25">
      <c r="A29" s="89">
        <v>45945</v>
      </c>
      <c r="B29" s="90" t="str">
        <f>TEXT(Table4[[#This Row],[التاريخ ]],"mmm")</f>
        <v>Oct</v>
      </c>
      <c r="C29" s="91">
        <v>705</v>
      </c>
      <c r="D29" s="91" t="str">
        <f>VLOOKUP(Table4[[#This Row],[الكود]],'[11]قاعدة بيانات  '!$K$3:$L$290,2,0)</f>
        <v>محمود مصطفى محمود</v>
      </c>
      <c r="E29" s="90">
        <f>VLOOKUP(Table4[[#This Row],[الكود]],'[11]قاعدة بيانات  '!$K$3:$N$290,4,0)</f>
        <v>0</v>
      </c>
      <c r="F29" s="91" t="e">
        <f>VLOOKUP(C:C,'[10]قاعدة بيانات  '!K:Q,5,0)</f>
        <v>#N/A</v>
      </c>
      <c r="G29" s="91" t="s">
        <v>355</v>
      </c>
      <c r="H29" s="92"/>
      <c r="I29" s="90"/>
      <c r="K29" s="93"/>
      <c r="M29" s="102">
        <v>242</v>
      </c>
      <c r="N29"/>
      <c r="O29"/>
    </row>
    <row r="30" spans="1:15" x14ac:dyDescent="0.25">
      <c r="A30" s="89">
        <v>45945</v>
      </c>
      <c r="B30" s="90" t="str">
        <f>TEXT(Table4[[#This Row],[التاريخ ]],"mmm")</f>
        <v>Oct</v>
      </c>
      <c r="C30" s="91">
        <v>215</v>
      </c>
      <c r="D30" s="91" t="str">
        <f>VLOOKUP(Table4[[#This Row],[الكود]],'[11]قاعدة بيانات  '!$K$3:$L$290,2,0)</f>
        <v>روان عادل محمد عبد الكريم</v>
      </c>
      <c r="E30" s="90" t="str">
        <f>VLOOKUP(Table4[[#This Row],[الكود]],'[11]قاعدة بيانات  '!$K$3:$N$290,4,0)</f>
        <v>وكيل تحصيل هاتفى</v>
      </c>
      <c r="F30" s="91" t="str">
        <f>VLOOKUP(C:C,'[10]قاعدة بيانات  '!K:Q,5,0)</f>
        <v>شركة فاليو</v>
      </c>
      <c r="G30" s="91" t="s">
        <v>355</v>
      </c>
      <c r="H30" s="92"/>
      <c r="I30" s="90"/>
      <c r="K30" s="93"/>
      <c r="M30" s="103" t="s">
        <v>402</v>
      </c>
      <c r="N30"/>
      <c r="O30"/>
    </row>
    <row r="31" spans="1:15" x14ac:dyDescent="0.25">
      <c r="A31" s="89">
        <v>45945</v>
      </c>
      <c r="B31" s="90" t="str">
        <f>TEXT(Table4[[#This Row],[التاريخ ]],"mmm")</f>
        <v>Oct</v>
      </c>
      <c r="C31" s="91">
        <v>657</v>
      </c>
      <c r="D31" s="91" t="str">
        <f>VLOOKUP(Table4[[#This Row],[الكود]],'[11]قاعدة بيانات  '!$K$3:$L$290,2,0)</f>
        <v>محمود فوزى بخيت</v>
      </c>
      <c r="E31" s="90" t="str">
        <f>VLOOKUP(Table4[[#This Row],[الكود]],'[11]قاعدة بيانات  '!$K$3:$N$290,4,0)</f>
        <v>مشرف تحصيل</v>
      </c>
      <c r="F31" s="91" t="e">
        <f>VLOOKUP(C:C,'[10]قاعدة بيانات  '!K:Q,5,0)</f>
        <v>#N/A</v>
      </c>
      <c r="G31" s="91" t="s">
        <v>355</v>
      </c>
      <c r="H31" s="92"/>
      <c r="I31" s="90"/>
      <c r="K31" s="93"/>
      <c r="M31" s="102">
        <v>266</v>
      </c>
      <c r="N31"/>
      <c r="O31"/>
    </row>
    <row r="32" spans="1:15" x14ac:dyDescent="0.25">
      <c r="A32" s="89">
        <v>45945</v>
      </c>
      <c r="B32" s="90" t="str">
        <f>TEXT(Table4[[#This Row],[التاريخ ]],"mmm")</f>
        <v>Oct</v>
      </c>
      <c r="C32" s="91">
        <v>512</v>
      </c>
      <c r="D32" s="91" t="str">
        <f>VLOOKUP(Table4[[#This Row],[الكود]],'[11]قاعدة بيانات  '!$K$3:$L$290,2,0)</f>
        <v>شريهان كمال شفيق حسب الله</v>
      </c>
      <c r="E32" s="90" t="str">
        <f>VLOOKUP(Table4[[#This Row],[الكود]],'[11]قاعدة بيانات  '!$K$3:$N$290,4,0)</f>
        <v>وكيل تحصيل هاتفى</v>
      </c>
      <c r="F32" s="91" t="str">
        <f>VLOOKUP(C:C,'[10]قاعدة بيانات  '!K:Q,5,0)</f>
        <v xml:space="preserve">بنك الإسكندرية </v>
      </c>
      <c r="G32" s="91" t="s">
        <v>355</v>
      </c>
      <c r="H32" s="92"/>
      <c r="I32" s="90"/>
      <c r="K32" s="93"/>
      <c r="M32" s="103" t="s">
        <v>366</v>
      </c>
      <c r="N32"/>
      <c r="O32"/>
    </row>
    <row r="33" spans="1:15" x14ac:dyDescent="0.25">
      <c r="A33" s="89">
        <v>45945</v>
      </c>
      <c r="B33" s="90" t="str">
        <f>TEXT(Table4[[#This Row],[التاريخ ]],"mmm")</f>
        <v>Oct</v>
      </c>
      <c r="C33" s="91">
        <v>45</v>
      </c>
      <c r="D33" s="91" t="str">
        <f>VLOOKUP(Table4[[#This Row],[الكود]],'[11]قاعدة بيانات  '!$K$3:$L$290,2,0)</f>
        <v>محمد مجدى ربيع عبد الغنى جاد</v>
      </c>
      <c r="E33" s="90" t="str">
        <f>VLOOKUP(Table4[[#This Row],[الكود]],'[11]قاعدة بيانات  '!$K$3:$N$290,4,0)</f>
        <v>مشرف تحصيل</v>
      </c>
      <c r="F33" s="91" t="str">
        <f>VLOOKUP(C:C,'[10]قاعدة بيانات  '!K:Q,5,0)</f>
        <v>شركة فاليو</v>
      </c>
      <c r="G33" s="91" t="s">
        <v>355</v>
      </c>
      <c r="H33" s="92"/>
      <c r="I33" s="90"/>
      <c r="K33" s="93"/>
      <c r="M33" s="102">
        <v>281</v>
      </c>
      <c r="N33"/>
      <c r="O33"/>
    </row>
    <row r="34" spans="1:15" x14ac:dyDescent="0.25">
      <c r="A34" s="89">
        <v>45945</v>
      </c>
      <c r="B34" s="90" t="str">
        <f>TEXT(Table4[[#This Row],[التاريخ ]],"mmm")</f>
        <v>Oct</v>
      </c>
      <c r="C34" s="91">
        <v>734</v>
      </c>
      <c r="D34" s="91" t="str">
        <f>VLOOKUP(Table4[[#This Row],[الكود]],'[11]قاعدة بيانات  '!$K$3:$L$290,2,0)</f>
        <v xml:space="preserve">شيروت محمود محمد توفيق </v>
      </c>
      <c r="E34" s="90" t="str">
        <f>VLOOKUP(Table4[[#This Row],[الكود]],'[11]قاعدة بيانات  '!$K$3:$N$290,4,0)</f>
        <v>وكيل تحصيل هاتفى</v>
      </c>
      <c r="F34" s="91" t="e">
        <f>VLOOKUP(C:C,'[10]قاعدة بيانات  '!K:Q,5,0)</f>
        <v>#N/A</v>
      </c>
      <c r="G34" s="91" t="s">
        <v>355</v>
      </c>
      <c r="H34" s="92"/>
      <c r="I34" s="90"/>
      <c r="K34" s="93"/>
      <c r="M34" s="103" t="s">
        <v>367</v>
      </c>
      <c r="N34"/>
      <c r="O34"/>
    </row>
    <row r="35" spans="1:15" x14ac:dyDescent="0.25">
      <c r="A35" s="89">
        <v>45945</v>
      </c>
      <c r="B35" s="90" t="str">
        <f>TEXT(Table4[[#This Row],[التاريخ ]],"mmm")</f>
        <v>Oct</v>
      </c>
      <c r="C35" s="91">
        <v>119</v>
      </c>
      <c r="D35" s="91" t="str">
        <f>VLOOKUP(Table4[[#This Row],[الكود]],'[11]قاعدة بيانات  '!$K$3:$L$290,2,0)</f>
        <v>مصطفى جميل عبد الفتاح محمد شاهين</v>
      </c>
      <c r="E35" s="90" t="str">
        <f>VLOOKUP(Table4[[#This Row],[الكود]],'[11]قاعدة بيانات  '!$K$3:$N$290,4,0)</f>
        <v>وكيل تحصيل</v>
      </c>
      <c r="F35" s="91" t="str">
        <f>VLOOKUP(C:C,'[10]قاعدة بيانات  '!K:Q,5,0)</f>
        <v>بنك كريدى اجريكول</v>
      </c>
      <c r="G35" s="91" t="s">
        <v>355</v>
      </c>
      <c r="H35" s="92"/>
      <c r="I35" s="90"/>
      <c r="K35" s="93"/>
      <c r="M35" s="102">
        <v>284</v>
      </c>
      <c r="N35">
        <v>1000</v>
      </c>
      <c r="O35"/>
    </row>
    <row r="36" spans="1:15" x14ac:dyDescent="0.25">
      <c r="A36" s="89">
        <v>45946</v>
      </c>
      <c r="B36" s="90" t="str">
        <f>TEXT(Table4[[#This Row],[التاريخ ]],"mmm")</f>
        <v>Oct</v>
      </c>
      <c r="C36" s="91">
        <v>756</v>
      </c>
      <c r="D36" s="91" t="str">
        <f>VLOOKUP(Table4[[#This Row],[الكود]],'[11]قاعدة بيانات  '!$K$3:$L$290,2,0)</f>
        <v xml:space="preserve">عبدالله هاني عبد المنعم عيد </v>
      </c>
      <c r="E36" s="90" t="str">
        <f>VLOOKUP(Table4[[#This Row],[الكود]],'[11]قاعدة بيانات  '!$K$3:$N$290,4,0)</f>
        <v>وكيل تحصيل</v>
      </c>
      <c r="F36" s="91" t="e">
        <f>VLOOKUP(C:C,'[10]قاعدة بيانات  '!K:Q,5,0)</f>
        <v>#N/A</v>
      </c>
      <c r="G36" s="91" t="s">
        <v>355</v>
      </c>
      <c r="H36" s="92"/>
      <c r="I36" s="90"/>
      <c r="K36" s="93"/>
      <c r="M36" s="103" t="s">
        <v>130</v>
      </c>
      <c r="N36">
        <v>1000</v>
      </c>
      <c r="O36"/>
    </row>
    <row r="37" spans="1:15" x14ac:dyDescent="0.25">
      <c r="A37" s="89">
        <v>45946</v>
      </c>
      <c r="B37" s="90" t="str">
        <f>TEXT(Table4[[#This Row],[التاريخ ]],"mmm")</f>
        <v>Oct</v>
      </c>
      <c r="C37" s="91">
        <v>332</v>
      </c>
      <c r="D37" s="91" t="str">
        <f>VLOOKUP(Table4[[#This Row],[الكود]],'[11]قاعدة بيانات  '!$K$3:$L$290,2,0)</f>
        <v xml:space="preserve">إسماعيل سلامه إسماعيل بركات </v>
      </c>
      <c r="E37" s="90" t="str">
        <f>VLOOKUP(Table4[[#This Row],[الكود]],'[11]قاعدة بيانات  '!$K$3:$N$290,4,0)</f>
        <v>وكيل تحصيل</v>
      </c>
      <c r="F37" s="91" t="str">
        <f>VLOOKUP(C:C,'[10]قاعدة بيانات  '!K:Q,5,0)</f>
        <v>شركة ميد تقسيط</v>
      </c>
      <c r="G37" s="91" t="s">
        <v>355</v>
      </c>
      <c r="H37" s="92"/>
      <c r="I37" s="90"/>
      <c r="K37" s="93"/>
      <c r="M37" s="102">
        <v>332</v>
      </c>
      <c r="N37">
        <v>1000</v>
      </c>
      <c r="O37"/>
    </row>
    <row r="38" spans="1:15" x14ac:dyDescent="0.25">
      <c r="A38" s="89">
        <v>45946</v>
      </c>
      <c r="B38" s="90" t="str">
        <f>TEXT(Table4[[#This Row],[التاريخ ]],"mmm")</f>
        <v>Oct</v>
      </c>
      <c r="C38" s="91">
        <v>731</v>
      </c>
      <c r="D38" s="91" t="str">
        <f>VLOOKUP(Table4[[#This Row],[الكود]],'[11]قاعدة بيانات  '!$K$3:$L$290,2,0)</f>
        <v>يوسف تامر محمد</v>
      </c>
      <c r="E38" s="90" t="str">
        <f>VLOOKUP(Table4[[#This Row],[الكود]],'[11]قاعدة بيانات  '!$K$3:$N$290,4,0)</f>
        <v>وكيل تحصيل</v>
      </c>
      <c r="F38" s="91" t="e">
        <f>VLOOKUP(C:C,'[10]قاعدة بيانات  '!K:Q,5,0)</f>
        <v>#N/A</v>
      </c>
      <c r="G38" s="91" t="s">
        <v>355</v>
      </c>
      <c r="H38" s="92"/>
      <c r="I38" s="90"/>
      <c r="K38" s="93"/>
      <c r="M38" s="103" t="s">
        <v>138</v>
      </c>
      <c r="N38">
        <v>1000</v>
      </c>
      <c r="O38"/>
    </row>
    <row r="39" spans="1:15" x14ac:dyDescent="0.25">
      <c r="A39" s="89">
        <v>45946</v>
      </c>
      <c r="B39" s="90" t="str">
        <f>TEXT(Table4[[#This Row],[التاريخ ]],"mmm")</f>
        <v>Oct</v>
      </c>
      <c r="C39" s="91">
        <v>642</v>
      </c>
      <c r="D39" s="91" t="str">
        <f>VLOOKUP(Table4[[#This Row],[الكود]],'[11]قاعدة بيانات  '!$K$3:$L$290,2,0)</f>
        <v>سلمى محمد محمد السيد</v>
      </c>
      <c r="E39" s="90" t="str">
        <f>VLOOKUP(Table4[[#This Row],[الكود]],'[11]قاعدة بيانات  '!$K$3:$N$290,4,0)</f>
        <v>وكيل تحصيل هاتفى</v>
      </c>
      <c r="F39" s="91" t="e">
        <f>VLOOKUP(C:C,'[10]قاعدة بيانات  '!K:Q,5,0)</f>
        <v>#N/A</v>
      </c>
      <c r="G39" s="91" t="s">
        <v>355</v>
      </c>
      <c r="H39" s="92"/>
      <c r="I39" s="90"/>
      <c r="K39" s="93"/>
      <c r="M39" s="102">
        <v>339</v>
      </c>
      <c r="N39"/>
      <c r="O39"/>
    </row>
    <row r="40" spans="1:15" x14ac:dyDescent="0.25">
      <c r="A40" s="89">
        <v>45946</v>
      </c>
      <c r="B40" s="90" t="str">
        <f>TEXT(Table4[[#This Row],[التاريخ ]],"mmm")</f>
        <v>Oct</v>
      </c>
      <c r="C40" s="91">
        <v>31</v>
      </c>
      <c r="D40" s="91" t="str">
        <f>VLOOKUP(Table4[[#This Row],[الكود]],'[11]قاعدة بيانات  '!$K$3:$L$290,2,0)</f>
        <v>محمود النادى أبو الحسن احمد</v>
      </c>
      <c r="E40" s="90" t="str">
        <f>VLOOKUP(Table4[[#This Row],[الكود]],'[11]قاعدة بيانات  '!$K$3:$N$290,4,0)</f>
        <v>كبير مشرفى تحصيل</v>
      </c>
      <c r="F40" s="91" t="str">
        <f>VLOOKUP(C:C,'[10]قاعدة بيانات  '!K:Q,5,0)</f>
        <v>بنك الإسكندرية / شركة سهولة</v>
      </c>
      <c r="G40" s="91" t="s">
        <v>355</v>
      </c>
      <c r="H40" s="92"/>
      <c r="I40" s="90"/>
      <c r="K40" s="93"/>
      <c r="M40" s="103" t="s">
        <v>369</v>
      </c>
      <c r="N40"/>
      <c r="O40"/>
    </row>
    <row r="41" spans="1:15" x14ac:dyDescent="0.25">
      <c r="A41" s="89">
        <v>45946</v>
      </c>
      <c r="B41" s="90" t="str">
        <f>TEXT(Table4[[#This Row],[التاريخ ]],"mmm")</f>
        <v>Oct</v>
      </c>
      <c r="C41" s="91">
        <v>612</v>
      </c>
      <c r="D41" s="91" t="str">
        <f>VLOOKUP(Table4[[#This Row],[الكود]],'[11]قاعدة بيانات  '!$K$3:$L$290,2,0)</f>
        <v>احمد محمد حسنى</v>
      </c>
      <c r="E41" s="90" t="str">
        <f>VLOOKUP(Table4[[#This Row],[الكود]],'[11]قاعدة بيانات  '!$K$3:$N$290,4,0)</f>
        <v>الشئون القانونية</v>
      </c>
      <c r="F41" s="91" t="e">
        <f>VLOOKUP(C:C,'[10]قاعدة بيانات  '!K:Q,5,0)</f>
        <v>#N/A</v>
      </c>
      <c r="G41" s="91" t="s">
        <v>355</v>
      </c>
      <c r="H41" s="92"/>
      <c r="I41" s="90"/>
      <c r="K41" s="93"/>
      <c r="M41" s="102">
        <v>340</v>
      </c>
      <c r="N41">
        <v>2500</v>
      </c>
      <c r="O41"/>
    </row>
    <row r="42" spans="1:15" x14ac:dyDescent="0.25">
      <c r="A42" s="89">
        <v>45946</v>
      </c>
      <c r="B42" s="90" t="str">
        <f>TEXT(Table4[[#This Row],[التاريخ ]],"mmm")</f>
        <v>Oct</v>
      </c>
      <c r="C42" s="91">
        <v>738</v>
      </c>
      <c r="D42" s="91" t="str">
        <f>VLOOKUP(Table4[[#This Row],[الكود]],'[11]قاعدة بيانات  '!$K$3:$L$290,2,0)</f>
        <v>محمد حسن تقى دشناوى</v>
      </c>
      <c r="E42" s="90" t="str">
        <f>VLOOKUP(Table4[[#This Row],[الكود]],'[11]قاعدة بيانات  '!$K$3:$N$290,4,0)</f>
        <v>الشئون القانونية</v>
      </c>
      <c r="F42" s="91" t="e">
        <f>VLOOKUP(C:C,'[10]قاعدة بيانات  '!K:Q,5,0)</f>
        <v>#N/A</v>
      </c>
      <c r="G42" s="91" t="s">
        <v>355</v>
      </c>
      <c r="H42" s="92"/>
      <c r="I42" s="90"/>
      <c r="K42" s="93"/>
      <c r="M42" s="103" t="s">
        <v>141</v>
      </c>
      <c r="N42">
        <v>2500</v>
      </c>
      <c r="O42"/>
    </row>
    <row r="43" spans="1:15" x14ac:dyDescent="0.25">
      <c r="A43" s="89">
        <v>45946</v>
      </c>
      <c r="B43" s="90" t="str">
        <f>TEXT(Table4[[#This Row],[التاريخ ]],"mmm")</f>
        <v>Oct</v>
      </c>
      <c r="C43" s="91">
        <v>515</v>
      </c>
      <c r="D43" s="91" t="str">
        <f>VLOOKUP(Table4[[#This Row],[الكود]],'[11]قاعدة بيانات  '!$K$3:$L$290,2,0)</f>
        <v>محمد عبدالمنعم عبدالحليم إبراهيم</v>
      </c>
      <c r="E43" s="90" t="str">
        <f>VLOOKUP(Table4[[#This Row],[الكود]],'[11]قاعدة بيانات  '!$K$3:$N$290,4,0)</f>
        <v>خدمات معاونة</v>
      </c>
      <c r="F43" s="91" t="str">
        <f>VLOOKUP(C:C,'[10]قاعدة بيانات  '!K:Q,5,0)</f>
        <v>الخدمات المعاونة</v>
      </c>
      <c r="G43" s="91" t="s">
        <v>355</v>
      </c>
      <c r="H43" s="92"/>
      <c r="I43" s="90"/>
      <c r="K43" s="93"/>
      <c r="M43" s="102">
        <v>378</v>
      </c>
      <c r="N43"/>
      <c r="O43"/>
    </row>
    <row r="44" spans="1:15" x14ac:dyDescent="0.25">
      <c r="A44" s="89">
        <v>45946</v>
      </c>
      <c r="B44" s="90" t="str">
        <f>TEXT(Table4[[#This Row],[التاريخ ]],"mmm")</f>
        <v>Oct</v>
      </c>
      <c r="C44" s="91">
        <v>527</v>
      </c>
      <c r="D44" s="91" t="str">
        <f>VLOOKUP(Table4[[#This Row],[الكود]],'[11]قاعدة بيانات  '!$K$3:$L$290,2,0)</f>
        <v>محمد محمود حسين محمود</v>
      </c>
      <c r="E44" s="90" t="str">
        <f>VLOOKUP(Table4[[#This Row],[الكود]],'[11]قاعدة بيانات  '!$K$3:$N$290,4,0)</f>
        <v>مشرف تحصيل</v>
      </c>
      <c r="F44" s="91" t="str">
        <f>VLOOKUP(C:C,'[10]قاعدة بيانات  '!K:Q,5,0)</f>
        <v>بنك الاسكندرية</v>
      </c>
      <c r="G44" s="91" t="s">
        <v>355</v>
      </c>
      <c r="H44" s="92"/>
      <c r="I44" s="90"/>
      <c r="K44" s="93"/>
      <c r="M44" s="103" t="s">
        <v>144</v>
      </c>
      <c r="N44"/>
      <c r="O44"/>
    </row>
    <row r="45" spans="1:15" x14ac:dyDescent="0.25">
      <c r="A45" s="89">
        <v>45946</v>
      </c>
      <c r="B45" s="90" t="str">
        <f>TEXT(Table4[[#This Row],[التاريخ ]],"mmm")</f>
        <v>Oct</v>
      </c>
      <c r="C45" s="91">
        <v>60</v>
      </c>
      <c r="D45" s="91" t="str">
        <f>VLOOKUP(Table4[[#This Row],[الكود]],'[11]قاعدة بيانات  '!$K$3:$L$290,2,0)</f>
        <v>مروة مصطفى على جاد</v>
      </c>
      <c r="E45" s="90" t="str">
        <f>VLOOKUP(Table4[[#This Row],[الكود]],'[11]قاعدة بيانات  '!$K$3:$N$290,4,0)</f>
        <v>مشرف تحصيل</v>
      </c>
      <c r="F45" s="91" t="str">
        <f>VLOOKUP(C:C,'[10]قاعدة بيانات  '!K:Q,5,0)</f>
        <v>شركة راية</v>
      </c>
      <c r="G45" s="91" t="s">
        <v>355</v>
      </c>
      <c r="H45" s="92"/>
      <c r="I45" s="90"/>
      <c r="K45" s="93"/>
      <c r="M45" s="102">
        <v>492</v>
      </c>
      <c r="N45"/>
      <c r="O45"/>
    </row>
    <row r="46" spans="1:15" x14ac:dyDescent="0.25">
      <c r="A46" s="89">
        <v>45949</v>
      </c>
      <c r="B46" s="90" t="str">
        <f>TEXT(Table4[[#This Row],[التاريخ ]],"mmm")</f>
        <v>Oct</v>
      </c>
      <c r="C46" s="91">
        <v>710</v>
      </c>
      <c r="D46" s="91" t="str">
        <f>VLOOKUP(Table4[[#This Row],[الكود]],'[11]قاعدة بيانات  '!$K$3:$L$290,2,0)</f>
        <v>عبد الله محمد عزت</v>
      </c>
      <c r="E46" s="90" t="str">
        <f>VLOOKUP(Table4[[#This Row],[الكود]],'[11]قاعدة بيانات  '!$K$3:$N$290,4,0)</f>
        <v>وكيل تحصيل</v>
      </c>
      <c r="F46" s="91" t="e">
        <f>VLOOKUP(C:C,'[10]قاعدة بيانات  '!K:Q,5,0)</f>
        <v>#N/A</v>
      </c>
      <c r="G46" s="91" t="s">
        <v>355</v>
      </c>
      <c r="H46" s="92"/>
      <c r="I46" s="90"/>
      <c r="K46" s="93"/>
      <c r="M46" s="103" t="s">
        <v>157</v>
      </c>
      <c r="N46"/>
      <c r="O46"/>
    </row>
    <row r="47" spans="1:15" x14ac:dyDescent="0.25">
      <c r="A47" s="89">
        <v>45950</v>
      </c>
      <c r="B47" s="90" t="str">
        <f>TEXT(Table4[[#This Row],[التاريخ ]],"mmm")</f>
        <v>Oct</v>
      </c>
      <c r="C47" s="91">
        <v>657</v>
      </c>
      <c r="D47" s="91" t="str">
        <f>VLOOKUP(Table4[[#This Row],[الكود]],'[11]قاعدة بيانات  '!$K$3:$L$290,2,0)</f>
        <v>محمود فوزى بخيت</v>
      </c>
      <c r="E47" s="90" t="str">
        <f>VLOOKUP(Table4[[#This Row],[الكود]],'[11]قاعدة بيانات  '!$K$3:$N$290,4,0)</f>
        <v>مشرف تحصيل</v>
      </c>
      <c r="F47" s="91" t="e">
        <f>VLOOKUP(C:C,'[10]قاعدة بيانات  '!K:Q,5,0)</f>
        <v>#N/A</v>
      </c>
      <c r="G47" s="91" t="s">
        <v>355</v>
      </c>
      <c r="H47" s="92"/>
      <c r="I47" s="90"/>
      <c r="K47" s="93"/>
      <c r="M47" s="102">
        <v>512</v>
      </c>
      <c r="N47">
        <v>500</v>
      </c>
      <c r="O47"/>
    </row>
    <row r="48" spans="1:15" x14ac:dyDescent="0.25">
      <c r="A48" s="89">
        <v>45950</v>
      </c>
      <c r="B48" s="90" t="str">
        <f>TEXT(Table4[[#This Row],[التاريخ ]],"mmm")</f>
        <v>Oct</v>
      </c>
      <c r="C48" s="91">
        <v>284</v>
      </c>
      <c r="D48" s="91" t="str">
        <f>VLOOKUP(Table4[[#This Row],[الكود]],'[11]قاعدة بيانات  '!$K$3:$L$290,2,0)</f>
        <v>زياد كرم عبد الفضيل عبد المجيد</v>
      </c>
      <c r="E48" s="90" t="str">
        <f>VLOOKUP(Table4[[#This Row],[الكود]],'[11]قاعدة بيانات  '!$K$3:$N$290,4,0)</f>
        <v>وكيل تحصيل</v>
      </c>
      <c r="F48" s="91" t="str">
        <f>VLOOKUP(C:C,'[10]قاعدة بيانات  '!K:Q,5,0)</f>
        <v>شركة فاليو</v>
      </c>
      <c r="G48" s="91" t="s">
        <v>355</v>
      </c>
      <c r="H48" s="92"/>
      <c r="I48" s="90"/>
      <c r="K48" s="93"/>
      <c r="M48" s="103" t="s">
        <v>165</v>
      </c>
      <c r="N48">
        <v>500</v>
      </c>
      <c r="O48"/>
    </row>
    <row r="49" spans="1:15" x14ac:dyDescent="0.25">
      <c r="A49" s="89">
        <v>45950</v>
      </c>
      <c r="B49" s="90" t="str">
        <f>TEXT(Table4[[#This Row],[التاريخ ]],"mmm")</f>
        <v>Oct</v>
      </c>
      <c r="C49" s="91">
        <v>238</v>
      </c>
      <c r="D49" s="91" t="str">
        <f>VLOOKUP(Table4[[#This Row],[الكود]],'[11]قاعدة بيانات  '!$K$3:$L$290,2,0)</f>
        <v xml:space="preserve">اشرف محمد محروس محمود </v>
      </c>
      <c r="E49" s="90" t="str">
        <f>VLOOKUP(Table4[[#This Row],[الكود]],'[11]قاعدة بيانات  '!$K$3:$N$290,4,0)</f>
        <v xml:space="preserve">وكيل تحصيل </v>
      </c>
      <c r="F49" s="91" t="str">
        <f>VLOOKUP(C:C,'[10]قاعدة بيانات  '!K:Q,5,0)</f>
        <v>بنك الإسكندرية</v>
      </c>
      <c r="G49" s="91" t="s">
        <v>355</v>
      </c>
      <c r="H49" s="92"/>
      <c r="I49" s="90"/>
      <c r="K49" s="93"/>
      <c r="M49" s="102">
        <v>515</v>
      </c>
      <c r="N49">
        <v>2700</v>
      </c>
      <c r="O49"/>
    </row>
    <row r="50" spans="1:15" x14ac:dyDescent="0.25">
      <c r="A50" s="89">
        <v>45950</v>
      </c>
      <c r="B50" s="90" t="str">
        <f>TEXT(Table4[[#This Row],[التاريخ ]],"mmm")</f>
        <v>Oct</v>
      </c>
      <c r="C50" s="91">
        <v>675</v>
      </c>
      <c r="D50" s="91" t="str">
        <f>VLOOKUP(Table4[[#This Row],[الكود]],'[11]قاعدة بيانات  '!$K$3:$L$290,2,0)</f>
        <v>كريم خالد محمد محمود</v>
      </c>
      <c r="E50" s="90" t="str">
        <f>VLOOKUP(Table4[[#This Row],[الكود]],'[11]قاعدة بيانات  '!$K$3:$N$290,4,0)</f>
        <v>الشئون القانونية</v>
      </c>
      <c r="F50" s="91" t="e">
        <f>VLOOKUP(C:C,'[10]قاعدة بيانات  '!K:Q,5,0)</f>
        <v>#N/A</v>
      </c>
      <c r="G50" s="91" t="s">
        <v>355</v>
      </c>
      <c r="H50" s="92"/>
      <c r="I50" s="90"/>
      <c r="K50" s="93"/>
      <c r="M50" s="103" t="s">
        <v>167</v>
      </c>
      <c r="N50">
        <v>2700</v>
      </c>
      <c r="O50"/>
    </row>
    <row r="51" spans="1:15" x14ac:dyDescent="0.25">
      <c r="A51" s="89">
        <v>45950</v>
      </c>
      <c r="B51" s="90" t="str">
        <f>TEXT(Table4[[#This Row],[التاريخ ]],"mmm")</f>
        <v>Oct</v>
      </c>
      <c r="C51" s="91">
        <v>515</v>
      </c>
      <c r="D51" s="91" t="str">
        <f>VLOOKUP(Table4[[#This Row],[الكود]],'[11]قاعدة بيانات  '!$K$3:$L$290,2,0)</f>
        <v>محمد عبدالمنعم عبدالحليم إبراهيم</v>
      </c>
      <c r="E51" s="90" t="str">
        <f>VLOOKUP(Table4[[#This Row],[الكود]],'[11]قاعدة بيانات  '!$K$3:$N$290,4,0)</f>
        <v>خدمات معاونة</v>
      </c>
      <c r="F51" s="91" t="str">
        <f>VLOOKUP(C:C,'[10]قاعدة بيانات  '!K:Q,5,0)</f>
        <v>الخدمات المعاونة</v>
      </c>
      <c r="G51" s="91" t="s">
        <v>355</v>
      </c>
      <c r="H51" s="92"/>
      <c r="I51" s="90" t="s">
        <v>382</v>
      </c>
      <c r="K51" s="93"/>
      <c r="M51" s="102">
        <v>527</v>
      </c>
      <c r="N51">
        <v>4500</v>
      </c>
      <c r="O51"/>
    </row>
    <row r="52" spans="1:15" x14ac:dyDescent="0.25">
      <c r="A52" s="89">
        <v>45950</v>
      </c>
      <c r="B52" s="90" t="str">
        <f>TEXT(Table4[[#This Row],[التاريخ ]],"mmm")</f>
        <v>Oct</v>
      </c>
      <c r="C52" s="91">
        <v>512</v>
      </c>
      <c r="D52" s="91" t="str">
        <f>VLOOKUP(Table4[[#This Row],[الكود]],'[11]قاعدة بيانات  '!$K$3:$L$290,2,0)</f>
        <v>شريهان كمال شفيق حسب الله</v>
      </c>
      <c r="E52" s="90" t="str">
        <f>VLOOKUP(Table4[[#This Row],[الكود]],'[11]قاعدة بيانات  '!$K$3:$N$290,4,0)</f>
        <v>وكيل تحصيل هاتفى</v>
      </c>
      <c r="F52" s="91" t="str">
        <f>VLOOKUP(C:C,'[10]قاعدة بيانات  '!K:Q,5,0)</f>
        <v xml:space="preserve">بنك الإسكندرية </v>
      </c>
      <c r="G52" s="91" t="s">
        <v>355</v>
      </c>
      <c r="H52" s="92"/>
      <c r="I52" s="90"/>
      <c r="K52" s="93"/>
      <c r="M52" s="103" t="s">
        <v>170</v>
      </c>
      <c r="N52">
        <v>4500</v>
      </c>
      <c r="O52"/>
    </row>
    <row r="53" spans="1:15" x14ac:dyDescent="0.25">
      <c r="A53" s="89">
        <v>45950</v>
      </c>
      <c r="B53" s="90" t="str">
        <f>TEXT(Table4[[#This Row],[التاريخ ]],"mmm")</f>
        <v>Oct</v>
      </c>
      <c r="C53" s="91">
        <v>97</v>
      </c>
      <c r="D53" s="91" t="str">
        <f>VLOOKUP(Table4[[#This Row],[الكود]],'[11]قاعدة بيانات  '!$K$3:$L$290,2,0)</f>
        <v>ندى محمد محمود عبد المقصود</v>
      </c>
      <c r="E53" s="90" t="str">
        <f>VLOOKUP(Table4[[#This Row],[الكود]],'[11]قاعدة بيانات  '!$K$3:$N$290,4,0)</f>
        <v>وكيل تحصيل هاتفى</v>
      </c>
      <c r="F53" s="91" t="str">
        <f>VLOOKUP(C:C,'[10]قاعدة بيانات  '!K:Q,5,0)</f>
        <v xml:space="preserve"> شركة ميد تقسيط</v>
      </c>
      <c r="G53" s="91" t="s">
        <v>355</v>
      </c>
      <c r="H53" s="92"/>
      <c r="I53" s="90"/>
      <c r="K53" s="93"/>
      <c r="M53" s="102">
        <v>544</v>
      </c>
      <c r="N53">
        <v>1500</v>
      </c>
      <c r="O53"/>
    </row>
    <row r="54" spans="1:15" x14ac:dyDescent="0.25">
      <c r="A54" s="89">
        <v>45950</v>
      </c>
      <c r="B54" s="90" t="str">
        <f>TEXT(Table4[[#This Row],[التاريخ ]],"mmm")</f>
        <v>Oct</v>
      </c>
      <c r="C54" s="91">
        <v>119</v>
      </c>
      <c r="D54" s="91" t="str">
        <f>VLOOKUP(Table4[[#This Row],[الكود]],'[11]قاعدة بيانات  '!$K$3:$L$290,2,0)</f>
        <v>مصطفى جميل عبد الفتاح محمد شاهين</v>
      </c>
      <c r="E54" s="90" t="str">
        <f>VLOOKUP(Table4[[#This Row],[الكود]],'[11]قاعدة بيانات  '!$K$3:$N$290,4,0)</f>
        <v>وكيل تحصيل</v>
      </c>
      <c r="F54" s="91" t="str">
        <f>VLOOKUP(C:C,'[10]قاعدة بيانات  '!K:Q,5,0)</f>
        <v>بنك كريدى اجريكول</v>
      </c>
      <c r="G54" s="91" t="s">
        <v>355</v>
      </c>
      <c r="H54" s="92"/>
      <c r="I54" s="90"/>
      <c r="K54" s="93"/>
      <c r="M54" s="103" t="s">
        <v>173</v>
      </c>
      <c r="N54">
        <v>1500</v>
      </c>
      <c r="O54"/>
    </row>
    <row r="55" spans="1:15" x14ac:dyDescent="0.25">
      <c r="A55" s="89">
        <v>45950</v>
      </c>
      <c r="B55" s="90" t="str">
        <f>TEXT(Table4[[#This Row],[التاريخ ]],"mmm")</f>
        <v>Oct</v>
      </c>
      <c r="C55" s="91">
        <v>31</v>
      </c>
      <c r="D55" s="91" t="str">
        <f>VLOOKUP(Table4[[#This Row],[الكود]],'[11]قاعدة بيانات  '!$K$3:$L$290,2,0)</f>
        <v>محمود النادى أبو الحسن احمد</v>
      </c>
      <c r="E55" s="90" t="str">
        <f>VLOOKUP(Table4[[#This Row],[الكود]],'[11]قاعدة بيانات  '!$K$3:$N$290,4,0)</f>
        <v>كبير مشرفى تحصيل</v>
      </c>
      <c r="F55" s="91" t="str">
        <f>VLOOKUP(C:C,'[10]قاعدة بيانات  '!K:Q,5,0)</f>
        <v>بنك الإسكندرية / شركة سهولة</v>
      </c>
      <c r="G55" s="91" t="s">
        <v>355</v>
      </c>
      <c r="H55" s="92"/>
      <c r="I55" s="90"/>
      <c r="K55" s="93"/>
      <c r="M55" s="102">
        <v>574</v>
      </c>
      <c r="N55"/>
      <c r="O55"/>
    </row>
    <row r="56" spans="1:15" x14ac:dyDescent="0.25">
      <c r="A56" s="89">
        <v>45951</v>
      </c>
      <c r="B56" s="90" t="str">
        <f>TEXT(Table4[[#This Row],[التاريخ ]],"mmm")</f>
        <v>Oct</v>
      </c>
      <c r="C56" s="91">
        <v>756</v>
      </c>
      <c r="D56" s="91" t="str">
        <f>VLOOKUP(Table4[[#This Row],[الكود]],'[11]قاعدة بيانات  '!$K$3:$L$290,2,0)</f>
        <v xml:space="preserve">عبدالله هاني عبد المنعم عيد </v>
      </c>
      <c r="E56" s="90" t="str">
        <f>VLOOKUP(Table4[[#This Row],[الكود]],'[11]قاعدة بيانات  '!$K$3:$N$290,4,0)</f>
        <v>وكيل تحصيل</v>
      </c>
      <c r="F56" s="90" t="e">
        <f>VLOOKUP(C:C,'[10]قاعدة بيانات  '!K:Q,5,0)</f>
        <v>#N/A</v>
      </c>
      <c r="G56" s="91" t="s">
        <v>355</v>
      </c>
      <c r="H56" s="95"/>
      <c r="I56" s="90"/>
      <c r="K56" s="93"/>
      <c r="M56" s="103" t="s">
        <v>377</v>
      </c>
      <c r="N56"/>
    </row>
    <row r="57" spans="1:15" x14ac:dyDescent="0.25">
      <c r="A57" s="89">
        <v>45951</v>
      </c>
      <c r="B57" s="90" t="str">
        <f>TEXT(Table4[[#This Row],[التاريخ ]],"mmm")</f>
        <v>Oct</v>
      </c>
      <c r="C57" s="91">
        <v>71</v>
      </c>
      <c r="D57" s="91" t="str">
        <f>VLOOKUP(Table4[[#This Row],[الكود]],'[11]قاعدة بيانات  '!$K$3:$L$290,2,0)</f>
        <v>ندى محمد سعد محمد</v>
      </c>
      <c r="E57" s="90" t="str">
        <f>VLOOKUP(Table4[[#This Row],[الكود]],'[11]قاعدة بيانات  '!$K$3:$N$290,4,0)</f>
        <v>وكيل تحصيل هاتفى</v>
      </c>
      <c r="F57" s="90" t="str">
        <f>VLOOKUP(C:C,'[10]قاعدة بيانات  '!K:Q,5,0)</f>
        <v>بنك كريدى اجريكول</v>
      </c>
      <c r="G57" s="91" t="s">
        <v>355</v>
      </c>
      <c r="H57" s="95"/>
      <c r="I57" s="90"/>
      <c r="K57" s="93"/>
      <c r="M57" s="102">
        <v>594</v>
      </c>
      <c r="N57">
        <v>600</v>
      </c>
    </row>
    <row r="58" spans="1:15" x14ac:dyDescent="0.25">
      <c r="A58" s="89">
        <v>45952</v>
      </c>
      <c r="B58" s="90" t="str">
        <f>TEXT(Table4[[#This Row],[التاريخ ]],"mmm")</f>
        <v>Oct</v>
      </c>
      <c r="C58" s="91">
        <v>527</v>
      </c>
      <c r="D58" s="91" t="str">
        <f>VLOOKUP(Table4[[#This Row],[الكود]],'[11]قاعدة بيانات  '!$K$3:$L$290,2,0)</f>
        <v>محمد محمود حسين محمود</v>
      </c>
      <c r="E58" s="90" t="str">
        <f>VLOOKUP(Table4[[#This Row],[الكود]],'[11]قاعدة بيانات  '!$K$3:$N$290,4,0)</f>
        <v>مشرف تحصيل</v>
      </c>
      <c r="F58" s="90" t="str">
        <f>VLOOKUP(C:C,'[10]قاعدة بيانات  '!K:Q,5,0)</f>
        <v>بنك الاسكندرية</v>
      </c>
      <c r="G58" s="91" t="s">
        <v>355</v>
      </c>
      <c r="H58" s="95"/>
      <c r="I58" s="90"/>
      <c r="K58" s="93"/>
      <c r="M58" s="103" t="s">
        <v>189</v>
      </c>
      <c r="N58">
        <v>600</v>
      </c>
    </row>
    <row r="59" spans="1:15" x14ac:dyDescent="0.25">
      <c r="A59" s="89">
        <v>45952</v>
      </c>
      <c r="B59" s="90" t="str">
        <f>TEXT(Table4[[#This Row],[التاريخ ]],"mmm")</f>
        <v>Oct</v>
      </c>
      <c r="C59" s="91">
        <v>45</v>
      </c>
      <c r="D59" s="91" t="str">
        <f>VLOOKUP(Table4[[#This Row],[الكود]],'[11]قاعدة بيانات  '!$K$3:$L$290,2,0)</f>
        <v>محمد مجدى ربيع عبد الغنى جاد</v>
      </c>
      <c r="E59" s="90" t="str">
        <f>VLOOKUP(Table4[[#This Row],[الكود]],'[11]قاعدة بيانات  '!$K$3:$N$290,4,0)</f>
        <v>مشرف تحصيل</v>
      </c>
      <c r="F59" s="90" t="str">
        <f>VLOOKUP(C:C,'[10]قاعدة بيانات  '!K:Q,5,0)</f>
        <v>شركة فاليو</v>
      </c>
      <c r="G59" s="91" t="s">
        <v>355</v>
      </c>
      <c r="H59" s="95"/>
      <c r="I59" s="90"/>
      <c r="K59" s="93"/>
      <c r="M59" s="102">
        <v>612</v>
      </c>
      <c r="N59">
        <v>500</v>
      </c>
    </row>
    <row r="60" spans="1:15" x14ac:dyDescent="0.25">
      <c r="A60" s="89">
        <v>45952</v>
      </c>
      <c r="B60" s="90" t="str">
        <f>TEXT(Table4[[#This Row],[التاريخ ]],"mmm")</f>
        <v>Oct</v>
      </c>
      <c r="C60" s="91">
        <v>621</v>
      </c>
      <c r="D60" s="91" t="str">
        <f>VLOOKUP(Table4[[#This Row],[الكود]],'[11]قاعدة بيانات  '!$K$3:$L$290,2,0)</f>
        <v>بسنت نصر سالم محمد سالم</v>
      </c>
      <c r="E60" s="90" t="str">
        <f>VLOOKUP(Table4[[#This Row],[الكود]],'[11]قاعدة بيانات  '!$K$3:$N$290,4,0)</f>
        <v>وكيل تحصيل هاتفى</v>
      </c>
      <c r="F60" s="90" t="e">
        <f>VLOOKUP(C:C,'[10]قاعدة بيانات  '!K:Q,5,0)</f>
        <v>#N/A</v>
      </c>
      <c r="G60" s="91" t="s">
        <v>355</v>
      </c>
      <c r="H60" s="95"/>
      <c r="I60" s="90"/>
      <c r="K60" s="93"/>
      <c r="M60" s="103" t="s">
        <v>397</v>
      </c>
      <c r="N60">
        <v>500</v>
      </c>
    </row>
    <row r="61" spans="1:15" x14ac:dyDescent="0.25">
      <c r="A61" s="89">
        <v>45953</v>
      </c>
      <c r="B61" s="90" t="str">
        <f>TEXT(Table4[[#This Row],[التاريخ ]],"mmm")</f>
        <v>Oct</v>
      </c>
      <c r="C61" s="91">
        <v>749</v>
      </c>
      <c r="D61" s="91" t="str">
        <f>VLOOKUP(Table4[[#This Row],[الكود]],'[11]قاعدة بيانات  '!$K$3:$L$290,2,0)</f>
        <v>احمد محمد مصطفى عبد الغفار</v>
      </c>
      <c r="E61" s="90" t="str">
        <f>VLOOKUP(Table4[[#This Row],[الكود]],'[11]قاعدة بيانات  '!$K$3:$N$290,4,0)</f>
        <v>وكيل تحصيل</v>
      </c>
      <c r="F61" s="90" t="e">
        <f>VLOOKUP(C:C,'[10]قاعدة بيانات  '!K:Q,5,0)</f>
        <v>#N/A</v>
      </c>
      <c r="G61" s="91" t="s">
        <v>355</v>
      </c>
      <c r="H61" s="95"/>
      <c r="I61" s="90"/>
      <c r="K61" s="93"/>
      <c r="M61" s="102">
        <v>621</v>
      </c>
      <c r="N61">
        <v>500</v>
      </c>
    </row>
    <row r="62" spans="1:15" x14ac:dyDescent="0.25">
      <c r="A62" s="96">
        <v>45953</v>
      </c>
      <c r="B62" s="97" t="str">
        <f>TEXT(Table4[[#This Row],[التاريخ ]],"mmm")</f>
        <v>Oct</v>
      </c>
      <c r="C62" s="98">
        <v>340</v>
      </c>
      <c r="D62" s="91" t="str">
        <f>VLOOKUP(Table4[[#This Row],[الكود]],'[11]قاعدة بيانات  '!$K$3:$L$290,2,0)</f>
        <v>اميرة شعراوى ابراهيم  حامد على</v>
      </c>
      <c r="E62" s="90" t="str">
        <f>VLOOKUP(Table4[[#This Row],[الكود]],'[11]قاعدة بيانات  '!$K$3:$N$290,4,0)</f>
        <v>كبير مشرفى تحصيل</v>
      </c>
      <c r="F62" s="97" t="str">
        <f>VLOOKUP(C:C,'[10]قاعدة بيانات  '!K:Q,5,0)</f>
        <v>شركة فاليو</v>
      </c>
      <c r="G62" s="91" t="s">
        <v>355</v>
      </c>
      <c r="H62" s="99"/>
      <c r="I62" s="97"/>
      <c r="K62" s="93"/>
      <c r="M62" s="103" t="s">
        <v>200</v>
      </c>
      <c r="N62">
        <v>500</v>
      </c>
    </row>
    <row r="63" spans="1:15" x14ac:dyDescent="0.25">
      <c r="A63" s="89">
        <v>45953</v>
      </c>
      <c r="B63" s="90" t="str">
        <f>TEXT(Table4[[#This Row],[التاريخ ]],"mmm")</f>
        <v>Oct</v>
      </c>
      <c r="C63" s="91">
        <v>31</v>
      </c>
      <c r="D63" s="91" t="str">
        <f>VLOOKUP(Table4[[#This Row],[الكود]],'[11]قاعدة بيانات  '!$K$3:$L$290,2,0)</f>
        <v>محمود النادى أبو الحسن احمد</v>
      </c>
      <c r="E63" s="90" t="str">
        <f>VLOOKUP(Table4[[#This Row],[الكود]],'[11]قاعدة بيانات  '!$K$3:$N$290,4,0)</f>
        <v>كبير مشرفى تحصيل</v>
      </c>
      <c r="F63" s="90" t="str">
        <f>VLOOKUP(C:C,'[10]قاعدة بيانات  '!K:Q,5,0)</f>
        <v>بنك الإسكندرية / شركة سهولة</v>
      </c>
      <c r="G63" s="91" t="s">
        <v>355</v>
      </c>
      <c r="H63" s="95"/>
      <c r="I63" s="90"/>
      <c r="K63" s="93"/>
      <c r="M63" s="102">
        <v>642</v>
      </c>
      <c r="N63">
        <v>500</v>
      </c>
    </row>
    <row r="64" spans="1:15" x14ac:dyDescent="0.25">
      <c r="A64" s="89">
        <v>45955</v>
      </c>
      <c r="B64" s="90" t="str">
        <f>TEXT(Table4[[#This Row],[التاريخ ]],"mmm")</f>
        <v>Oct</v>
      </c>
      <c r="C64" s="91">
        <v>492</v>
      </c>
      <c r="D64" s="91" t="str">
        <f>VLOOKUP(Table4[[#This Row],[الكود]],'[11]قاعدة بيانات  '!$K$3:$L$290,2,0)</f>
        <v>اسامه محمد احمد عبد الحميد</v>
      </c>
      <c r="E64" s="90" t="str">
        <f>VLOOKUP(Table4[[#This Row],[الكود]],'[11]قاعدة بيانات  '!$K$3:$N$290,4,0)</f>
        <v>الشئون القانونية</v>
      </c>
      <c r="F64" s="90" t="str">
        <f>VLOOKUP(C:C,'[10]قاعدة بيانات  '!K:Q,5,0)</f>
        <v>تحصيل / شئون قانونية</v>
      </c>
      <c r="G64" s="91" t="s">
        <v>355</v>
      </c>
      <c r="H64" s="95"/>
      <c r="I64" s="90"/>
      <c r="K64" s="93"/>
      <c r="M64" s="103" t="s">
        <v>206</v>
      </c>
      <c r="N64">
        <v>500</v>
      </c>
    </row>
    <row r="65" spans="1:14" x14ac:dyDescent="0.25">
      <c r="A65" s="89">
        <v>45955</v>
      </c>
      <c r="B65" s="90" t="str">
        <f>TEXT(Table4[[#This Row],[التاريخ ]],"mmm")</f>
        <v>Oct</v>
      </c>
      <c r="C65" s="91">
        <v>744</v>
      </c>
      <c r="D65" s="91" t="str">
        <f>VLOOKUP(Table4[[#This Row],[الكود]],'[11]قاعدة بيانات  '!$K$3:$L$290,2,0)</f>
        <v>الهام حسن عبدالمولي</v>
      </c>
      <c r="E65" s="90" t="str">
        <f>VLOOKUP(Table4[[#This Row],[الكود]],'[11]قاعدة بيانات  '!$K$3:$N$290,4,0)</f>
        <v>الشئون القانونية</v>
      </c>
      <c r="F65" s="90" t="e">
        <f>VLOOKUP(C:C,'[10]قاعدة بيانات  '!K:Q,5,0)</f>
        <v>#N/A</v>
      </c>
      <c r="G65" s="91" t="s">
        <v>355</v>
      </c>
      <c r="H65" s="95">
        <v>500</v>
      </c>
      <c r="I65" s="90" t="s">
        <v>387</v>
      </c>
      <c r="K65" s="93"/>
      <c r="M65" s="102">
        <v>655</v>
      </c>
      <c r="N65">
        <v>1000</v>
      </c>
    </row>
    <row r="66" spans="1:14" x14ac:dyDescent="0.25">
      <c r="A66" s="89">
        <v>45955</v>
      </c>
      <c r="B66" s="90" t="str">
        <f>TEXT(Table4[[#This Row],[التاريخ ]],"mmm")</f>
        <v>Oct</v>
      </c>
      <c r="C66" s="91">
        <v>749</v>
      </c>
      <c r="D66" s="91" t="str">
        <f>VLOOKUP(Table4[[#This Row],[الكود]],'[11]قاعدة بيانات  '!$K$3:$L$290,2,0)</f>
        <v>احمد محمد مصطفى عبد الغفار</v>
      </c>
      <c r="E66" s="90" t="str">
        <f>VLOOKUP(Table4[[#This Row],[الكود]],'[11]قاعدة بيانات  '!$K$3:$N$290,4,0)</f>
        <v>وكيل تحصيل</v>
      </c>
      <c r="F66" s="90" t="e">
        <f>VLOOKUP(C:C,'[10]قاعدة بيانات  '!K:Q,5,0)</f>
        <v>#N/A</v>
      </c>
      <c r="G66" s="91" t="s">
        <v>355</v>
      </c>
      <c r="H66" s="95"/>
      <c r="I66" s="90"/>
      <c r="K66" s="93"/>
      <c r="M66" s="103" t="s">
        <v>211</v>
      </c>
      <c r="N66">
        <v>1000</v>
      </c>
    </row>
    <row r="67" spans="1:14" x14ac:dyDescent="0.25">
      <c r="A67" s="89">
        <v>45957</v>
      </c>
      <c r="B67" s="90" t="str">
        <f>TEXT(Table4[[#This Row],[التاريخ ]],"mmm")</f>
        <v>Oct</v>
      </c>
      <c r="C67" s="91">
        <v>789</v>
      </c>
      <c r="D67" s="91" t="str">
        <f>VLOOKUP(Table4[[#This Row],[الكود]],'[11]قاعدة بيانات  '!$K$3:$L$290,2,0)</f>
        <v xml:space="preserve">فاطمه سيد محمد البعرور </v>
      </c>
      <c r="E67" s="90" t="str">
        <f>VLOOKUP(Table4[[#This Row],[الكود]],'[11]قاعدة بيانات  '!$K$3:$N$290,4,0)</f>
        <v>خدمات معاونة</v>
      </c>
      <c r="F67" s="90" t="e">
        <f>VLOOKUP(C:C,'[10]قاعدة بيانات  '!K:Q,5,0)</f>
        <v>#N/A</v>
      </c>
      <c r="G67" s="91" t="s">
        <v>355</v>
      </c>
      <c r="H67" s="95"/>
      <c r="I67" s="90"/>
      <c r="K67" s="93"/>
      <c r="M67" s="102">
        <v>657</v>
      </c>
      <c r="N67">
        <v>1000</v>
      </c>
    </row>
    <row r="68" spans="1:14" x14ac:dyDescent="0.25">
      <c r="A68" s="89">
        <v>45957</v>
      </c>
      <c r="B68" s="90" t="str">
        <f>TEXT(Table4[[#This Row],[التاريخ ]],"mmm")</f>
        <v>Oct</v>
      </c>
      <c r="C68" s="91">
        <v>31</v>
      </c>
      <c r="D68" s="91" t="str">
        <f>VLOOKUP(Table4[[#This Row],[الكود]],'[11]قاعدة بيانات  '!$K$3:$L$290,2,0)</f>
        <v>محمود النادى أبو الحسن احمد</v>
      </c>
      <c r="E68" s="90" t="str">
        <f>VLOOKUP(Table4[[#This Row],[الكود]],'[11]قاعدة بيانات  '!$K$3:$N$290,4,0)</f>
        <v>كبير مشرفى تحصيل</v>
      </c>
      <c r="F68" s="90" t="str">
        <f>VLOOKUP(C:C,'[10]قاعدة بيانات  '!K:Q,5,0)</f>
        <v>بنك الإسكندرية / شركة سهولة</v>
      </c>
      <c r="G68" s="91" t="s">
        <v>355</v>
      </c>
      <c r="H68" s="95"/>
      <c r="I68" s="90"/>
      <c r="K68" s="93"/>
      <c r="M68" s="103" t="s">
        <v>380</v>
      </c>
      <c r="N68">
        <v>1000</v>
      </c>
    </row>
    <row r="69" spans="1:14" x14ac:dyDescent="0.25">
      <c r="A69" s="89">
        <v>45965</v>
      </c>
      <c r="B69" s="90" t="str">
        <f>TEXT(Table4[[#This Row],[التاريخ ]],"mmm")</f>
        <v>Nov</v>
      </c>
      <c r="C69" s="91">
        <v>197</v>
      </c>
      <c r="D69" s="91" t="str">
        <f>VLOOKUP(Table4[[#This Row],[الكود]],'[11]قاعدة بيانات  '!$K$3:$L$290,2,0)</f>
        <v xml:space="preserve">احمد مجدى بكر على </v>
      </c>
      <c r="E69" s="90" t="str">
        <f>VLOOKUP(Table4[[#This Row],[الكود]],'[11]قاعدة بيانات  '!$K$3:$N$290,4,0)</f>
        <v>وكيل تحصيل</v>
      </c>
      <c r="F69" s="90" t="str">
        <f>VLOOKUP(C:C,'[10]قاعدة بيانات  '!K:Q,5,0)</f>
        <v>شركة فاليو</v>
      </c>
      <c r="G69" s="91" t="s">
        <v>355</v>
      </c>
      <c r="H69" s="95">
        <v>3000</v>
      </c>
      <c r="I69" s="90" t="s">
        <v>375</v>
      </c>
      <c r="K69" s="93"/>
      <c r="M69" s="102">
        <v>675</v>
      </c>
      <c r="N69"/>
    </row>
    <row r="70" spans="1:14" x14ac:dyDescent="0.25">
      <c r="A70" s="89">
        <v>45969</v>
      </c>
      <c r="B70" s="90" t="str">
        <f>TEXT(Table4[[#This Row],[التاريخ ]],"mmm")</f>
        <v>Nov</v>
      </c>
      <c r="C70" s="91">
        <v>657</v>
      </c>
      <c r="D70" s="91" t="str">
        <f>VLOOKUP(Table4[[#This Row],[الكود]],'[11]قاعدة بيانات  '!$K$3:$L$290,2,0)</f>
        <v>محمود فوزى بخيت</v>
      </c>
      <c r="E70" s="90" t="str">
        <f>VLOOKUP(Table4[[#This Row],[الكود]],'[11]قاعدة بيانات  '!$K$3:$N$290,4,0)</f>
        <v>مشرف تحصيل</v>
      </c>
      <c r="F70" s="90" t="e">
        <f>VLOOKUP(C:C,'[10]قاعدة بيانات  '!K:Q,5,0)</f>
        <v>#N/A</v>
      </c>
      <c r="G70" s="91" t="s">
        <v>355</v>
      </c>
      <c r="H70" s="95">
        <v>500</v>
      </c>
      <c r="I70" s="90"/>
      <c r="K70" s="93"/>
      <c r="M70" s="103" t="s">
        <v>221</v>
      </c>
      <c r="N70"/>
    </row>
    <row r="71" spans="1:14" x14ac:dyDescent="0.25">
      <c r="A71" s="89">
        <v>45969</v>
      </c>
      <c r="B71" s="90" t="str">
        <f>TEXT(Table4[[#This Row],[التاريخ ]],"mmm")</f>
        <v>Nov</v>
      </c>
      <c r="C71" s="91">
        <v>119</v>
      </c>
      <c r="D71" s="91" t="str">
        <f>VLOOKUP(Table4[[#This Row],[الكود]],'[11]قاعدة بيانات  '!$K$3:$L$290,2,0)</f>
        <v>مصطفى جميل عبد الفتاح محمد شاهين</v>
      </c>
      <c r="E71" s="90" t="str">
        <f>VLOOKUP(Table4[[#This Row],[الكود]],'[11]قاعدة بيانات  '!$K$3:$N$290,4,0)</f>
        <v>وكيل تحصيل</v>
      </c>
      <c r="F71" s="90" t="str">
        <f>VLOOKUP(C:C,'[10]قاعدة بيانات  '!K:Q,5,0)</f>
        <v>بنك كريدى اجريكول</v>
      </c>
      <c r="G71" s="91" t="s">
        <v>355</v>
      </c>
      <c r="H71" s="95">
        <v>3000</v>
      </c>
      <c r="I71" s="90" t="s">
        <v>388</v>
      </c>
      <c r="K71" s="93"/>
      <c r="M71" s="102">
        <v>701</v>
      </c>
      <c r="N71">
        <v>1000</v>
      </c>
    </row>
    <row r="72" spans="1:14" x14ac:dyDescent="0.25">
      <c r="A72" s="89">
        <v>45969</v>
      </c>
      <c r="B72" s="90" t="str">
        <f>TEXT(Table4[[#This Row],[التاريخ ]],"mmm")</f>
        <v>Nov</v>
      </c>
      <c r="C72" s="91">
        <v>515</v>
      </c>
      <c r="D72" s="91" t="str">
        <f>VLOOKUP(Table4[[#This Row],[الكود]],'[11]قاعدة بيانات  '!$K$3:$L$290,2,0)</f>
        <v>محمد عبدالمنعم عبدالحليم إبراهيم</v>
      </c>
      <c r="E72" s="90" t="str">
        <f>VLOOKUP(Table4[[#This Row],[الكود]],'[11]قاعدة بيانات  '!$K$3:$N$290,4,0)</f>
        <v>خدمات معاونة</v>
      </c>
      <c r="F72" s="90" t="str">
        <f>VLOOKUP(C:C,'[10]قاعدة بيانات  '!K:Q,5,0)</f>
        <v>الخدمات المعاونة</v>
      </c>
      <c r="G72" s="91" t="s">
        <v>355</v>
      </c>
      <c r="H72" s="95">
        <v>2000</v>
      </c>
      <c r="I72" s="90"/>
      <c r="K72" s="93"/>
      <c r="M72" s="103" t="s">
        <v>374</v>
      </c>
      <c r="N72">
        <v>1000</v>
      </c>
    </row>
    <row r="73" spans="1:14" x14ac:dyDescent="0.25">
      <c r="A73" s="89">
        <v>45969</v>
      </c>
      <c r="B73" s="90" t="str">
        <f>TEXT(Table4[[#This Row],[التاريخ ]],"mmm")</f>
        <v>Nov</v>
      </c>
      <c r="C73" s="91">
        <v>527</v>
      </c>
      <c r="D73" s="91" t="str">
        <f>VLOOKUP(Table4[[#This Row],[الكود]],'[11]قاعدة بيانات  '!$K$3:$L$290,2,0)</f>
        <v>محمد محمود حسين محمود</v>
      </c>
      <c r="E73" s="90" t="str">
        <f>VLOOKUP(Table4[[#This Row],[الكود]],'[11]قاعدة بيانات  '!$K$3:$N$290,4,0)</f>
        <v>مشرف تحصيل</v>
      </c>
      <c r="F73" s="90" t="str">
        <f>VLOOKUP(C:C,'[10]قاعدة بيانات  '!K:Q,5,0)</f>
        <v>بنك الاسكندرية</v>
      </c>
      <c r="G73" s="91" t="s">
        <v>355</v>
      </c>
      <c r="H73" s="95">
        <v>4000</v>
      </c>
      <c r="I73" s="90" t="s">
        <v>389</v>
      </c>
      <c r="K73" s="93"/>
      <c r="M73" s="102">
        <v>702</v>
      </c>
      <c r="N73">
        <v>500</v>
      </c>
    </row>
    <row r="74" spans="1:14" x14ac:dyDescent="0.25">
      <c r="A74" s="89">
        <v>45970</v>
      </c>
      <c r="B74" s="90" t="str">
        <f>TEXT(Table4[[#This Row],[التاريخ ]],"mmm")</f>
        <v>Nov</v>
      </c>
      <c r="C74" s="91">
        <v>655</v>
      </c>
      <c r="D74" s="91" t="str">
        <f>VLOOKUP(Table4[[#This Row],[الكود]],'[11]قاعدة بيانات  '!$K$3:$L$290,2,0)</f>
        <v>احمد عبدالعزيز إبراهيم عبدالعزيز</v>
      </c>
      <c r="E74" s="90" t="s">
        <v>78</v>
      </c>
      <c r="F74" s="90" t="e">
        <f>VLOOKUP(C:C,'[10]قاعدة بيانات  '!K:Q,5,0)</f>
        <v>#N/A</v>
      </c>
      <c r="G74" s="91" t="s">
        <v>355</v>
      </c>
      <c r="H74" s="95">
        <v>1000</v>
      </c>
      <c r="I74" s="90" t="s">
        <v>390</v>
      </c>
      <c r="K74" s="93"/>
      <c r="M74" s="103" t="s">
        <v>230</v>
      </c>
      <c r="N74">
        <v>500</v>
      </c>
    </row>
    <row r="75" spans="1:14" x14ac:dyDescent="0.25">
      <c r="A75" s="89">
        <v>45971</v>
      </c>
      <c r="B75" s="90" t="str">
        <f>TEXT(Table4[[#This Row],[التاريخ ]],"mmm")</f>
        <v>Nov</v>
      </c>
      <c r="C75" s="91">
        <v>332</v>
      </c>
      <c r="D75" s="91" t="str">
        <f>VLOOKUP(Table4[[#This Row],[الكود]],'[11]قاعدة بيانات  '!$K$3:$L$290,2,0)</f>
        <v xml:space="preserve">إسماعيل سلامه إسماعيل بركات </v>
      </c>
      <c r="E75" s="90" t="str">
        <f>VLOOKUP(Table4[[#This Row],[الكود]],'[11]قاعدة بيانات  '!$K$3:$N$290,4,0)</f>
        <v>وكيل تحصيل</v>
      </c>
      <c r="F75" s="90" t="str">
        <f>VLOOKUP(C:C,'[10]قاعدة بيانات  '!K:Q,5,0)</f>
        <v>شركة ميد تقسيط</v>
      </c>
      <c r="G75" s="91" t="s">
        <v>355</v>
      </c>
      <c r="H75" s="95">
        <v>1000</v>
      </c>
      <c r="I75" s="90"/>
      <c r="K75" s="93"/>
      <c r="M75" s="102">
        <v>705</v>
      </c>
      <c r="N75">
        <v>500</v>
      </c>
    </row>
    <row r="76" spans="1:14" x14ac:dyDescent="0.25">
      <c r="A76" s="89">
        <v>45971</v>
      </c>
      <c r="B76" s="90" t="str">
        <f>TEXT(Table4[[#This Row],[التاريخ ]],"mmm")</f>
        <v>Nov</v>
      </c>
      <c r="C76" s="91">
        <v>731</v>
      </c>
      <c r="D76" s="91" t="str">
        <f>VLOOKUP(Table4[[#This Row],[الكود]],'[11]قاعدة بيانات  '!$K$3:$L$290,2,0)</f>
        <v>يوسف تامر محمد</v>
      </c>
      <c r="E76" s="90" t="str">
        <f>VLOOKUP(Table4[[#This Row],[الكود]],'[11]قاعدة بيانات  '!$K$3:$N$290,4,0)</f>
        <v>وكيل تحصيل</v>
      </c>
      <c r="F76" s="90" t="e">
        <f>VLOOKUP(C:C,'[10]قاعدة بيانات  '!K:Q,5,0)</f>
        <v>#N/A</v>
      </c>
      <c r="G76" s="91" t="s">
        <v>355</v>
      </c>
      <c r="H76" s="95">
        <v>1500</v>
      </c>
      <c r="I76" s="90"/>
      <c r="K76" s="93"/>
      <c r="M76" s="103" t="s">
        <v>403</v>
      </c>
      <c r="N76">
        <v>500</v>
      </c>
    </row>
    <row r="77" spans="1:14" x14ac:dyDescent="0.25">
      <c r="A77" s="89">
        <v>45972</v>
      </c>
      <c r="B77" s="90" t="str">
        <f>TEXT(Table4[[#This Row],[التاريخ ]],"mmm")</f>
        <v>Nov</v>
      </c>
      <c r="C77" s="91">
        <v>749</v>
      </c>
      <c r="D77" s="91" t="str">
        <f>VLOOKUP(Table4[[#This Row],[الكود]],'[11]قاعدة بيانات  '!$K$3:$L$290,2,0)</f>
        <v>احمد محمد مصطفى عبد الغفار</v>
      </c>
      <c r="E77" s="90" t="str">
        <f>VLOOKUP(Table4[[#This Row],[الكود]],'[11]قاعدة بيانات  '!$K$3:$N$290,4,0)</f>
        <v>وكيل تحصيل</v>
      </c>
      <c r="F77" s="90" t="e">
        <f>VLOOKUP(C:C,'[10]قاعدة بيانات  '!K:Q,5,0)</f>
        <v>#N/A</v>
      </c>
      <c r="G77" s="91" t="s">
        <v>355</v>
      </c>
      <c r="H77" s="95">
        <v>1000</v>
      </c>
      <c r="I77" s="90"/>
      <c r="K77" s="93"/>
      <c r="M77" s="102">
        <v>707</v>
      </c>
      <c r="N77">
        <v>200</v>
      </c>
    </row>
    <row r="78" spans="1:14" x14ac:dyDescent="0.25">
      <c r="A78" s="89">
        <v>45972</v>
      </c>
      <c r="B78" s="90" t="str">
        <f>TEXT(Table4[[#This Row],[التاريخ ]],"mmm")</f>
        <v>Nov</v>
      </c>
      <c r="C78" s="91">
        <v>747</v>
      </c>
      <c r="D78" s="91" t="str">
        <f>VLOOKUP(Table4[[#This Row],[الكود]],'[11]قاعدة بيانات  '!$K$3:$L$290,2,0)</f>
        <v>هاله محمد موسى</v>
      </c>
      <c r="E78" s="90" t="str">
        <f>VLOOKUP(Table4[[#This Row],[الكود]],'[11]قاعدة بيانات  '!$K$3:$N$290,4,0)</f>
        <v>خدمات معاونة</v>
      </c>
      <c r="F78" s="90" t="e">
        <f>VLOOKUP(C:C,'[10]قاعدة بيانات  '!K:Q,5,0)</f>
        <v>#N/A</v>
      </c>
      <c r="G78" s="91" t="s">
        <v>355</v>
      </c>
      <c r="H78" s="95">
        <v>500</v>
      </c>
      <c r="I78" s="90" t="s">
        <v>391</v>
      </c>
      <c r="K78" s="93"/>
      <c r="M78" s="103" t="s">
        <v>399</v>
      </c>
      <c r="N78">
        <v>200</v>
      </c>
    </row>
    <row r="79" spans="1:14" x14ac:dyDescent="0.25">
      <c r="A79" s="89">
        <v>45972</v>
      </c>
      <c r="B79" s="90" t="str">
        <f>TEXT(Table4[[#This Row],[التاريخ ]],"mmm")</f>
        <v>Nov</v>
      </c>
      <c r="C79" s="91">
        <v>594</v>
      </c>
      <c r="D79" s="91" t="str">
        <f>VLOOKUP(Table4[[#This Row],[الكود]],'[11]قاعدة بيانات  '!$K$3:$L$290,2,0)</f>
        <v>امنيه وليد احمد توفيق</v>
      </c>
      <c r="E79" s="90" t="str">
        <f>VLOOKUP(Table4[[#This Row],[الكود]],'[11]قاعدة بيانات  '!$K$3:$N$290,4,0)</f>
        <v>وكيل تحصيل هاتفى</v>
      </c>
      <c r="F79" s="90" t="e">
        <f>VLOOKUP(C:C,'[10]قاعدة بيانات  '!K:Q,5,0)</f>
        <v>#N/A</v>
      </c>
      <c r="G79" s="91" t="s">
        <v>355</v>
      </c>
      <c r="H79" s="95">
        <v>600</v>
      </c>
      <c r="I79" s="90"/>
      <c r="K79" s="93"/>
      <c r="M79" s="102">
        <v>710</v>
      </c>
      <c r="N79"/>
    </row>
    <row r="80" spans="1:14" x14ac:dyDescent="0.25">
      <c r="A80" s="89">
        <v>45972</v>
      </c>
      <c r="B80" s="90" t="str">
        <f>TEXT(Table4[[#This Row],[التاريخ ]],"mmm")</f>
        <v>Nov</v>
      </c>
      <c r="C80" s="91">
        <v>31</v>
      </c>
      <c r="D80" s="91" t="str">
        <f>VLOOKUP(Table4[[#This Row],[الكود]],'[11]قاعدة بيانات  '!$K$3:$L$290,2,0)</f>
        <v>محمود النادى أبو الحسن احمد</v>
      </c>
      <c r="E80" s="90" t="str">
        <f>VLOOKUP(Table4[[#This Row],[الكود]],'[11]قاعدة بيانات  '!$K$3:$N$290,4,0)</f>
        <v>كبير مشرفى تحصيل</v>
      </c>
      <c r="F80" s="90" t="str">
        <f>VLOOKUP(C:C,'[10]قاعدة بيانات  '!K:Q,5,0)</f>
        <v>بنك الإسكندرية / شركة سهولة</v>
      </c>
      <c r="G80" s="91" t="s">
        <v>355</v>
      </c>
      <c r="H80" s="95">
        <v>1000</v>
      </c>
      <c r="I80" s="90"/>
      <c r="K80" s="93"/>
      <c r="M80" s="103" t="s">
        <v>401</v>
      </c>
      <c r="N80"/>
    </row>
    <row r="81" spans="1:14" x14ac:dyDescent="0.25">
      <c r="A81" s="89">
        <v>45973</v>
      </c>
      <c r="B81" s="90" t="str">
        <f>TEXT(Table4[[#This Row],[التاريخ ]],"mmm")</f>
        <v>Nov</v>
      </c>
      <c r="C81" s="91">
        <v>45</v>
      </c>
      <c r="D81" s="91" t="str">
        <f>VLOOKUP(Table4[[#This Row],[الكود]],'[11]قاعدة بيانات  '!$K$3:$L$290,2,0)</f>
        <v>محمد مجدى ربيع عبد الغنى جاد</v>
      </c>
      <c r="E81" s="90" t="str">
        <f>VLOOKUP(Table4[[#This Row],[الكود]],'[11]قاعدة بيانات  '!$K$3:$N$290,4,0)</f>
        <v>مشرف تحصيل</v>
      </c>
      <c r="F81" s="90" t="str">
        <f>VLOOKUP(C:C,'[10]قاعدة بيانات  '!K:Q,5,0)</f>
        <v>شركة فاليو</v>
      </c>
      <c r="G81" s="91" t="s">
        <v>355</v>
      </c>
      <c r="H81" s="95">
        <v>3000</v>
      </c>
      <c r="I81" s="90" t="s">
        <v>375</v>
      </c>
      <c r="K81" s="93"/>
      <c r="M81" s="102">
        <v>723</v>
      </c>
      <c r="N81"/>
    </row>
    <row r="82" spans="1:14" x14ac:dyDescent="0.25">
      <c r="A82" s="89">
        <v>45974</v>
      </c>
      <c r="B82" s="90" t="str">
        <f>TEXT(Table4[[#This Row],[التاريخ ]],"mmm")</f>
        <v>Nov</v>
      </c>
      <c r="C82" s="91">
        <v>774</v>
      </c>
      <c r="D82" s="91" t="str">
        <f>VLOOKUP(Table4[[#This Row],[الكود]],'[11]قاعدة بيانات  '!$K$3:$L$290,2,0)</f>
        <v>احمد سعيد محمود</v>
      </c>
      <c r="E82" s="90" t="str">
        <f>VLOOKUP(Table4[[#This Row],[الكود]],'[11]قاعدة بيانات  '!$K$3:$N$290,4,0)</f>
        <v>وكيل تحصيل</v>
      </c>
      <c r="F82" s="90" t="e">
        <f>VLOOKUP(C:C,'[10]قاعدة بيانات  '!K:Q,5,0)</f>
        <v>#N/A</v>
      </c>
      <c r="G82" s="91" t="s">
        <v>355</v>
      </c>
      <c r="H82" s="95">
        <v>300</v>
      </c>
      <c r="I82" s="90"/>
      <c r="K82" s="93"/>
      <c r="M82" s="103" t="s">
        <v>404</v>
      </c>
      <c r="N82"/>
    </row>
    <row r="83" spans="1:14" x14ac:dyDescent="0.25">
      <c r="A83" s="89">
        <v>45974</v>
      </c>
      <c r="B83" s="90" t="str">
        <f>TEXT(Table4[[#This Row],[التاريخ ]],"mmm")</f>
        <v>Nov</v>
      </c>
      <c r="C83" s="91">
        <v>756</v>
      </c>
      <c r="D83" s="91" t="str">
        <f>VLOOKUP(Table4[[#This Row],[الكود]],'[11]قاعدة بيانات  '!$K$3:$L$290,2,0)</f>
        <v xml:space="preserve">عبدالله هاني عبد المنعم عيد </v>
      </c>
      <c r="E83" s="90" t="str">
        <f>VLOOKUP(Table4[[#This Row],[الكود]],'[11]قاعدة بيانات  '!$K$3:$N$290,4,0)</f>
        <v>وكيل تحصيل</v>
      </c>
      <c r="F83" s="90" t="e">
        <f>VLOOKUP(C:C,'[10]قاعدة بيانات  '!K:Q,5,0)</f>
        <v>#N/A</v>
      </c>
      <c r="G83" s="91" t="s">
        <v>355</v>
      </c>
      <c r="H83" s="95">
        <v>300</v>
      </c>
      <c r="I83" s="90"/>
      <c r="K83" s="93"/>
      <c r="M83" s="102">
        <v>731</v>
      </c>
      <c r="N83">
        <v>1500</v>
      </c>
    </row>
    <row r="84" spans="1:14" x14ac:dyDescent="0.25">
      <c r="A84" s="89">
        <v>45977</v>
      </c>
      <c r="B84" s="90" t="str">
        <f>TEXT(Table4[[#This Row],[التاريخ ]],"mmm")</f>
        <v>Nov</v>
      </c>
      <c r="C84" s="91">
        <v>621</v>
      </c>
      <c r="D84" s="91" t="str">
        <f>VLOOKUP(Table4[[#This Row],[الكود]],'[11]قاعدة بيانات  '!$K$3:$L$290,2,0)</f>
        <v>بسنت نصر سالم محمد سالم</v>
      </c>
      <c r="E84" s="90" t="str">
        <f>VLOOKUP(Table4[[#This Row],[الكود]],'[11]قاعدة بيانات  '!$K$3:$N$290,4,0)</f>
        <v>وكيل تحصيل هاتفى</v>
      </c>
      <c r="F84" s="90" t="e">
        <f>VLOOKUP(C:C,'[10]قاعدة بيانات  '!K:Q,5,0)</f>
        <v>#N/A</v>
      </c>
      <c r="G84" s="91" t="s">
        <v>355</v>
      </c>
      <c r="H84" s="95">
        <v>500</v>
      </c>
      <c r="I84" s="90"/>
      <c r="K84" s="93"/>
      <c r="M84" s="103" t="s">
        <v>381</v>
      </c>
      <c r="N84">
        <v>1500</v>
      </c>
    </row>
    <row r="85" spans="1:14" x14ac:dyDescent="0.25">
      <c r="A85" s="89">
        <v>45977</v>
      </c>
      <c r="B85" s="90" t="str">
        <f>TEXT(Table4[[#This Row],[التاريخ ]],"mmm")</f>
        <v>Nov</v>
      </c>
      <c r="C85" s="91">
        <v>512</v>
      </c>
      <c r="D85" s="91" t="str">
        <f>VLOOKUP(Table4[[#This Row],[الكود]],'[11]قاعدة بيانات  '!$K$3:$L$290,2,0)</f>
        <v>شريهان كمال شفيق حسب الله</v>
      </c>
      <c r="E85" s="90" t="str">
        <f>VLOOKUP(Table4[[#This Row],[الكود]],'[11]قاعدة بيانات  '!$K$3:$N$290,4,0)</f>
        <v>وكيل تحصيل هاتفى</v>
      </c>
      <c r="F85" s="90" t="str">
        <f>VLOOKUP(C:C,'[10]قاعدة بيانات  '!K:Q,5,0)</f>
        <v xml:space="preserve">بنك الإسكندرية </v>
      </c>
      <c r="G85" s="91" t="s">
        <v>355</v>
      </c>
      <c r="H85" s="95">
        <v>300</v>
      </c>
      <c r="I85" s="90"/>
      <c r="K85" s="93"/>
      <c r="M85" s="102">
        <v>734</v>
      </c>
      <c r="N85"/>
    </row>
    <row r="86" spans="1:14" x14ac:dyDescent="0.25">
      <c r="A86" s="89">
        <v>45977</v>
      </c>
      <c r="B86" s="90" t="str">
        <f>TEXT(Table4[[#This Row],[التاريخ ]],"mmm")</f>
        <v>Nov</v>
      </c>
      <c r="C86" s="91">
        <v>657</v>
      </c>
      <c r="D86" s="91" t="str">
        <f>VLOOKUP(Table4[[#This Row],[الكود]],'[11]قاعدة بيانات  '!$K$3:$L$290,2,0)</f>
        <v>محمود فوزى بخيت</v>
      </c>
      <c r="E86" s="90" t="str">
        <f>VLOOKUP(Table4[[#This Row],[الكود]],'[11]قاعدة بيانات  '!$K$3:$N$290,4,0)</f>
        <v>مشرف تحصيل</v>
      </c>
      <c r="F86" s="90" t="e">
        <f>VLOOKUP(C:C,'[10]قاعدة بيانات  '!K:Q,5,0)</f>
        <v>#N/A</v>
      </c>
      <c r="G86" s="91" t="s">
        <v>355</v>
      </c>
      <c r="H86" s="95">
        <v>500</v>
      </c>
      <c r="I86" s="90"/>
      <c r="K86" s="93"/>
      <c r="M86" s="103" t="s">
        <v>400</v>
      </c>
      <c r="N86"/>
    </row>
    <row r="87" spans="1:14" x14ac:dyDescent="0.25">
      <c r="A87" s="89">
        <v>45978</v>
      </c>
      <c r="B87" s="90" t="str">
        <f>TEXT(Table4[[#This Row],[التاريخ ]],"mmm")</f>
        <v>Nov</v>
      </c>
      <c r="C87" s="91">
        <v>54</v>
      </c>
      <c r="D87" s="91" t="str">
        <f>VLOOKUP(Table4[[#This Row],[الكود]],'[11]قاعدة بيانات  '!$K$3:$L$290,2,0)</f>
        <v>رحاب عبد الهادى احمد بدوى</v>
      </c>
      <c r="E87" s="90" t="str">
        <f>VLOOKUP(Table4[[#This Row],[الكود]],'[11]قاعدة بيانات  '!$K$3:$N$290,4,0)</f>
        <v>مشرف تحصيل</v>
      </c>
      <c r="F87" s="90" t="str">
        <f>VLOOKUP(C:C,'[10]قاعدة بيانات  '!K:Q,5,0)</f>
        <v>بنك الإسكندرية / شركة سهولة</v>
      </c>
      <c r="G87" s="91" t="s">
        <v>355</v>
      </c>
      <c r="H87" s="95">
        <v>500</v>
      </c>
      <c r="I87" s="90"/>
      <c r="K87" s="93"/>
      <c r="M87" s="102">
        <v>738</v>
      </c>
      <c r="N87"/>
    </row>
    <row r="88" spans="1:14" x14ac:dyDescent="0.25">
      <c r="A88" s="89">
        <v>45978</v>
      </c>
      <c r="B88" s="90" t="str">
        <f>TEXT(Table4[[#This Row],[التاريخ ]],"mmm")</f>
        <v>Nov</v>
      </c>
      <c r="C88" s="91">
        <v>119</v>
      </c>
      <c r="D88" s="91" t="str">
        <f>VLOOKUP(Table4[[#This Row],[الكود]],'[11]قاعدة بيانات  '!$K$3:$L$290,2,0)</f>
        <v>مصطفى جميل عبد الفتاح محمد شاهين</v>
      </c>
      <c r="E88" s="90" t="str">
        <f>VLOOKUP(Table4[[#This Row],[الكود]],'[11]قاعدة بيانات  '!$K$3:$N$290,4,0)</f>
        <v>وكيل تحصيل</v>
      </c>
      <c r="F88" s="90" t="str">
        <f>VLOOKUP(C:C,'[10]قاعدة بيانات  '!K:Q,5,0)</f>
        <v>بنك كريدى اجريكول</v>
      </c>
      <c r="G88" s="91" t="s">
        <v>355</v>
      </c>
      <c r="H88" s="95">
        <v>500</v>
      </c>
      <c r="I88" s="90"/>
      <c r="K88" s="93"/>
      <c r="M88" s="103" t="s">
        <v>250</v>
      </c>
      <c r="N88"/>
    </row>
    <row r="89" spans="1:14" x14ac:dyDescent="0.25">
      <c r="A89" s="89">
        <v>45978</v>
      </c>
      <c r="B89" s="90" t="str">
        <f>TEXT(Table4[[#This Row],[التاريخ ]],"mmm")</f>
        <v>Nov</v>
      </c>
      <c r="C89" s="91">
        <v>71</v>
      </c>
      <c r="D89" s="91" t="str">
        <f>VLOOKUP(Table4[[#This Row],[الكود]],'[11]قاعدة بيانات  '!$K$3:$L$290,2,0)</f>
        <v>ندى محمد سعد محمد</v>
      </c>
      <c r="E89" s="90" t="str">
        <f>VLOOKUP(Table4[[#This Row],[الكود]],'[11]قاعدة بيانات  '!$K$3:$N$290,4,0)</f>
        <v>وكيل تحصيل هاتفى</v>
      </c>
      <c r="F89" s="90" t="str">
        <f>VLOOKUP(C:C,'[10]قاعدة بيانات  '!K:Q,5,0)</f>
        <v>بنك كريدى اجريكول</v>
      </c>
      <c r="G89" s="91" t="s">
        <v>355</v>
      </c>
      <c r="H89" s="95">
        <v>500</v>
      </c>
      <c r="I89" s="90"/>
      <c r="K89" s="93"/>
      <c r="M89" s="102">
        <v>744</v>
      </c>
      <c r="N89">
        <v>500</v>
      </c>
    </row>
    <row r="90" spans="1:14" x14ac:dyDescent="0.25">
      <c r="A90" s="89">
        <v>45978</v>
      </c>
      <c r="B90" s="90" t="str">
        <f>TEXT(Table4[[#This Row],[التاريخ ]],"mmm")</f>
        <v>Nov</v>
      </c>
      <c r="C90" s="91">
        <v>31</v>
      </c>
      <c r="D90" s="91" t="str">
        <f>VLOOKUP(Table4[[#This Row],[الكود]],'[11]قاعدة بيانات  '!$K$3:$L$290,2,0)</f>
        <v>محمود النادى أبو الحسن احمد</v>
      </c>
      <c r="E90" s="90" t="str">
        <f>VLOOKUP(Table4[[#This Row],[الكود]],'[11]قاعدة بيانات  '!$K$3:$N$290,4,0)</f>
        <v>كبير مشرفى تحصيل</v>
      </c>
      <c r="F90" s="90" t="str">
        <f>VLOOKUP(C:C,'[10]قاعدة بيانات  '!K:Q,5,0)</f>
        <v>بنك الإسكندرية / شركة سهولة</v>
      </c>
      <c r="G90" s="91" t="s">
        <v>355</v>
      </c>
      <c r="H90" s="95">
        <v>500</v>
      </c>
      <c r="I90" s="90"/>
      <c r="K90" s="93"/>
      <c r="M90" s="103" t="s">
        <v>398</v>
      </c>
      <c r="N90">
        <v>500</v>
      </c>
    </row>
    <row r="91" spans="1:14" x14ac:dyDescent="0.25">
      <c r="A91" s="89">
        <v>45978</v>
      </c>
      <c r="B91" s="90" t="str">
        <f>TEXT(Table4[[#This Row],[التاريخ ]],"mmm")</f>
        <v>Nov</v>
      </c>
      <c r="C91" s="91">
        <v>197</v>
      </c>
      <c r="D91" s="91" t="str">
        <f>VLOOKUP(Table4[[#This Row],[الكود]],'[11]قاعدة بيانات  '!$K$3:$L$290,2,0)</f>
        <v xml:space="preserve">احمد مجدى بكر على </v>
      </c>
      <c r="E91" s="90" t="str">
        <f>VLOOKUP(Table4[[#This Row],[الكود]],'[11]قاعدة بيانات  '!$K$3:$N$290,4,0)</f>
        <v>وكيل تحصيل</v>
      </c>
      <c r="F91" s="90" t="str">
        <f>VLOOKUP(C:C,'[10]قاعدة بيانات  '!K:Q,5,0)</f>
        <v>شركة فاليو</v>
      </c>
      <c r="G91" s="91" t="s">
        <v>355</v>
      </c>
      <c r="H91" s="95">
        <v>2000</v>
      </c>
      <c r="I91" s="90" t="s">
        <v>375</v>
      </c>
      <c r="K91" s="93"/>
      <c r="M91" s="102">
        <v>747</v>
      </c>
      <c r="N91">
        <v>500</v>
      </c>
    </row>
    <row r="92" spans="1:14" x14ac:dyDescent="0.25">
      <c r="A92" s="89">
        <v>45979</v>
      </c>
      <c r="B92" s="90" t="str">
        <f>TEXT(Table4[[#This Row],[التاريخ ]],"mmm")</f>
        <v>Nov</v>
      </c>
      <c r="C92" s="91">
        <v>705</v>
      </c>
      <c r="D92" s="91" t="str">
        <f>VLOOKUP(Table4[[#This Row],[الكود]],'[11]قاعدة بيانات  '!$K$3:$L$290,2,0)</f>
        <v>محمود مصطفى محمود</v>
      </c>
      <c r="E92" s="90" t="s">
        <v>139</v>
      </c>
      <c r="F92" s="90" t="e">
        <f>VLOOKUP(C:C,'[10]قاعدة بيانات  '!K:Q,5,0)</f>
        <v>#N/A</v>
      </c>
      <c r="G92" s="91" t="s">
        <v>355</v>
      </c>
      <c r="H92" s="95">
        <v>500</v>
      </c>
      <c r="I92" s="90"/>
      <c r="K92" s="93"/>
      <c r="M92" s="103" t="s">
        <v>405</v>
      </c>
      <c r="N92">
        <v>500</v>
      </c>
    </row>
    <row r="93" spans="1:14" x14ac:dyDescent="0.25">
      <c r="A93" s="89">
        <v>45979</v>
      </c>
      <c r="B93" s="97" t="str">
        <f>TEXT(Table4[[#This Row],[التاريخ ]],"mmm")</f>
        <v>Nov</v>
      </c>
      <c r="C93" s="98">
        <v>749</v>
      </c>
      <c r="D93" s="91" t="str">
        <f>VLOOKUP(Table4[[#This Row],[الكود]],'[11]قاعدة بيانات  '!$K$3:$L$290,2,0)</f>
        <v>احمد محمد مصطفى عبد الغفار</v>
      </c>
      <c r="E93" s="90" t="str">
        <f>VLOOKUP(Table4[[#This Row],[الكود]],'[11]قاعدة بيانات  '!$K$3:$N$290,4,0)</f>
        <v>وكيل تحصيل</v>
      </c>
      <c r="F93" s="97" t="e">
        <f>VLOOKUP(C:C,'[10]قاعدة بيانات  '!K:Q,5,0)</f>
        <v>#N/A</v>
      </c>
      <c r="G93" s="91" t="s">
        <v>355</v>
      </c>
      <c r="H93" s="99">
        <v>1000</v>
      </c>
      <c r="I93" s="97"/>
      <c r="K93" s="93"/>
      <c r="M93" s="102">
        <v>749</v>
      </c>
      <c r="N93">
        <v>2000</v>
      </c>
    </row>
    <row r="94" spans="1:14" x14ac:dyDescent="0.25">
      <c r="A94" s="89">
        <v>45980</v>
      </c>
      <c r="B94" s="90" t="str">
        <f>TEXT(Table4[[#This Row],[التاريخ ]],"mmm")</f>
        <v>Nov</v>
      </c>
      <c r="C94" s="91">
        <v>756</v>
      </c>
      <c r="D94" s="91" t="str">
        <f>VLOOKUP(Table4[[#This Row],[الكود]],'[11]قاعدة بيانات  '!$K$3:$L$290,2,0)</f>
        <v xml:space="preserve">عبدالله هاني عبد المنعم عيد </v>
      </c>
      <c r="E94" s="90" t="str">
        <f>VLOOKUP(Table4[[#This Row],[الكود]],'[11]قاعدة بيانات  '!$K$3:$N$290,4,0)</f>
        <v>وكيل تحصيل</v>
      </c>
      <c r="F94" s="90" t="e">
        <f>VLOOKUP(C:C,'[10]قاعدة بيانات  '!K:Q,5,0)</f>
        <v>#N/A</v>
      </c>
      <c r="G94" s="91" t="s">
        <v>355</v>
      </c>
      <c r="H94" s="95">
        <v>200</v>
      </c>
      <c r="I94" s="90"/>
      <c r="K94" s="93"/>
      <c r="M94" s="103" t="s">
        <v>263</v>
      </c>
      <c r="N94">
        <v>2000</v>
      </c>
    </row>
    <row r="95" spans="1:14" x14ac:dyDescent="0.25">
      <c r="A95" s="89">
        <v>45980</v>
      </c>
      <c r="B95" s="90" t="str">
        <f>TEXT(Table4[[#This Row],[التاريخ ]],"mmm")</f>
        <v>Nov</v>
      </c>
      <c r="C95" s="91">
        <v>702</v>
      </c>
      <c r="D95" s="91" t="str">
        <f>VLOOKUP(Table4[[#This Row],[الكود]],'[11]قاعدة بيانات  '!$K$3:$L$380,2,0)</f>
        <v>فاطمة خالد عبدالمرضى شهاب الدين</v>
      </c>
      <c r="E95" s="90" t="str">
        <f>VLOOKUP(Table4[[#This Row],[الكود]],'[11]قاعدة بيانات  '!$K$3:$N$380,4,0)</f>
        <v>وكيل تحصيل هاتفى</v>
      </c>
      <c r="F95" s="90" t="e">
        <f>VLOOKUP(C:C,'[10]قاعدة بيانات  '!K:Q,5,0)</f>
        <v>#N/A</v>
      </c>
      <c r="G95" s="91" t="s">
        <v>355</v>
      </c>
      <c r="H95" s="95">
        <v>500</v>
      </c>
      <c r="I95" s="90"/>
      <c r="K95" s="93"/>
      <c r="M95" s="102">
        <v>756</v>
      </c>
      <c r="N95">
        <v>500</v>
      </c>
    </row>
    <row r="96" spans="1:14" x14ac:dyDescent="0.25">
      <c r="A96" s="89">
        <v>45980</v>
      </c>
      <c r="B96" s="90" t="str">
        <f>TEXT(Table4[[#This Row],[التاريخ ]],"mmm")</f>
        <v>Nov</v>
      </c>
      <c r="C96" s="91">
        <v>515</v>
      </c>
      <c r="D96" s="91" t="str">
        <f>VLOOKUP(Table4[[#This Row],[الكود]],'[11]قاعدة بيانات  '!$K$3:$L$380,2,0)</f>
        <v>محمد عبدالمنعم عبدالحليم إبراهيم</v>
      </c>
      <c r="E96" s="90" t="str">
        <f>VLOOKUP(Table4[[#This Row],[الكود]],'[11]قاعدة بيانات  '!$K$3:$N$380,4,0)</f>
        <v>خدمات معاونة</v>
      </c>
      <c r="F96" s="90" t="str">
        <f>VLOOKUP(C:C,'[10]قاعدة بيانات  '!K:Q,5,0)</f>
        <v>الخدمات المعاونة</v>
      </c>
      <c r="G96" s="91" t="s">
        <v>355</v>
      </c>
      <c r="H96" s="95">
        <v>200</v>
      </c>
      <c r="I96" s="90"/>
      <c r="K96" s="93"/>
      <c r="M96" s="103" t="s">
        <v>271</v>
      </c>
      <c r="N96">
        <v>500</v>
      </c>
    </row>
    <row r="97" spans="1:14" x14ac:dyDescent="0.25">
      <c r="A97" s="89">
        <v>45980</v>
      </c>
      <c r="B97" s="90" t="str">
        <f>TEXT(Table4[[#This Row],[التاريخ ]],"mmm")</f>
        <v>Nov</v>
      </c>
      <c r="C97" s="91">
        <v>657</v>
      </c>
      <c r="D97" s="91" t="str">
        <f>VLOOKUP(Table4[[#This Row],[الكود]],'[11]قاعدة بيانات  '!$K$3:$L$380,2,0)</f>
        <v>محمود فوزى بخيت</v>
      </c>
      <c r="E97" s="90" t="str">
        <f>VLOOKUP(Table4[[#This Row],[الكود]],'[11]قاعدة بيانات  '!$K$3:$N$380,4,0)</f>
        <v>مشرف تحصيل</v>
      </c>
      <c r="F97" s="90" t="e">
        <f>VLOOKUP(C:C,'[10]قاعدة بيانات  '!K:Q,5,0)</f>
        <v>#N/A</v>
      </c>
      <c r="G97" s="91" t="s">
        <v>355</v>
      </c>
      <c r="H97" s="95"/>
      <c r="I97" s="90" t="s">
        <v>392</v>
      </c>
      <c r="K97" s="93"/>
      <c r="M97" s="102">
        <v>759</v>
      </c>
      <c r="N97"/>
    </row>
    <row r="98" spans="1:14" x14ac:dyDescent="0.25">
      <c r="A98" s="89">
        <v>45980</v>
      </c>
      <c r="B98" s="90" t="str">
        <f>TEXT(Table4[[#This Row],[التاريخ ]],"mmm")</f>
        <v>Nov</v>
      </c>
      <c r="C98" s="91">
        <v>512</v>
      </c>
      <c r="D98" s="91" t="str">
        <f>VLOOKUP(Table4[[#This Row],[الكود]],'[11]قاعدة بيانات  '!$K$3:$L$380,2,0)</f>
        <v>شريهان كمال شفيق حسب الله</v>
      </c>
      <c r="E98" s="90" t="str">
        <f>VLOOKUP(Table4[[#This Row],[الكود]],'[11]قاعدة بيانات  '!$K$3:$N$380,4,0)</f>
        <v>وكيل تحصيل هاتفى</v>
      </c>
      <c r="F98" s="90" t="str">
        <f>VLOOKUP(C:C,'[10]قاعدة بيانات  '!K:Q,5,0)</f>
        <v xml:space="preserve">بنك الإسكندرية </v>
      </c>
      <c r="G98" s="91" t="s">
        <v>355</v>
      </c>
      <c r="H98" s="95">
        <v>200</v>
      </c>
      <c r="I98" s="90"/>
      <c r="K98" s="93"/>
      <c r="M98" s="103" t="s">
        <v>395</v>
      </c>
      <c r="N98"/>
    </row>
    <row r="99" spans="1:14" x14ac:dyDescent="0.25">
      <c r="A99" s="89">
        <v>45980</v>
      </c>
      <c r="B99" s="90" t="str">
        <f>TEXT(Table4[[#This Row],[التاريخ ]],"mmm")</f>
        <v>Nov</v>
      </c>
      <c r="C99" s="91">
        <v>707</v>
      </c>
      <c r="D99" s="91" t="str">
        <f>VLOOKUP(Table4[[#This Row],[الكود]],'[11]قاعدة بيانات  '!$K$3:$L$380,2,0)</f>
        <v>شهد احمد عبد الله</v>
      </c>
      <c r="E99" s="90" t="str">
        <f>VLOOKUP(Table4[[#This Row],[الكود]],'[11]قاعدة بيانات  '!$K$3:$N$380,4,0)</f>
        <v>وكيل تحصيل هاتفى</v>
      </c>
      <c r="F99" s="90" t="e">
        <f>VLOOKUP(C:C,'[10]قاعدة بيانات  '!K:Q,5,0)</f>
        <v>#N/A</v>
      </c>
      <c r="G99" s="91" t="s">
        <v>355</v>
      </c>
      <c r="H99" s="95">
        <v>200</v>
      </c>
      <c r="I99" s="90"/>
      <c r="K99" s="93"/>
      <c r="M99" s="102">
        <v>774</v>
      </c>
      <c r="N99">
        <v>300</v>
      </c>
    </row>
    <row r="100" spans="1:14" x14ac:dyDescent="0.25">
      <c r="A100" s="89"/>
      <c r="B100" s="90" t="str">
        <f>TEXT(Table4[[#This Row],[التاريخ ]],"mmm")</f>
        <v>Jan</v>
      </c>
      <c r="C100" s="91">
        <v>759</v>
      </c>
      <c r="D100" s="91" t="str">
        <f>VLOOKUP(Table4[[#This Row],[الكود]],'[11]قاعدة بيانات  '!$K$3:$L$380,2,0)</f>
        <v>احمد خالد زغلول إبراهيم</v>
      </c>
      <c r="E100" s="90" t="str">
        <f>VLOOKUP(Table4[[#This Row],[الكود]],'[11]قاعدة بيانات  '!$K$3:$N$380,4,0)</f>
        <v>محاسب</v>
      </c>
      <c r="F100" s="90" t="e">
        <f>VLOOKUP(C:C,'[10]قاعدة بيانات  '!K:Q,5,0)</f>
        <v>#N/A</v>
      </c>
      <c r="G100" s="91" t="s">
        <v>355</v>
      </c>
      <c r="H100" s="95"/>
      <c r="I100" s="90"/>
      <c r="K100" s="93"/>
      <c r="M100" s="103" t="s">
        <v>396</v>
      </c>
      <c r="N100">
        <v>300</v>
      </c>
    </row>
    <row r="101" spans="1:14" x14ac:dyDescent="0.25">
      <c r="A101" s="89">
        <v>45981</v>
      </c>
      <c r="B101" s="90" t="str">
        <f>TEXT(Table4[[#This Row],[التاريخ ]],"mmm")</f>
        <v>Nov</v>
      </c>
      <c r="C101" s="91">
        <v>31</v>
      </c>
      <c r="D101" s="91" t="str">
        <f>VLOOKUP(Table4[[#This Row],[الكود]],'[11]قاعدة بيانات  '!$K$3:$L$380,2,0)</f>
        <v>محمود النادى أبو الحسن احمد</v>
      </c>
      <c r="E101" s="90" t="str">
        <f>VLOOKUP(Table4[[#This Row],[الكود]],'[11]قاعدة بيانات  '!$K$3:$N$380,4,0)</f>
        <v>كبير مشرفى تحصيل</v>
      </c>
      <c r="F101" s="90" t="str">
        <f>VLOOKUP(C:C,'[10]قاعدة بيانات  '!K:Q,5,0)</f>
        <v>بنك الإسكندرية / شركة سهولة</v>
      </c>
      <c r="G101" s="91" t="s">
        <v>355</v>
      </c>
      <c r="H101" s="95">
        <v>500</v>
      </c>
      <c r="I101" s="90"/>
      <c r="K101" s="93"/>
      <c r="M101" s="102">
        <v>789</v>
      </c>
      <c r="N101"/>
    </row>
    <row r="102" spans="1:14" x14ac:dyDescent="0.25">
      <c r="A102" s="89">
        <v>45981</v>
      </c>
      <c r="B102" s="90" t="str">
        <f>TEXT(Table4[[#This Row],[التاريخ ]],"mmm")</f>
        <v>Nov</v>
      </c>
      <c r="C102" s="91">
        <v>71</v>
      </c>
      <c r="D102" s="91" t="str">
        <f>VLOOKUP(Table4[[#This Row],[الكود]],'[11]قاعدة بيانات  '!$K$3:$L$380,2,0)</f>
        <v>ندى محمد سعد محمد</v>
      </c>
      <c r="E102" s="90" t="str">
        <f>VLOOKUP(Table4[[#This Row],[الكود]],'[11]قاعدة بيانات  '!$K$3:$N$380,4,0)</f>
        <v>وكيل تحصيل هاتفى</v>
      </c>
      <c r="F102" s="90" t="str">
        <f>VLOOKUP(C:C,'[10]قاعدة بيانات  '!K:Q,5,0)</f>
        <v>بنك كريدى اجريكول</v>
      </c>
      <c r="G102" s="91" t="s">
        <v>355</v>
      </c>
      <c r="H102" s="95">
        <v>1000</v>
      </c>
      <c r="I102" s="90"/>
      <c r="K102" s="93"/>
      <c r="M102" s="103" t="s">
        <v>296</v>
      </c>
      <c r="N102"/>
    </row>
    <row r="103" spans="1:14" x14ac:dyDescent="0.25">
      <c r="A103" s="89">
        <v>45981</v>
      </c>
      <c r="B103" s="90" t="str">
        <f>TEXT(Table4[[#This Row],[التاريخ ]],"mmm")</f>
        <v>Nov</v>
      </c>
      <c r="C103" s="91">
        <v>239</v>
      </c>
      <c r="D103" s="91" t="str">
        <f>VLOOKUP(Table4[[#This Row],[الكود]],'[11]قاعدة بيانات  '!$K$3:$L$380,2,0)</f>
        <v xml:space="preserve">يوسف كامل  عبد الله صبحى غنيم </v>
      </c>
      <c r="E103" s="90" t="str">
        <f>VLOOKUP(Table4[[#This Row],[الكود]],'[11]قاعدة بيانات  '!$K$3:$N$380,4,0)</f>
        <v xml:space="preserve">وكيل تحصيل </v>
      </c>
      <c r="F103" s="90" t="str">
        <f>VLOOKUP(C:C,'[10]قاعدة بيانات  '!K:Q,5,0)</f>
        <v>شركة ميد تقسيط</v>
      </c>
      <c r="G103" s="91" t="s">
        <v>355</v>
      </c>
      <c r="H103" s="95">
        <v>200</v>
      </c>
      <c r="I103" s="90"/>
      <c r="K103" s="93"/>
      <c r="M103" s="102" t="s">
        <v>372</v>
      </c>
      <c r="N103"/>
    </row>
    <row r="104" spans="1:14" x14ac:dyDescent="0.25">
      <c r="A104" s="89">
        <v>45984</v>
      </c>
      <c r="B104" s="90" t="str">
        <f>TEXT(Table4[[#This Row],[التاريخ ]],"mmm")</f>
        <v>Nov</v>
      </c>
      <c r="C104" s="91">
        <v>238</v>
      </c>
      <c r="D104" s="91" t="str">
        <f>VLOOKUP(Table4[[#This Row],[الكود]],'[11]قاعدة بيانات  '!$K$3:$L$380,2,0)</f>
        <v xml:space="preserve">اشرف محمد محروس محمود </v>
      </c>
      <c r="E104" s="90" t="str">
        <f>VLOOKUP(Table4[[#This Row],[الكود]],'[11]قاعدة بيانات  '!$K$3:$N$380,4,0)</f>
        <v xml:space="preserve">وكيل تحصيل </v>
      </c>
      <c r="F104" s="90" t="str">
        <f>VLOOKUP(C:C,'[10]قاعدة بيانات  '!K:Q,5,0)</f>
        <v>بنك الإسكندرية</v>
      </c>
      <c r="G104" s="91" t="s">
        <v>355</v>
      </c>
      <c r="H104" s="95">
        <v>500</v>
      </c>
      <c r="I104" s="90"/>
      <c r="K104" s="93"/>
      <c r="M104" s="103" t="s">
        <v>373</v>
      </c>
      <c r="N104"/>
    </row>
    <row r="105" spans="1:14" x14ac:dyDescent="0.25">
      <c r="A105" s="89">
        <v>45984</v>
      </c>
      <c r="B105" s="90" t="str">
        <f>TEXT(Table4[[#This Row],[التاريخ ]],"mmm")</f>
        <v>Nov</v>
      </c>
      <c r="C105" s="91">
        <v>642</v>
      </c>
      <c r="D105" s="91" t="str">
        <f>VLOOKUP(Table4[[#This Row],[الكود]],'[11]قاعدة بيانات  '!$K$3:$L$380,2,0)</f>
        <v>سلمى محمد محمد السيد</v>
      </c>
      <c r="E105" s="90" t="str">
        <f>VLOOKUP(Table4[[#This Row],[الكود]],'[11]قاعدة بيانات  '!$K$3:$N$380,4,0)</f>
        <v>وكيل تحصيل هاتفى</v>
      </c>
      <c r="F105" s="90" t="e">
        <f>VLOOKUP(C:C,'[10]قاعدة بيانات  '!K:Q,5,0)</f>
        <v>#N/A</v>
      </c>
      <c r="G105" s="91" t="s">
        <v>355</v>
      </c>
      <c r="H105" s="95">
        <v>500</v>
      </c>
      <c r="I105" s="90"/>
      <c r="K105" s="93"/>
      <c r="M105" s="102" t="s">
        <v>383</v>
      </c>
      <c r="N105">
        <v>43000</v>
      </c>
    </row>
    <row r="106" spans="1:14" x14ac:dyDescent="0.25">
      <c r="A106" s="89">
        <v>45984</v>
      </c>
      <c r="B106" s="90" t="str">
        <f>TEXT(Table4[[#This Row],[التاريخ ]],"mmm")</f>
        <v>Nov</v>
      </c>
      <c r="C106" s="91">
        <v>119</v>
      </c>
      <c r="D106" s="91" t="str">
        <f>VLOOKUP(Table4[[#This Row],[الكود]],'[11]قاعدة بيانات  '!$K$3:$L$380,2,0)</f>
        <v>مصطفى جميل عبد الفتاح محمد شاهين</v>
      </c>
      <c r="E106" s="90" t="str">
        <f>VLOOKUP(Table4[[#This Row],[الكود]],'[11]قاعدة بيانات  '!$K$3:$N$380,4,0)</f>
        <v>وكيل تحصيل</v>
      </c>
      <c r="F106" s="90" t="str">
        <f>VLOOKUP(C:C,'[10]قاعدة بيانات  '!K:Q,5,0)</f>
        <v>بنك كريدى اجريكول</v>
      </c>
      <c r="G106" s="91" t="s">
        <v>355</v>
      </c>
      <c r="H106" s="95">
        <v>500</v>
      </c>
      <c r="I106" s="90"/>
      <c r="K106" s="93"/>
    </row>
    <row r="107" spans="1:14" x14ac:dyDescent="0.25">
      <c r="A107" s="89">
        <v>45984</v>
      </c>
      <c r="B107" s="90" t="str">
        <f>TEXT(Table4[[#This Row],[التاريخ ]],"mmm")</f>
        <v>Nov</v>
      </c>
      <c r="C107" s="91">
        <v>31</v>
      </c>
      <c r="D107" s="91" t="str">
        <f>VLOOKUP(Table4[[#This Row],[الكود]],'[11]قاعدة بيانات  '!$K$3:$L$380,2,0)</f>
        <v>محمود النادى أبو الحسن احمد</v>
      </c>
      <c r="E107" s="90" t="str">
        <f>VLOOKUP(Table4[[#This Row],[الكود]],'[11]قاعدة بيانات  '!$K$3:$N$380,4,0)</f>
        <v>كبير مشرفى تحصيل</v>
      </c>
      <c r="F107" s="90" t="str">
        <f>VLOOKUP(C:C,'[10]قاعدة بيانات  '!K:Q,5,0)</f>
        <v>بنك الإسكندرية / شركة سهولة</v>
      </c>
      <c r="G107" s="91" t="s">
        <v>355</v>
      </c>
      <c r="H107" s="95">
        <v>500</v>
      </c>
      <c r="I107" s="90"/>
      <c r="K107" s="93"/>
    </row>
    <row r="108" spans="1:14" x14ac:dyDescent="0.25">
      <c r="A108" s="89">
        <v>45985</v>
      </c>
      <c r="B108" s="90" t="str">
        <f>TEXT(Table4[[#This Row],[التاريخ ]],"mmm")</f>
        <v>Nov</v>
      </c>
      <c r="C108" s="91">
        <v>612</v>
      </c>
      <c r="D108" s="91" t="str">
        <f>VLOOKUP(Table4[[#This Row],[الكود]],'[11]قاعدة بيانات  '!$K$3:$L$380,2,0)</f>
        <v>احمد محمد حسنى</v>
      </c>
      <c r="E108" s="90" t="str">
        <f>VLOOKUP(Table4[[#This Row],[الكود]],'[11]قاعدة بيانات  '!$K$3:$N$380,4,0)</f>
        <v>الشئون القانونية</v>
      </c>
      <c r="F108" s="90" t="e">
        <f>VLOOKUP(C:C,'[10]قاعدة بيانات  '!K:Q,5,0)</f>
        <v>#N/A</v>
      </c>
      <c r="G108" s="91" t="s">
        <v>355</v>
      </c>
      <c r="H108" s="95">
        <v>500</v>
      </c>
      <c r="I108" s="90"/>
      <c r="K108" s="93"/>
    </row>
    <row r="109" spans="1:14" x14ac:dyDescent="0.25">
      <c r="A109" s="89">
        <v>45986</v>
      </c>
      <c r="B109" s="90" t="str">
        <f>TEXT(Table4[[#This Row],[التاريخ ]],"mmm")</f>
        <v>Nov</v>
      </c>
      <c r="C109" s="91">
        <v>340</v>
      </c>
      <c r="D109" s="91" t="str">
        <f>VLOOKUP(Table4[[#This Row],[الكود]],'[11]قاعدة بيانات  '!$K$3:$L$380,2,0)</f>
        <v>اميرة شعراوى ابراهيم  حامد على</v>
      </c>
      <c r="E109" s="90" t="str">
        <f>VLOOKUP(Table4[[#This Row],[الكود]],'[11]قاعدة بيانات  '!$K$3:$N$380,4,0)</f>
        <v>كبير مشرفى تحصيل</v>
      </c>
      <c r="F109" s="90" t="str">
        <f>VLOOKUP(C:C,'[10]قاعدة بيانات  '!K:Q,5,0)</f>
        <v>شركة فاليو</v>
      </c>
      <c r="G109" s="91" t="s">
        <v>355</v>
      </c>
      <c r="H109" s="95">
        <v>1000</v>
      </c>
      <c r="I109" s="90"/>
      <c r="K109" s="93"/>
    </row>
    <row r="110" spans="1:14" x14ac:dyDescent="0.25">
      <c r="A110" s="89">
        <v>45987</v>
      </c>
      <c r="B110" s="90" t="str">
        <f>TEXT(Table4[[#This Row],[التاريخ ]],"mmm")</f>
        <v>Nov</v>
      </c>
      <c r="C110" s="91">
        <v>31</v>
      </c>
      <c r="D110" s="91" t="str">
        <f>VLOOKUP(Table4[[#This Row],[الكود]],'[11]قاعدة بيانات  '!$K$3:$L$380,2,0)</f>
        <v>محمود النادى أبو الحسن احمد</v>
      </c>
      <c r="E110" s="90" t="str">
        <f>VLOOKUP(Table4[[#This Row],[الكود]],'[11]قاعدة بيانات  '!$K$3:$N$380,4,0)</f>
        <v>كبير مشرفى تحصيل</v>
      </c>
      <c r="F110" s="90" t="str">
        <f>VLOOKUP(C:C,'[10]قاعدة بيانات  '!K:Q,5,0)</f>
        <v>بنك الإسكندرية / شركة سهولة</v>
      </c>
      <c r="G110" s="91" t="s">
        <v>355</v>
      </c>
      <c r="H110" s="95">
        <v>500</v>
      </c>
      <c r="I110" s="90"/>
      <c r="K110" s="93"/>
    </row>
    <row r="111" spans="1:14" x14ac:dyDescent="0.25">
      <c r="A111" s="89">
        <v>45987</v>
      </c>
      <c r="B111" s="90" t="str">
        <f>TEXT(Table4[[#This Row],[التاريخ ]],"mmm")</f>
        <v>Nov</v>
      </c>
      <c r="C111" s="91">
        <v>527</v>
      </c>
      <c r="D111" s="91" t="str">
        <f>VLOOKUP(Table4[[#This Row],[الكود]],'[11]قاعدة بيانات  '!$K$3:$L$380,2,0)</f>
        <v>محمد محمود حسين محمود</v>
      </c>
      <c r="E111" s="90" t="str">
        <f>VLOOKUP(Table4[[#This Row],[الكود]],'[11]قاعدة بيانات  '!$K$3:$N$380,4,0)</f>
        <v>مشرف تحصيل</v>
      </c>
      <c r="F111" s="90" t="str">
        <f>VLOOKUP(C:C,'[10]قاعدة بيانات  '!K:Q,5,0)</f>
        <v>بنك الاسكندرية</v>
      </c>
      <c r="G111" s="91" t="s">
        <v>355</v>
      </c>
      <c r="H111" s="95">
        <v>500</v>
      </c>
      <c r="I111" s="90"/>
      <c r="K111" s="93"/>
    </row>
    <row r="112" spans="1:14" x14ac:dyDescent="0.25">
      <c r="A112" s="89"/>
      <c r="B112" s="90" t="str">
        <f>TEXT(Table4[[#This Row],[التاريخ ]],"mmm")</f>
        <v>Jan</v>
      </c>
      <c r="C112" s="91"/>
      <c r="D112" s="91" t="e">
        <f>VLOOKUP(Table4[[#This Row],[الكود]],'[11]قاعدة بيانات  '!$K$3:$L$380,2,0)</f>
        <v>#N/A</v>
      </c>
      <c r="E112" s="90" t="e">
        <f>VLOOKUP(Table4[[#This Row],[الكود]],'[11]قاعدة بيانات  '!$K$3:$N$380,4,0)</f>
        <v>#N/A</v>
      </c>
      <c r="F112" s="90" t="e">
        <f>VLOOKUP(C:C,'[10]قاعدة بيانات  '!K:Q,5,0)</f>
        <v>#N/A</v>
      </c>
      <c r="G112" s="91" t="s">
        <v>355</v>
      </c>
      <c r="H112" s="95"/>
      <c r="I112" s="90"/>
      <c r="K112" s="93"/>
    </row>
    <row r="113" spans="1:11" x14ac:dyDescent="0.25">
      <c r="A113" s="89"/>
      <c r="B113" s="90" t="str">
        <f>TEXT(Table4[[#This Row],[التاريخ ]],"mmm")</f>
        <v>Jan</v>
      </c>
      <c r="C113" s="91"/>
      <c r="D113" s="91" t="e">
        <f>VLOOKUP(Table4[[#This Row],[الكود]],'[11]قاعدة بيانات  '!$K$3:$L$380,2,0)</f>
        <v>#N/A</v>
      </c>
      <c r="E113" s="90" t="e">
        <f>VLOOKUP(Table4[[#This Row],[الكود]],'[11]قاعدة بيانات  '!$K$3:$N$380,4,0)</f>
        <v>#N/A</v>
      </c>
      <c r="F113" s="90" t="e">
        <f>VLOOKUP(C:C,'[10]قاعدة بيانات  '!K:Q,5,0)</f>
        <v>#N/A</v>
      </c>
      <c r="G113" s="91" t="s">
        <v>355</v>
      </c>
      <c r="H113" s="95"/>
      <c r="I113" s="90"/>
      <c r="K113" s="93"/>
    </row>
    <row r="114" spans="1:11" x14ac:dyDescent="0.25">
      <c r="A114" s="89"/>
      <c r="B114" s="90" t="str">
        <f>TEXT(Table4[[#This Row],[التاريخ ]],"mmm")</f>
        <v>Jan</v>
      </c>
      <c r="C114" s="91"/>
      <c r="D114" s="91" t="e">
        <f>VLOOKUP(Table4[[#This Row],[الكود]],'[11]قاعدة بيانات  '!$K$3:$L$380,2,0)</f>
        <v>#N/A</v>
      </c>
      <c r="E114" s="90" t="e">
        <f>VLOOKUP(Table4[[#This Row],[الكود]],'[11]قاعدة بيانات  '!$K$3:$N$380,4,0)</f>
        <v>#N/A</v>
      </c>
      <c r="F114" s="90" t="e">
        <f>VLOOKUP(C:C,'[10]قاعدة بيانات  '!K:Q,5,0)</f>
        <v>#N/A</v>
      </c>
      <c r="G114" s="91" t="s">
        <v>355</v>
      </c>
      <c r="H114" s="95"/>
      <c r="I114" s="90"/>
      <c r="K114" s="93"/>
    </row>
    <row r="115" spans="1:11" x14ac:dyDescent="0.25">
      <c r="A115" s="89"/>
      <c r="B115" s="90" t="str">
        <f>TEXT(Table4[[#This Row],[التاريخ ]],"mmm")</f>
        <v>Jan</v>
      </c>
      <c r="C115" s="91"/>
      <c r="D115" s="91" t="e">
        <f>VLOOKUP(Table4[[#This Row],[الكود]],'[11]قاعدة بيانات  '!$K$3:$L$380,2,0)</f>
        <v>#N/A</v>
      </c>
      <c r="E115" s="90" t="e">
        <f>VLOOKUP(Table4[[#This Row],[الكود]],'[11]قاعدة بيانات  '!$K$3:$N$380,4,0)</f>
        <v>#N/A</v>
      </c>
      <c r="F115" s="90" t="e">
        <f>VLOOKUP(C:C,'[10]قاعدة بيانات  '!K:Q,5,0)</f>
        <v>#N/A</v>
      </c>
      <c r="G115" s="91" t="s">
        <v>355</v>
      </c>
      <c r="H115" s="95"/>
      <c r="I115" s="90"/>
      <c r="K115" s="93"/>
    </row>
    <row r="116" spans="1:11" x14ac:dyDescent="0.25">
      <c r="A116" s="89"/>
      <c r="B116" s="90" t="str">
        <f>TEXT(Table4[[#This Row],[التاريخ ]],"mmm")</f>
        <v>Jan</v>
      </c>
      <c r="C116" s="91"/>
      <c r="D116" s="91" t="e">
        <f>VLOOKUP(Table4[[#This Row],[الكود]],'[11]قاعدة بيانات  '!$K$3:$L$380,2,0)</f>
        <v>#N/A</v>
      </c>
      <c r="E116" s="90" t="e">
        <f>VLOOKUP(Table4[[#This Row],[الكود]],'[11]قاعدة بيانات  '!$K$3:$N$380,4,0)</f>
        <v>#N/A</v>
      </c>
      <c r="F116" s="90" t="e">
        <f>VLOOKUP(C:C,'[10]قاعدة بيانات  '!K:Q,5,0)</f>
        <v>#N/A</v>
      </c>
      <c r="G116" s="91" t="s">
        <v>355</v>
      </c>
      <c r="H116" s="95"/>
      <c r="I116" s="90"/>
      <c r="K116" s="93"/>
    </row>
    <row r="117" spans="1:11" x14ac:dyDescent="0.25">
      <c r="A117" s="89"/>
      <c r="B117" s="90" t="str">
        <f>TEXT(Table4[[#This Row],[التاريخ ]],"mmm")</f>
        <v>Jan</v>
      </c>
      <c r="C117" s="91"/>
      <c r="D117" s="91" t="e">
        <f>VLOOKUP(Table4[[#This Row],[الكود]],'[11]قاعدة بيانات  '!$K$3:$L$380,2,0)</f>
        <v>#N/A</v>
      </c>
      <c r="E117" s="90" t="e">
        <f>VLOOKUP(Table4[[#This Row],[الكود]],'[11]قاعدة بيانات  '!$K$3:$N$380,4,0)</f>
        <v>#N/A</v>
      </c>
      <c r="F117" s="90" t="e">
        <f>VLOOKUP(C:C,'[10]قاعدة بيانات  '!K:Q,5,0)</f>
        <v>#N/A</v>
      </c>
      <c r="G117" s="91" t="s">
        <v>355</v>
      </c>
      <c r="H117" s="95"/>
      <c r="I117" s="90"/>
      <c r="K117" s="93"/>
    </row>
    <row r="118" spans="1:11" x14ac:dyDescent="0.25">
      <c r="A118" s="89"/>
      <c r="B118" s="90" t="str">
        <f>TEXT(Table4[[#This Row],[التاريخ ]],"mmm")</f>
        <v>Jan</v>
      </c>
      <c r="C118" s="91"/>
      <c r="D118" s="91" t="e">
        <f>VLOOKUP(Table4[[#This Row],[الكود]],'[11]قاعدة بيانات  '!$K$3:$L$380,2,0)</f>
        <v>#N/A</v>
      </c>
      <c r="E118" s="90" t="e">
        <f>VLOOKUP(Table4[[#This Row],[الكود]],'[11]قاعدة بيانات  '!$K$3:$N$380,4,0)</f>
        <v>#N/A</v>
      </c>
      <c r="F118" s="90" t="e">
        <f>VLOOKUP(C:C,'[10]قاعدة بيانات  '!K:Q,5,0)</f>
        <v>#N/A</v>
      </c>
      <c r="G118" s="91" t="s">
        <v>355</v>
      </c>
      <c r="H118" s="95"/>
      <c r="I118" s="90"/>
      <c r="K118" s="93"/>
    </row>
    <row r="119" spans="1:11" x14ac:dyDescent="0.25">
      <c r="A119" s="89"/>
      <c r="B119" s="90" t="str">
        <f>TEXT(Table4[[#This Row],[التاريخ ]],"mmm")</f>
        <v>Jan</v>
      </c>
      <c r="C119" s="91"/>
      <c r="D119" s="91" t="e">
        <f>VLOOKUP(Table4[[#This Row],[الكود]],'[11]قاعدة بيانات  '!$K$3:$L$380,2,0)</f>
        <v>#N/A</v>
      </c>
      <c r="E119" s="90" t="e">
        <f>VLOOKUP(Table4[[#This Row],[الكود]],'[11]قاعدة بيانات  '!$K$3:$N$380,4,0)</f>
        <v>#N/A</v>
      </c>
      <c r="F119" s="90" t="e">
        <f>VLOOKUP(C:C,'[10]قاعدة بيانات  '!K:Q,5,0)</f>
        <v>#N/A</v>
      </c>
      <c r="G119" s="91" t="s">
        <v>355</v>
      </c>
      <c r="H119" s="95"/>
      <c r="I119" s="90"/>
      <c r="K119" s="93"/>
    </row>
    <row r="120" spans="1:11" x14ac:dyDescent="0.25">
      <c r="A120" s="89"/>
      <c r="B120" s="90" t="str">
        <f>TEXT(Table4[[#This Row],[التاريخ ]],"mmm")</f>
        <v>Jan</v>
      </c>
      <c r="C120" s="91"/>
      <c r="D120" s="91" t="e">
        <f>VLOOKUP(Table4[[#This Row],[الكود]],'[11]قاعدة بيانات  '!$K$3:$L$380,2,0)</f>
        <v>#N/A</v>
      </c>
      <c r="E120" s="90" t="e">
        <f>VLOOKUP(Table4[[#This Row],[الكود]],'[11]قاعدة بيانات  '!$K$3:$N$380,4,0)</f>
        <v>#N/A</v>
      </c>
      <c r="F120" s="90" t="e">
        <f>VLOOKUP(C:C,'[10]قاعدة بيانات  '!K:Q,5,0)</f>
        <v>#N/A</v>
      </c>
      <c r="G120" s="91" t="s">
        <v>355</v>
      </c>
      <c r="H120" s="95"/>
      <c r="I120" s="90"/>
      <c r="K120" s="93"/>
    </row>
    <row r="121" spans="1:11" x14ac:dyDescent="0.25">
      <c r="A121" s="89"/>
      <c r="B121" s="90" t="str">
        <f>TEXT(Table4[[#This Row],[التاريخ ]],"mmm")</f>
        <v>Jan</v>
      </c>
      <c r="C121" s="91"/>
      <c r="D121" s="91" t="e">
        <f>VLOOKUP(Table4[[#This Row],[الكود]],'[11]قاعدة بيانات  '!$K$3:$L$380,2,0)</f>
        <v>#N/A</v>
      </c>
      <c r="E121" s="90" t="e">
        <f>VLOOKUP(Table4[[#This Row],[الكود]],'[11]قاعدة بيانات  '!$K$3:$N$380,4,0)</f>
        <v>#N/A</v>
      </c>
      <c r="F121" s="90" t="e">
        <f>VLOOKUP(C:C,'[10]قاعدة بيانات  '!K:Q,5,0)</f>
        <v>#N/A</v>
      </c>
      <c r="G121" s="91" t="s">
        <v>355</v>
      </c>
      <c r="H121" s="95"/>
      <c r="I121" s="90"/>
      <c r="K121" s="93"/>
    </row>
    <row r="122" spans="1:11" x14ac:dyDescent="0.25">
      <c r="A122" s="89"/>
      <c r="B122" s="90" t="str">
        <f>TEXT(Table4[[#This Row],[التاريخ ]],"mmm")</f>
        <v>Jan</v>
      </c>
      <c r="C122" s="91"/>
      <c r="D122" s="91" t="e">
        <f>VLOOKUP(Table4[[#This Row],[الكود]],'[11]قاعدة بيانات  '!$K$3:$L$380,2,0)</f>
        <v>#N/A</v>
      </c>
      <c r="E122" s="90" t="e">
        <f>VLOOKUP(Table4[[#This Row],[الكود]],'[11]قاعدة بيانات  '!$K$3:$N$380,4,0)</f>
        <v>#N/A</v>
      </c>
      <c r="F122" s="90" t="e">
        <f>VLOOKUP(C:C,'[10]قاعدة بيانات  '!K:Q,5,0)</f>
        <v>#N/A</v>
      </c>
      <c r="G122" s="91" t="s">
        <v>355</v>
      </c>
      <c r="H122" s="95"/>
      <c r="I122" s="90"/>
      <c r="K122" s="93"/>
    </row>
    <row r="123" spans="1:11" x14ac:dyDescent="0.25">
      <c r="A123" s="89"/>
      <c r="B123" s="90" t="str">
        <f>TEXT(Table4[[#This Row],[التاريخ ]],"mmm")</f>
        <v>Jan</v>
      </c>
      <c r="C123" s="91"/>
      <c r="D123" s="91" t="e">
        <f>VLOOKUP(Table4[[#This Row],[الكود]],'[11]قاعدة بيانات  '!$K$3:$L$380,2,0)</f>
        <v>#N/A</v>
      </c>
      <c r="E123" s="90" t="e">
        <f>VLOOKUP(Table4[[#This Row],[الكود]],'[11]قاعدة بيانات  '!$K$3:$N$380,4,0)</f>
        <v>#N/A</v>
      </c>
      <c r="F123" s="90" t="e">
        <f>VLOOKUP(C:C,'[10]قاعدة بيانات  '!K:Q,5,0)</f>
        <v>#N/A</v>
      </c>
      <c r="G123" s="91" t="s">
        <v>355</v>
      </c>
      <c r="H123" s="95"/>
      <c r="I123" s="90"/>
      <c r="K123" s="93"/>
    </row>
    <row r="124" spans="1:11" x14ac:dyDescent="0.25">
      <c r="A124" s="89"/>
      <c r="B124" s="90" t="str">
        <f>TEXT(Table4[[#This Row],[التاريخ ]],"mmm")</f>
        <v>Jan</v>
      </c>
      <c r="C124" s="91"/>
      <c r="D124" s="91" t="e">
        <f>VLOOKUP(Table4[[#This Row],[الكود]],'[11]قاعدة بيانات  '!$K$3:$L$380,2,0)</f>
        <v>#N/A</v>
      </c>
      <c r="E124" s="90" t="e">
        <f>VLOOKUP(Table4[[#This Row],[الكود]],'[11]قاعدة بيانات  '!$K$3:$N$380,4,0)</f>
        <v>#N/A</v>
      </c>
      <c r="F124" s="90" t="e">
        <f>VLOOKUP(C:C,'[10]قاعدة بيانات  '!K:Q,5,0)</f>
        <v>#N/A</v>
      </c>
      <c r="G124" s="91" t="s">
        <v>355</v>
      </c>
      <c r="H124" s="95"/>
      <c r="I124" s="90"/>
      <c r="K124" s="93"/>
    </row>
    <row r="125" spans="1:11" x14ac:dyDescent="0.25">
      <c r="A125" s="89"/>
      <c r="B125" s="90" t="str">
        <f>TEXT(Table4[[#This Row],[التاريخ ]],"mmm")</f>
        <v>Jan</v>
      </c>
      <c r="C125" s="91"/>
      <c r="D125" s="91" t="e">
        <f>VLOOKUP(Table4[[#This Row],[الكود]],'[11]قاعدة بيانات  '!$K$3:$L$380,2,0)</f>
        <v>#N/A</v>
      </c>
      <c r="E125" s="90" t="e">
        <f>VLOOKUP(Table4[[#This Row],[الكود]],'[11]قاعدة بيانات  '!$K$3:$N$380,4,0)</f>
        <v>#N/A</v>
      </c>
      <c r="F125" s="90" t="e">
        <f>VLOOKUP(C:C,'[10]قاعدة بيانات  '!K:Q,5,0)</f>
        <v>#N/A</v>
      </c>
      <c r="G125" s="91" t="s">
        <v>355</v>
      </c>
      <c r="H125" s="95"/>
      <c r="I125" s="90"/>
      <c r="K125" s="93"/>
    </row>
    <row r="126" spans="1:11" x14ac:dyDescent="0.25">
      <c r="A126" s="89"/>
      <c r="B126" s="90" t="str">
        <f>TEXT(Table4[[#This Row],[التاريخ ]],"mmm")</f>
        <v>Jan</v>
      </c>
      <c r="C126" s="91"/>
      <c r="D126" s="91" t="e">
        <f>VLOOKUP(Table4[[#This Row],[الكود]],'[11]قاعدة بيانات  '!$K$3:$L$380,2,0)</f>
        <v>#N/A</v>
      </c>
      <c r="E126" s="90" t="e">
        <f>VLOOKUP(Table4[[#This Row],[الكود]],'[11]قاعدة بيانات  '!$K$3:$N$380,4,0)</f>
        <v>#N/A</v>
      </c>
      <c r="F126" s="90" t="e">
        <f>VLOOKUP(C:C,'[10]قاعدة بيانات  '!K:Q,5,0)</f>
        <v>#N/A</v>
      </c>
      <c r="G126" s="91" t="s">
        <v>355</v>
      </c>
      <c r="H126" s="95"/>
      <c r="I126" s="90"/>
      <c r="K126" s="93"/>
    </row>
    <row r="127" spans="1:11" x14ac:dyDescent="0.25">
      <c r="A127" s="89"/>
      <c r="B127" s="90" t="str">
        <f>TEXT(Table4[[#This Row],[التاريخ ]],"mmm")</f>
        <v>Jan</v>
      </c>
      <c r="C127" s="91"/>
      <c r="D127" s="91" t="e">
        <f>VLOOKUP(Table4[[#This Row],[الكود]],'[11]قاعدة بيانات  '!$K$3:$L$380,2,0)</f>
        <v>#N/A</v>
      </c>
      <c r="E127" s="90" t="e">
        <f>VLOOKUP(Table4[[#This Row],[الكود]],'[11]قاعدة بيانات  '!$K$3:$N$380,4,0)</f>
        <v>#N/A</v>
      </c>
      <c r="F127" s="90" t="e">
        <f>VLOOKUP(C:C,'[10]قاعدة بيانات  '!K:Q,5,0)</f>
        <v>#N/A</v>
      </c>
      <c r="G127" s="91" t="s">
        <v>355</v>
      </c>
      <c r="H127" s="95"/>
      <c r="I127" s="90"/>
      <c r="K127" s="93"/>
    </row>
    <row r="128" spans="1:11" x14ac:dyDescent="0.25">
      <c r="A128" s="89"/>
      <c r="B128" s="90" t="str">
        <f>TEXT(Table4[[#This Row],[التاريخ ]],"mmm")</f>
        <v>Jan</v>
      </c>
      <c r="C128" s="91"/>
      <c r="D128" s="91" t="e">
        <f>VLOOKUP(Table4[[#This Row],[الكود]],'[11]قاعدة بيانات  '!$K$3:$L$380,2,0)</f>
        <v>#N/A</v>
      </c>
      <c r="E128" s="90" t="e">
        <f>VLOOKUP(Table4[[#This Row],[الكود]],'[11]قاعدة بيانات  '!$K$3:$N$380,4,0)</f>
        <v>#N/A</v>
      </c>
      <c r="F128" s="90" t="e">
        <f>VLOOKUP(C:C,'[10]قاعدة بيانات  '!K:Q,5,0)</f>
        <v>#N/A</v>
      </c>
      <c r="G128" s="91" t="s">
        <v>355</v>
      </c>
      <c r="H128" s="95"/>
      <c r="I128" s="90"/>
      <c r="K128" s="93"/>
    </row>
    <row r="129" spans="1:11" x14ac:dyDescent="0.25">
      <c r="A129" s="89"/>
      <c r="B129" s="90" t="str">
        <f>TEXT(Table4[[#This Row],[التاريخ ]],"mmm")</f>
        <v>Jan</v>
      </c>
      <c r="C129" s="91"/>
      <c r="D129" s="91" t="e">
        <f>VLOOKUP(Table4[[#This Row],[الكود]],'[11]قاعدة بيانات  '!$K$3:$L$380,2,0)</f>
        <v>#N/A</v>
      </c>
      <c r="E129" s="90" t="e">
        <f>VLOOKUP(Table4[[#This Row],[الكود]],'[11]قاعدة بيانات  '!$K$3:$N$380,4,0)</f>
        <v>#N/A</v>
      </c>
      <c r="F129" s="90" t="e">
        <f>VLOOKUP(C:C,'[10]قاعدة بيانات  '!K:Q,5,0)</f>
        <v>#N/A</v>
      </c>
      <c r="G129" s="91" t="s">
        <v>355</v>
      </c>
      <c r="H129" s="95"/>
      <c r="I129" s="90"/>
      <c r="K129" s="93"/>
    </row>
    <row r="130" spans="1:11" x14ac:dyDescent="0.25">
      <c r="A130" s="89"/>
      <c r="B130" s="90" t="str">
        <f>TEXT(Table4[[#This Row],[التاريخ ]],"mmm")</f>
        <v>Jan</v>
      </c>
      <c r="C130" s="91"/>
      <c r="D130" s="91" t="e">
        <f>VLOOKUP(Table4[[#This Row],[الكود]],'[11]قاعدة بيانات  '!$K$3:$L$380,2,0)</f>
        <v>#N/A</v>
      </c>
      <c r="E130" s="90" t="e">
        <f>VLOOKUP(Table4[[#This Row],[الكود]],'[11]قاعدة بيانات  '!$K$3:$N$380,4,0)</f>
        <v>#N/A</v>
      </c>
      <c r="F130" s="90" t="e">
        <f>VLOOKUP(C:C,'[10]قاعدة بيانات  '!K:Q,5,0)</f>
        <v>#N/A</v>
      </c>
      <c r="G130" s="91" t="s">
        <v>355</v>
      </c>
      <c r="H130" s="95"/>
      <c r="I130" s="90"/>
      <c r="K130" s="93"/>
    </row>
    <row r="131" spans="1:11" x14ac:dyDescent="0.25">
      <c r="A131" s="89"/>
      <c r="B131" s="90" t="str">
        <f>TEXT(Table4[[#This Row],[التاريخ ]],"mmm")</f>
        <v>Jan</v>
      </c>
      <c r="C131" s="91"/>
      <c r="D131" s="91" t="e">
        <f>VLOOKUP(Table4[[#This Row],[الكود]],'[11]قاعدة بيانات  '!$K$3:$L$380,2,0)</f>
        <v>#N/A</v>
      </c>
      <c r="E131" s="90" t="e">
        <f>VLOOKUP(Table4[[#This Row],[الكود]],'[11]قاعدة بيانات  '!$K$3:$N$380,4,0)</f>
        <v>#N/A</v>
      </c>
      <c r="F131" s="90" t="e">
        <f>VLOOKUP(C:C,'[10]قاعدة بيانات  '!K:Q,5,0)</f>
        <v>#N/A</v>
      </c>
      <c r="G131" s="91" t="s">
        <v>355</v>
      </c>
      <c r="H131" s="95"/>
      <c r="I131" s="90"/>
      <c r="K131" s="93"/>
    </row>
    <row r="132" spans="1:11" x14ac:dyDescent="0.25">
      <c r="A132" s="89"/>
      <c r="B132" s="90" t="str">
        <f>TEXT(Table4[[#This Row],[التاريخ ]],"mmm")</f>
        <v>Jan</v>
      </c>
      <c r="C132" s="91"/>
      <c r="D132" s="91" t="e">
        <f>VLOOKUP(Table4[[#This Row],[الكود]],'[11]قاعدة بيانات  '!$K$3:$L$380,2,0)</f>
        <v>#N/A</v>
      </c>
      <c r="E132" s="90" t="e">
        <f>VLOOKUP(Table4[[#This Row],[الكود]],'[11]قاعدة بيانات  '!$K$3:$N$380,4,0)</f>
        <v>#N/A</v>
      </c>
      <c r="F132" s="90" t="e">
        <f>VLOOKUP(C:C,'[10]قاعدة بيانات  '!K:Q,5,0)</f>
        <v>#N/A</v>
      </c>
      <c r="G132" s="91" t="s">
        <v>355</v>
      </c>
      <c r="H132" s="95"/>
      <c r="I132" s="90"/>
      <c r="K132" s="93"/>
    </row>
    <row r="133" spans="1:11" x14ac:dyDescent="0.25">
      <c r="A133" s="89"/>
      <c r="B133" s="90" t="str">
        <f>TEXT(Table4[[#This Row],[التاريخ ]],"mmm")</f>
        <v>Jan</v>
      </c>
      <c r="C133" s="91"/>
      <c r="D133" s="91" t="e">
        <f>VLOOKUP(Table4[[#This Row],[الكود]],'[11]قاعدة بيانات  '!$K$3:$L$380,2,0)</f>
        <v>#N/A</v>
      </c>
      <c r="E133" s="90" t="e">
        <f>VLOOKUP(Table4[[#This Row],[الكود]],'[11]قاعدة بيانات  '!$K$3:$N$380,4,0)</f>
        <v>#N/A</v>
      </c>
      <c r="F133" s="90" t="e">
        <f>VLOOKUP(C:C,'[10]قاعدة بيانات  '!K:Q,5,0)</f>
        <v>#N/A</v>
      </c>
      <c r="G133" s="91" t="s">
        <v>355</v>
      </c>
      <c r="H133" s="95"/>
      <c r="I133" s="90"/>
      <c r="K133" s="93"/>
    </row>
    <row r="134" spans="1:11" x14ac:dyDescent="0.25">
      <c r="A134" s="89"/>
      <c r="B134" s="90" t="str">
        <f>TEXT(Table4[[#This Row],[التاريخ ]],"mmm")</f>
        <v>Jan</v>
      </c>
      <c r="C134" s="91"/>
      <c r="D134" s="91" t="e">
        <f>VLOOKUP(Table4[[#This Row],[الكود]],'[11]قاعدة بيانات  '!$K$3:$L$380,2,0)</f>
        <v>#N/A</v>
      </c>
      <c r="E134" s="90" t="e">
        <f>VLOOKUP(Table4[[#This Row],[الكود]],'[11]قاعدة بيانات  '!$K$3:$N$380,4,0)</f>
        <v>#N/A</v>
      </c>
      <c r="F134" s="90" t="e">
        <f>VLOOKUP(C:C,'[10]قاعدة بيانات  '!K:Q,5,0)</f>
        <v>#N/A</v>
      </c>
      <c r="G134" s="91" t="s">
        <v>355</v>
      </c>
      <c r="H134" s="95"/>
      <c r="I134" s="90"/>
      <c r="K134" s="93"/>
    </row>
    <row r="135" spans="1:11" x14ac:dyDescent="0.25">
      <c r="A135" s="89"/>
      <c r="B135" s="90" t="str">
        <f>TEXT(Table4[[#This Row],[التاريخ ]],"mmm")</f>
        <v>Jan</v>
      </c>
      <c r="C135" s="91"/>
      <c r="D135" s="91" t="e">
        <f>VLOOKUP(Table4[[#This Row],[الكود]],'[11]قاعدة بيانات  '!$K$3:$L$380,2,0)</f>
        <v>#N/A</v>
      </c>
      <c r="E135" s="90" t="e">
        <f>VLOOKUP(Table4[[#This Row],[الكود]],'[11]قاعدة بيانات  '!$K$3:$N$380,4,0)</f>
        <v>#N/A</v>
      </c>
      <c r="F135" s="90" t="e">
        <f>VLOOKUP(C:C,'[10]قاعدة بيانات  '!K:Q,5,0)</f>
        <v>#N/A</v>
      </c>
      <c r="G135" s="91" t="s">
        <v>355</v>
      </c>
      <c r="H135" s="95"/>
      <c r="I135" s="90"/>
      <c r="K135" s="93"/>
    </row>
    <row r="136" spans="1:11" x14ac:dyDescent="0.25">
      <c r="A136" s="89"/>
      <c r="B136" s="90" t="str">
        <f>TEXT(Table4[[#This Row],[التاريخ ]],"mmm")</f>
        <v>Jan</v>
      </c>
      <c r="C136" s="91"/>
      <c r="D136" s="91" t="e">
        <f>VLOOKUP(Table4[[#This Row],[الكود]],'[11]قاعدة بيانات  '!$K$3:$L$380,2,0)</f>
        <v>#N/A</v>
      </c>
      <c r="E136" s="90" t="e">
        <f>VLOOKUP(Table4[[#This Row],[الكود]],'[11]قاعدة بيانات  '!$K$3:$N$380,4,0)</f>
        <v>#N/A</v>
      </c>
      <c r="F136" s="90" t="e">
        <f>VLOOKUP(C:C,'[10]قاعدة بيانات  '!K:Q,5,0)</f>
        <v>#N/A</v>
      </c>
      <c r="G136" s="91" t="s">
        <v>355</v>
      </c>
      <c r="H136" s="95"/>
      <c r="I136" s="90"/>
      <c r="K136" s="93"/>
    </row>
    <row r="137" spans="1:11" x14ac:dyDescent="0.25">
      <c r="A137" s="89"/>
      <c r="B137" s="90" t="str">
        <f>TEXT(Table4[[#This Row],[التاريخ ]],"mmm")</f>
        <v>Jan</v>
      </c>
      <c r="C137" s="91"/>
      <c r="D137" s="91" t="e">
        <f>VLOOKUP(Table4[[#This Row],[الكود]],'[11]قاعدة بيانات  '!$K$3:$L$380,2,0)</f>
        <v>#N/A</v>
      </c>
      <c r="E137" s="90" t="e">
        <f>VLOOKUP(Table4[[#This Row],[الكود]],'[11]قاعدة بيانات  '!$K$3:$N$380,4,0)</f>
        <v>#N/A</v>
      </c>
      <c r="F137" s="90" t="e">
        <f>VLOOKUP(C:C,'[10]قاعدة بيانات  '!K:Q,5,0)</f>
        <v>#N/A</v>
      </c>
      <c r="G137" s="91" t="s">
        <v>355</v>
      </c>
      <c r="H137" s="95"/>
      <c r="I137" s="90"/>
      <c r="K137" s="93"/>
    </row>
    <row r="138" spans="1:11" x14ac:dyDescent="0.25">
      <c r="A138" s="89"/>
      <c r="B138" s="90" t="str">
        <f>TEXT(Table4[[#This Row],[التاريخ ]],"mmm")</f>
        <v>Jan</v>
      </c>
      <c r="C138" s="91"/>
      <c r="D138" s="91" t="e">
        <f>VLOOKUP(Table4[[#This Row],[الكود]],'[11]قاعدة بيانات  '!$K$3:$L$380,2,0)</f>
        <v>#N/A</v>
      </c>
      <c r="E138" s="90" t="e">
        <f>VLOOKUP(Table4[[#This Row],[الكود]],'[11]قاعدة بيانات  '!$K$3:$N$380,4,0)</f>
        <v>#N/A</v>
      </c>
      <c r="F138" s="90" t="e">
        <f>VLOOKUP(C:C,'[10]قاعدة بيانات  '!K:Q,5,0)</f>
        <v>#N/A</v>
      </c>
      <c r="G138" s="91" t="s">
        <v>355</v>
      </c>
      <c r="H138" s="95"/>
      <c r="I138" s="90"/>
      <c r="K138" s="93"/>
    </row>
    <row r="139" spans="1:11" x14ac:dyDescent="0.25">
      <c r="A139" s="89"/>
      <c r="B139" s="90" t="str">
        <f>TEXT(Table4[[#This Row],[التاريخ ]],"mmm")</f>
        <v>Jan</v>
      </c>
      <c r="C139" s="91"/>
      <c r="D139" s="91" t="e">
        <f>VLOOKUP(Table4[[#This Row],[الكود]],'[11]قاعدة بيانات  '!$K$3:$L$380,2,0)</f>
        <v>#N/A</v>
      </c>
      <c r="E139" s="90" t="e">
        <f>VLOOKUP(Table4[[#This Row],[الكود]],'[11]قاعدة بيانات  '!$K$3:$N$380,4,0)</f>
        <v>#N/A</v>
      </c>
      <c r="F139" s="90" t="e">
        <f>VLOOKUP(C:C,'[10]قاعدة بيانات  '!K:Q,5,0)</f>
        <v>#N/A</v>
      </c>
      <c r="G139" s="91" t="s">
        <v>355</v>
      </c>
      <c r="H139" s="95"/>
      <c r="I139" s="90"/>
      <c r="K139" s="93"/>
    </row>
    <row r="140" spans="1:11" x14ac:dyDescent="0.25">
      <c r="A140" s="89"/>
      <c r="B140" s="90" t="str">
        <f>TEXT(Table4[[#This Row],[التاريخ ]],"mmm")</f>
        <v>Jan</v>
      </c>
      <c r="C140" s="91"/>
      <c r="D140" s="91" t="e">
        <f>VLOOKUP(Table4[[#This Row],[الكود]],'[11]قاعدة بيانات  '!$K$3:$L$380,2,0)</f>
        <v>#N/A</v>
      </c>
      <c r="E140" s="90" t="e">
        <f>VLOOKUP(Table4[[#This Row],[الكود]],'[11]قاعدة بيانات  '!$K$3:$N$380,4,0)</f>
        <v>#N/A</v>
      </c>
      <c r="F140" s="90" t="e">
        <f>VLOOKUP(C:C,'[10]قاعدة بيانات  '!K:Q,5,0)</f>
        <v>#N/A</v>
      </c>
      <c r="G140" s="91" t="s">
        <v>355</v>
      </c>
      <c r="H140" s="95"/>
      <c r="I140" s="90"/>
      <c r="K140" s="93"/>
    </row>
    <row r="141" spans="1:11" x14ac:dyDescent="0.25">
      <c r="A141" s="89"/>
      <c r="B141" s="90" t="str">
        <f>TEXT(Table4[[#This Row],[التاريخ ]],"mmm")</f>
        <v>Jan</v>
      </c>
      <c r="C141" s="91"/>
      <c r="D141" s="91" t="e">
        <f>VLOOKUP(Table4[[#This Row],[الكود]],'[11]قاعدة بيانات  '!$K$3:$L$380,2,0)</f>
        <v>#N/A</v>
      </c>
      <c r="E141" s="90" t="e">
        <f>VLOOKUP(Table4[[#This Row],[الكود]],'[11]قاعدة بيانات  '!$K$3:$N$380,4,0)</f>
        <v>#N/A</v>
      </c>
      <c r="F141" s="90" t="e">
        <f>VLOOKUP(C:C,'[10]قاعدة بيانات  '!K:Q,5,0)</f>
        <v>#N/A</v>
      </c>
      <c r="G141" s="91" t="s">
        <v>355</v>
      </c>
      <c r="H141" s="95"/>
      <c r="I141" s="90"/>
      <c r="K141" s="93"/>
    </row>
    <row r="142" spans="1:11" x14ac:dyDescent="0.25">
      <c r="A142" s="89"/>
      <c r="B142" s="90" t="str">
        <f>TEXT(Table4[[#This Row],[التاريخ ]],"mmm")</f>
        <v>Jan</v>
      </c>
      <c r="C142" s="91"/>
      <c r="D142" s="91" t="e">
        <f>VLOOKUP(Table4[[#This Row],[الكود]],'[11]قاعدة بيانات  '!$K$3:$L$380,2,0)</f>
        <v>#N/A</v>
      </c>
      <c r="E142" s="90" t="e">
        <f>VLOOKUP(Table4[[#This Row],[الكود]],'[11]قاعدة بيانات  '!$K$3:$N$380,4,0)</f>
        <v>#N/A</v>
      </c>
      <c r="F142" s="90" t="e">
        <f>VLOOKUP(C:C,'[10]قاعدة بيانات  '!K:Q,5,0)</f>
        <v>#N/A</v>
      </c>
      <c r="G142" s="91" t="s">
        <v>355</v>
      </c>
      <c r="H142" s="95"/>
      <c r="I142" s="90"/>
      <c r="K142" s="93"/>
    </row>
    <row r="143" spans="1:11" x14ac:dyDescent="0.25">
      <c r="A143" s="89"/>
      <c r="B143" s="90" t="str">
        <f>TEXT(Table4[[#This Row],[التاريخ ]],"mmm")</f>
        <v>Jan</v>
      </c>
      <c r="C143" s="91"/>
      <c r="D143" s="91" t="e">
        <f>VLOOKUP(Table4[[#This Row],[الكود]],'[11]قاعدة بيانات  '!$K$3:$L$380,2,0)</f>
        <v>#N/A</v>
      </c>
      <c r="E143" s="90" t="e">
        <f>VLOOKUP(Table4[[#This Row],[الكود]],'[11]قاعدة بيانات  '!$K$3:$N$380,4,0)</f>
        <v>#N/A</v>
      </c>
      <c r="F143" s="90" t="e">
        <f>VLOOKUP(C:C,'[10]قاعدة بيانات  '!K:Q,5,0)</f>
        <v>#N/A</v>
      </c>
      <c r="G143" s="91" t="s">
        <v>355</v>
      </c>
      <c r="H143" s="95"/>
      <c r="I143" s="90"/>
      <c r="K143" s="93"/>
    </row>
    <row r="144" spans="1:11" x14ac:dyDescent="0.25">
      <c r="A144" s="89"/>
      <c r="B144" s="90" t="str">
        <f>TEXT(Table4[[#This Row],[التاريخ ]],"mmm")</f>
        <v>Jan</v>
      </c>
      <c r="C144" s="91"/>
      <c r="D144" s="91" t="e">
        <f>VLOOKUP(Table4[[#This Row],[الكود]],'[11]قاعدة بيانات  '!$K$3:$L$380,2,0)</f>
        <v>#N/A</v>
      </c>
      <c r="E144" s="90" t="e">
        <f>VLOOKUP(Table4[[#This Row],[الكود]],'[11]قاعدة بيانات  '!$K$3:$N$380,4,0)</f>
        <v>#N/A</v>
      </c>
      <c r="F144" s="90" t="e">
        <f>VLOOKUP(C:C,'[10]قاعدة بيانات  '!K:Q,5,0)</f>
        <v>#N/A</v>
      </c>
      <c r="G144" s="91" t="s">
        <v>355</v>
      </c>
      <c r="H144" s="95"/>
      <c r="I144" s="90"/>
      <c r="K144" s="93"/>
    </row>
    <row r="145" spans="1:11" x14ac:dyDescent="0.25">
      <c r="A145" s="89"/>
      <c r="B145" s="90" t="str">
        <f>TEXT(Table4[[#This Row],[التاريخ ]],"mmm")</f>
        <v>Jan</v>
      </c>
      <c r="C145" s="91"/>
      <c r="D145" s="91" t="e">
        <f>VLOOKUP(Table4[[#This Row],[الكود]],'[11]قاعدة بيانات  '!$K$3:$L$380,2,0)</f>
        <v>#N/A</v>
      </c>
      <c r="E145" s="90" t="e">
        <f>VLOOKUP(Table4[[#This Row],[الكود]],'[11]قاعدة بيانات  '!$K$3:$N$380,4,0)</f>
        <v>#N/A</v>
      </c>
      <c r="F145" s="90" t="e">
        <f>VLOOKUP(C:C,'[10]قاعدة بيانات  '!K:Q,5,0)</f>
        <v>#N/A</v>
      </c>
      <c r="G145" s="91" t="s">
        <v>355</v>
      </c>
      <c r="H145" s="95"/>
      <c r="I145" s="90"/>
      <c r="K145" s="93"/>
    </row>
    <row r="146" spans="1:11" x14ac:dyDescent="0.25">
      <c r="A146" s="89"/>
      <c r="B146" s="90" t="str">
        <f>TEXT(Table4[[#This Row],[التاريخ ]],"mmm")</f>
        <v>Jan</v>
      </c>
      <c r="C146" s="91"/>
      <c r="D146" s="91" t="e">
        <f>VLOOKUP(Table4[[#This Row],[الكود]],'[11]قاعدة بيانات  '!$K$3:$L$380,2,0)</f>
        <v>#N/A</v>
      </c>
      <c r="E146" s="90" t="e">
        <f>VLOOKUP(Table4[[#This Row],[الكود]],'[11]قاعدة بيانات  '!$K$3:$N$380,4,0)</f>
        <v>#N/A</v>
      </c>
      <c r="F146" s="90" t="e">
        <f>VLOOKUP(C:C,'[10]قاعدة بيانات  '!K:Q,5,0)</f>
        <v>#N/A</v>
      </c>
      <c r="G146" s="91" t="s">
        <v>355</v>
      </c>
      <c r="H146" s="95"/>
      <c r="I146" s="90"/>
      <c r="K146" s="93"/>
    </row>
    <row r="147" spans="1:11" x14ac:dyDescent="0.25">
      <c r="A147" s="89"/>
      <c r="B147" s="90" t="str">
        <f>TEXT(Table4[[#This Row],[التاريخ ]],"mmm")</f>
        <v>Jan</v>
      </c>
      <c r="C147" s="91"/>
      <c r="D147" s="91" t="e">
        <f>VLOOKUP(Table4[[#This Row],[الكود]],'[11]قاعدة بيانات  '!$K$3:$L$380,2,0)</f>
        <v>#N/A</v>
      </c>
      <c r="E147" s="90" t="e">
        <f>VLOOKUP(Table4[[#This Row],[الكود]],'[11]قاعدة بيانات  '!$K$3:$N$380,4,0)</f>
        <v>#N/A</v>
      </c>
      <c r="F147" s="90" t="e">
        <f>VLOOKUP(C:C,'[10]قاعدة بيانات  '!K:Q,5,0)</f>
        <v>#N/A</v>
      </c>
      <c r="G147" s="91" t="s">
        <v>355</v>
      </c>
      <c r="H147" s="95"/>
      <c r="I147" s="90"/>
      <c r="K147" s="93"/>
    </row>
    <row r="148" spans="1:11" x14ac:dyDescent="0.25">
      <c r="A148" s="89"/>
      <c r="B148" s="90" t="str">
        <f>TEXT(Table4[[#This Row],[التاريخ ]],"mmm")</f>
        <v>Jan</v>
      </c>
      <c r="C148" s="91"/>
      <c r="D148" s="91" t="e">
        <f>VLOOKUP(Table4[[#This Row],[الكود]],'[11]قاعدة بيانات  '!$K$3:$L$380,2,0)</f>
        <v>#N/A</v>
      </c>
      <c r="E148" s="90" t="e">
        <f>VLOOKUP(Table4[[#This Row],[الكود]],'[11]قاعدة بيانات  '!$K$3:$N$380,4,0)</f>
        <v>#N/A</v>
      </c>
      <c r="F148" s="90" t="e">
        <f>VLOOKUP(C:C,'[10]قاعدة بيانات  '!K:Q,5,0)</f>
        <v>#N/A</v>
      </c>
      <c r="G148" s="91" t="s">
        <v>355</v>
      </c>
      <c r="H148" s="95"/>
      <c r="I148" s="90"/>
      <c r="K148" s="93"/>
    </row>
    <row r="149" spans="1:11" x14ac:dyDescent="0.25">
      <c r="A149" s="89"/>
      <c r="B149" s="90" t="str">
        <f>TEXT(Table4[[#This Row],[التاريخ ]],"mmm")</f>
        <v>Jan</v>
      </c>
      <c r="C149" s="91"/>
      <c r="D149" s="91" t="e">
        <f>VLOOKUP(Table4[[#This Row],[الكود]],'[11]قاعدة بيانات  '!$K$3:$L$380,2,0)</f>
        <v>#N/A</v>
      </c>
      <c r="E149" s="90" t="e">
        <f>VLOOKUP(Table4[[#This Row],[الكود]],'[11]قاعدة بيانات  '!$K$3:$N$380,4,0)</f>
        <v>#N/A</v>
      </c>
      <c r="F149" s="90" t="e">
        <f>VLOOKUP(C:C,'[10]قاعدة بيانات  '!K:Q,5,0)</f>
        <v>#N/A</v>
      </c>
      <c r="G149" s="91" t="s">
        <v>355</v>
      </c>
      <c r="H149" s="95"/>
      <c r="I149" s="90"/>
      <c r="K149" s="93"/>
    </row>
    <row r="150" spans="1:11" x14ac:dyDescent="0.25">
      <c r="A150" s="89"/>
      <c r="B150" s="90" t="str">
        <f>TEXT(Table4[[#This Row],[التاريخ ]],"mmm")</f>
        <v>Jan</v>
      </c>
      <c r="C150" s="91"/>
      <c r="D150" s="91" t="e">
        <f>VLOOKUP(Table4[[#This Row],[الكود]],'[11]قاعدة بيانات  '!$K$3:$L$380,2,0)</f>
        <v>#N/A</v>
      </c>
      <c r="E150" s="90" t="e">
        <f>VLOOKUP(Table4[[#This Row],[الكود]],'[11]قاعدة بيانات  '!$K$3:$N$380,4,0)</f>
        <v>#N/A</v>
      </c>
      <c r="F150" s="90" t="e">
        <f>VLOOKUP(C:C,'[10]قاعدة بيانات  '!K:Q,5,0)</f>
        <v>#N/A</v>
      </c>
      <c r="G150" s="91" t="s">
        <v>355</v>
      </c>
      <c r="H150" s="95"/>
      <c r="I150" s="90"/>
      <c r="K150" s="93"/>
    </row>
    <row r="151" spans="1:11" x14ac:dyDescent="0.25">
      <c r="A151" s="89"/>
      <c r="B151" s="90" t="str">
        <f>TEXT(Table4[[#This Row],[التاريخ ]],"mmm")</f>
        <v>Jan</v>
      </c>
      <c r="C151" s="91"/>
      <c r="D151" s="91" t="e">
        <f>VLOOKUP(Table4[[#This Row],[الكود]],'[11]قاعدة بيانات  '!$K$3:$L$380,2,0)</f>
        <v>#N/A</v>
      </c>
      <c r="E151" s="90" t="e">
        <f>VLOOKUP(Table4[[#This Row],[الكود]],'[11]قاعدة بيانات  '!$K$3:$N$380,4,0)</f>
        <v>#N/A</v>
      </c>
      <c r="F151" s="90" t="e">
        <f>VLOOKUP(C:C,'[10]قاعدة بيانات  '!K:Q,5,0)</f>
        <v>#N/A</v>
      </c>
      <c r="G151" s="91" t="s">
        <v>355</v>
      </c>
      <c r="H151" s="95"/>
      <c r="I151" s="90"/>
      <c r="K151" s="93"/>
    </row>
    <row r="152" spans="1:11" x14ac:dyDescent="0.25">
      <c r="A152" s="89"/>
      <c r="B152" s="90" t="str">
        <f>TEXT(Table4[[#This Row],[التاريخ ]],"mmm")</f>
        <v>Jan</v>
      </c>
      <c r="C152" s="91"/>
      <c r="D152" s="91" t="e">
        <f>VLOOKUP(Table4[[#This Row],[الكود]],'[11]قاعدة بيانات  '!$K$3:$L$380,2,0)</f>
        <v>#N/A</v>
      </c>
      <c r="E152" s="90" t="e">
        <f>VLOOKUP(Table4[[#This Row],[الكود]],'[11]قاعدة بيانات  '!$K$3:$N$380,4,0)</f>
        <v>#N/A</v>
      </c>
      <c r="F152" s="90" t="e">
        <f>VLOOKUP(C:C,'[10]قاعدة بيانات  '!K:Q,5,0)</f>
        <v>#N/A</v>
      </c>
      <c r="G152" s="91" t="s">
        <v>355</v>
      </c>
      <c r="H152" s="95"/>
      <c r="I152" s="90"/>
      <c r="K152" s="93"/>
    </row>
    <row r="153" spans="1:11" x14ac:dyDescent="0.25">
      <c r="A153" s="89"/>
      <c r="B153" s="90" t="str">
        <f>TEXT(Table4[[#This Row],[التاريخ ]],"mmm")</f>
        <v>Jan</v>
      </c>
      <c r="C153" s="91"/>
      <c r="D153" s="91" t="e">
        <f>VLOOKUP(Table4[[#This Row],[الكود]],'[11]قاعدة بيانات  '!$K$3:$L$380,2,0)</f>
        <v>#N/A</v>
      </c>
      <c r="E153" s="90" t="e">
        <f>VLOOKUP(Table4[[#This Row],[الكود]],'[11]قاعدة بيانات  '!$K$3:$N$380,4,0)</f>
        <v>#N/A</v>
      </c>
      <c r="F153" s="90" t="e">
        <f>VLOOKUP(C:C,'[10]قاعدة بيانات  '!K:Q,5,0)</f>
        <v>#N/A</v>
      </c>
      <c r="G153" s="91" t="s">
        <v>355</v>
      </c>
      <c r="H153" s="95"/>
      <c r="I153" s="90"/>
      <c r="K153" s="93"/>
    </row>
    <row r="154" spans="1:11" x14ac:dyDescent="0.25">
      <c r="A154" s="89"/>
      <c r="B154" s="90" t="str">
        <f>TEXT(Table4[[#This Row],[التاريخ ]],"mmm")</f>
        <v>Jan</v>
      </c>
      <c r="C154" s="91"/>
      <c r="D154" s="91" t="e">
        <f>VLOOKUP(Table4[[#This Row],[الكود]],'[11]قاعدة بيانات  '!$K$3:$L$380,2,0)</f>
        <v>#N/A</v>
      </c>
      <c r="E154" s="90" t="e">
        <f>VLOOKUP(Table4[[#This Row],[الكود]],'[11]قاعدة بيانات  '!$K$3:$N$380,4,0)</f>
        <v>#N/A</v>
      </c>
      <c r="F154" s="90" t="e">
        <f>VLOOKUP(C:C,'[10]قاعدة بيانات  '!K:Q,5,0)</f>
        <v>#N/A</v>
      </c>
      <c r="G154" s="91" t="s">
        <v>355</v>
      </c>
      <c r="H154" s="95"/>
      <c r="I154" s="90"/>
      <c r="K154" s="93"/>
    </row>
    <row r="155" spans="1:11" x14ac:dyDescent="0.25">
      <c r="A155" s="89"/>
      <c r="B155" s="90" t="str">
        <f>TEXT(Table4[[#This Row],[التاريخ ]],"mmm")</f>
        <v>Jan</v>
      </c>
      <c r="C155" s="91"/>
      <c r="D155" s="91" t="e">
        <f>VLOOKUP(Table4[[#This Row],[الكود]],'[11]قاعدة بيانات  '!$K$3:$L$380,2,0)</f>
        <v>#N/A</v>
      </c>
      <c r="E155" s="90" t="e">
        <f>VLOOKUP(Table4[[#This Row],[الكود]],'[11]قاعدة بيانات  '!$K$3:$N$380,4,0)</f>
        <v>#N/A</v>
      </c>
      <c r="F155" s="90" t="e">
        <f>VLOOKUP(C:C,'[10]قاعدة بيانات  '!K:Q,5,0)</f>
        <v>#N/A</v>
      </c>
      <c r="G155" s="91" t="s">
        <v>355</v>
      </c>
      <c r="H155" s="95"/>
      <c r="I155" s="90"/>
      <c r="K155" s="93"/>
    </row>
    <row r="156" spans="1:11" x14ac:dyDescent="0.25">
      <c r="A156" s="89"/>
      <c r="B156" s="90" t="str">
        <f>TEXT(Table4[[#This Row],[التاريخ ]],"mmm")</f>
        <v>Jan</v>
      </c>
      <c r="C156" s="91"/>
      <c r="D156" s="91" t="e">
        <f>VLOOKUP(Table4[[#This Row],[الكود]],'[11]قاعدة بيانات  '!$K$3:$L$380,2,0)</f>
        <v>#N/A</v>
      </c>
      <c r="E156" s="90" t="e">
        <f>VLOOKUP(Table4[[#This Row],[الكود]],'[11]قاعدة بيانات  '!$K$3:$N$380,4,0)</f>
        <v>#N/A</v>
      </c>
      <c r="F156" s="90" t="e">
        <f>VLOOKUP(C:C,'[10]قاعدة بيانات  '!K:Q,5,0)</f>
        <v>#N/A</v>
      </c>
      <c r="G156" s="91" t="s">
        <v>355</v>
      </c>
      <c r="H156" s="95"/>
      <c r="I156" s="90"/>
      <c r="K156" s="93"/>
    </row>
    <row r="157" spans="1:11" x14ac:dyDescent="0.25">
      <c r="A157" s="89"/>
      <c r="B157" s="90" t="str">
        <f>TEXT(Table4[[#This Row],[التاريخ ]],"mmm")</f>
        <v>Jan</v>
      </c>
      <c r="C157" s="91"/>
      <c r="D157" s="91" t="e">
        <f>VLOOKUP(Table4[[#This Row],[الكود]],'[11]قاعدة بيانات  '!$K$3:$L$380,2,0)</f>
        <v>#N/A</v>
      </c>
      <c r="E157" s="90" t="e">
        <f>VLOOKUP(Table4[[#This Row],[الكود]],'[11]قاعدة بيانات  '!$K$3:$N$380,4,0)</f>
        <v>#N/A</v>
      </c>
      <c r="F157" s="90" t="e">
        <f>VLOOKUP(C:C,'[10]قاعدة بيانات  '!K:Q,5,0)</f>
        <v>#N/A</v>
      </c>
      <c r="G157" s="91" t="s">
        <v>355</v>
      </c>
      <c r="H157" s="95"/>
      <c r="I157" s="90"/>
      <c r="K157" s="93"/>
    </row>
    <row r="158" spans="1:11" x14ac:dyDescent="0.25">
      <c r="A158" s="89"/>
      <c r="B158" s="90" t="str">
        <f>TEXT(Table4[[#This Row],[التاريخ ]],"mmm")</f>
        <v>Jan</v>
      </c>
      <c r="C158" s="91"/>
      <c r="D158" s="91" t="e">
        <f>VLOOKUP(Table4[[#This Row],[الكود]],'[11]قاعدة بيانات  '!$K$3:$L$380,2,0)</f>
        <v>#N/A</v>
      </c>
      <c r="E158" s="90" t="e">
        <f>VLOOKUP(Table4[[#This Row],[الكود]],'[11]قاعدة بيانات  '!$K$3:$N$380,4,0)</f>
        <v>#N/A</v>
      </c>
      <c r="F158" s="90" t="e">
        <f>VLOOKUP(C:C,'[10]قاعدة بيانات  '!K:Q,5,0)</f>
        <v>#N/A</v>
      </c>
      <c r="G158" s="91" t="s">
        <v>355</v>
      </c>
      <c r="H158" s="95"/>
      <c r="I158" s="90"/>
      <c r="K158" s="93"/>
    </row>
    <row r="159" spans="1:11" x14ac:dyDescent="0.25">
      <c r="A159" s="89"/>
      <c r="B159" s="90" t="str">
        <f>TEXT(Table4[[#This Row],[التاريخ ]],"mmm")</f>
        <v>Jan</v>
      </c>
      <c r="C159" s="91"/>
      <c r="D159" s="91" t="e">
        <f>VLOOKUP(Table4[[#This Row],[الكود]],'[11]قاعدة بيانات  '!$K$3:$L$380,2,0)</f>
        <v>#N/A</v>
      </c>
      <c r="E159" s="90" t="e">
        <f>VLOOKUP(Table4[[#This Row],[الكود]],'[11]قاعدة بيانات  '!$K$3:$N$380,4,0)</f>
        <v>#N/A</v>
      </c>
      <c r="F159" s="90" t="e">
        <f>VLOOKUP(C:C,'[10]قاعدة بيانات  '!K:Q,5,0)</f>
        <v>#N/A</v>
      </c>
      <c r="G159" s="91" t="s">
        <v>355</v>
      </c>
      <c r="H159" s="95"/>
      <c r="I159" s="90"/>
      <c r="K159" s="93"/>
    </row>
    <row r="160" spans="1:11" x14ac:dyDescent="0.25">
      <c r="A160" s="89"/>
      <c r="B160" s="90" t="str">
        <f>TEXT(Table4[[#This Row],[التاريخ ]],"mmm")</f>
        <v>Jan</v>
      </c>
      <c r="C160" s="91"/>
      <c r="D160" s="91" t="e">
        <f>VLOOKUP(Table4[[#This Row],[الكود]],'[11]قاعدة بيانات  '!$K$3:$L$380,2,0)</f>
        <v>#N/A</v>
      </c>
      <c r="E160" s="90" t="e">
        <f>VLOOKUP(Table4[[#This Row],[الكود]],'[11]قاعدة بيانات  '!$K$3:$N$380,4,0)</f>
        <v>#N/A</v>
      </c>
      <c r="F160" s="90" t="e">
        <f>VLOOKUP(C:C,'[10]قاعدة بيانات  '!K:Q,5,0)</f>
        <v>#N/A</v>
      </c>
      <c r="G160" s="91" t="s">
        <v>355</v>
      </c>
      <c r="H160" s="95"/>
      <c r="I160" s="90"/>
      <c r="K160" s="93"/>
    </row>
    <row r="161" spans="1:11" x14ac:dyDescent="0.25">
      <c r="A161" s="89"/>
      <c r="B161" s="90" t="str">
        <f>TEXT(Table4[[#This Row],[التاريخ ]],"mmm")</f>
        <v>Jan</v>
      </c>
      <c r="C161" s="91"/>
      <c r="D161" s="91" t="e">
        <f>VLOOKUP(Table4[[#This Row],[الكود]],'[11]قاعدة بيانات  '!$K$3:$L$380,2,0)</f>
        <v>#N/A</v>
      </c>
      <c r="E161" s="90" t="e">
        <f>VLOOKUP(Table4[[#This Row],[الكود]],'[11]قاعدة بيانات  '!$K$3:$N$380,4,0)</f>
        <v>#N/A</v>
      </c>
      <c r="F161" s="90" t="e">
        <f>VLOOKUP(C:C,'[10]قاعدة بيانات  '!K:Q,5,0)</f>
        <v>#N/A</v>
      </c>
      <c r="G161" s="91" t="s">
        <v>355</v>
      </c>
      <c r="H161" s="95"/>
      <c r="I161" s="90"/>
      <c r="K161" s="93"/>
    </row>
    <row r="162" spans="1:11" x14ac:dyDescent="0.25">
      <c r="A162" s="89"/>
      <c r="B162" s="90" t="str">
        <f>TEXT(Table4[[#This Row],[التاريخ ]],"mmm")</f>
        <v>Jan</v>
      </c>
      <c r="C162" s="91"/>
      <c r="D162" s="91" t="e">
        <f>VLOOKUP(Table4[[#This Row],[الكود]],'[11]قاعدة بيانات  '!$K$3:$L$380,2,0)</f>
        <v>#N/A</v>
      </c>
      <c r="E162" s="90" t="e">
        <f>VLOOKUP(Table4[[#This Row],[الكود]],'[11]قاعدة بيانات  '!$K$3:$N$380,4,0)</f>
        <v>#N/A</v>
      </c>
      <c r="F162" s="90" t="e">
        <f>VLOOKUP(C:C,'[10]قاعدة بيانات  '!K:Q,5,0)</f>
        <v>#N/A</v>
      </c>
      <c r="G162" s="91" t="s">
        <v>355</v>
      </c>
      <c r="H162" s="95"/>
      <c r="I162" s="90"/>
      <c r="K162" s="93"/>
    </row>
    <row r="163" spans="1:11" x14ac:dyDescent="0.25">
      <c r="A163" s="89"/>
      <c r="B163" s="90" t="str">
        <f>TEXT(Table4[[#This Row],[التاريخ ]],"mmm")</f>
        <v>Jan</v>
      </c>
      <c r="C163" s="91"/>
      <c r="D163" s="91" t="e">
        <f>VLOOKUP(Table4[[#This Row],[الكود]],'[11]قاعدة بيانات  '!$K$3:$L$380,2,0)</f>
        <v>#N/A</v>
      </c>
      <c r="E163" s="90" t="e">
        <f>VLOOKUP(Table4[[#This Row],[الكود]],'[11]قاعدة بيانات  '!$K$3:$N$380,4,0)</f>
        <v>#N/A</v>
      </c>
      <c r="F163" s="90" t="e">
        <f>VLOOKUP(C:C,'[10]قاعدة بيانات  '!K:Q,5,0)</f>
        <v>#N/A</v>
      </c>
      <c r="G163" s="91" t="s">
        <v>355</v>
      </c>
      <c r="H163" s="95"/>
      <c r="I163" s="90"/>
      <c r="K163" s="93"/>
    </row>
    <row r="164" spans="1:11" x14ac:dyDescent="0.25">
      <c r="A164" s="89"/>
      <c r="B164" s="90" t="str">
        <f>TEXT(Table4[[#This Row],[التاريخ ]],"mmm")</f>
        <v>Jan</v>
      </c>
      <c r="C164" s="91"/>
      <c r="D164" s="91" t="e">
        <f>VLOOKUP(Table4[[#This Row],[الكود]],'[11]قاعدة بيانات  '!$K$3:$L$380,2,0)</f>
        <v>#N/A</v>
      </c>
      <c r="E164" s="90" t="e">
        <f>VLOOKUP(Table4[[#This Row],[الكود]],'[11]قاعدة بيانات  '!$K$3:$N$380,4,0)</f>
        <v>#N/A</v>
      </c>
      <c r="F164" s="90" t="e">
        <f>VLOOKUP(C:C,'[10]قاعدة بيانات  '!K:Q,5,0)</f>
        <v>#N/A</v>
      </c>
      <c r="G164" s="91" t="s">
        <v>355</v>
      </c>
      <c r="H164" s="95"/>
      <c r="I164" s="90"/>
      <c r="K164" s="93"/>
    </row>
    <row r="165" spans="1:11" x14ac:dyDescent="0.25">
      <c r="A165" s="89"/>
      <c r="B165" s="90" t="str">
        <f>TEXT(Table4[[#This Row],[التاريخ ]],"mmm")</f>
        <v>Jan</v>
      </c>
      <c r="C165" s="91"/>
      <c r="D165" s="91" t="e">
        <f>VLOOKUP(Table4[[#This Row],[الكود]],'[11]قاعدة بيانات  '!$K$3:$L$380,2,0)</f>
        <v>#N/A</v>
      </c>
      <c r="E165" s="90" t="e">
        <f>VLOOKUP(Table4[[#This Row],[الكود]],'[11]قاعدة بيانات  '!$K$3:$N$380,4,0)</f>
        <v>#N/A</v>
      </c>
      <c r="F165" s="90" t="e">
        <f>VLOOKUP(C:C,'[10]قاعدة بيانات  '!K:Q,5,0)</f>
        <v>#N/A</v>
      </c>
      <c r="G165" s="91" t="s">
        <v>355</v>
      </c>
      <c r="H165" s="95"/>
      <c r="I165" s="90"/>
      <c r="K165" s="93"/>
    </row>
    <row r="166" spans="1:11" x14ac:dyDescent="0.25">
      <c r="A166" s="89"/>
      <c r="B166" s="90" t="str">
        <f>TEXT(Table4[[#This Row],[التاريخ ]],"mmm")</f>
        <v>Jan</v>
      </c>
      <c r="C166" s="91"/>
      <c r="D166" s="91" t="e">
        <f>VLOOKUP(Table4[[#This Row],[الكود]],'[11]قاعدة بيانات  '!$K$3:$L$380,2,0)</f>
        <v>#N/A</v>
      </c>
      <c r="E166" s="90" t="e">
        <f>VLOOKUP(Table4[[#This Row],[الكود]],'[11]قاعدة بيانات  '!$K$3:$N$380,4,0)</f>
        <v>#N/A</v>
      </c>
      <c r="F166" s="90" t="e">
        <f>VLOOKUP(C:C,'[10]قاعدة بيانات  '!K:Q,5,0)</f>
        <v>#N/A</v>
      </c>
      <c r="G166" s="91" t="s">
        <v>355</v>
      </c>
      <c r="H166" s="95"/>
      <c r="I166" s="90"/>
      <c r="K166" s="93"/>
    </row>
    <row r="167" spans="1:11" x14ac:dyDescent="0.25">
      <c r="A167" s="89"/>
      <c r="B167" s="90" t="str">
        <f>TEXT(Table4[[#This Row],[التاريخ ]],"mmm")</f>
        <v>Jan</v>
      </c>
      <c r="C167" s="91"/>
      <c r="D167" s="91" t="e">
        <f>VLOOKUP(Table4[[#This Row],[الكود]],'[11]قاعدة بيانات  '!$K$3:$L$380,2,0)</f>
        <v>#N/A</v>
      </c>
      <c r="E167" s="90" t="e">
        <f>VLOOKUP(Table4[[#This Row],[الكود]],'[11]قاعدة بيانات  '!$K$3:$N$380,4,0)</f>
        <v>#N/A</v>
      </c>
      <c r="F167" s="90" t="e">
        <f>VLOOKUP(C:C,'[10]قاعدة بيانات  '!K:Q,5,0)</f>
        <v>#N/A</v>
      </c>
      <c r="G167" s="91" t="s">
        <v>355</v>
      </c>
      <c r="H167" s="95"/>
      <c r="I167" s="90"/>
      <c r="K167" s="93"/>
    </row>
    <row r="168" spans="1:11" x14ac:dyDescent="0.25">
      <c r="A168" s="89"/>
      <c r="B168" s="90" t="str">
        <f>TEXT(Table4[[#This Row],[التاريخ ]],"mmm")</f>
        <v>Jan</v>
      </c>
      <c r="C168" s="91"/>
      <c r="D168" s="91" t="e">
        <f>VLOOKUP(Table4[[#This Row],[الكود]],'[11]قاعدة بيانات  '!$K$3:$L$380,2,0)</f>
        <v>#N/A</v>
      </c>
      <c r="E168" s="90" t="e">
        <f>VLOOKUP(Table4[[#This Row],[الكود]],'[11]قاعدة بيانات  '!$K$3:$N$380,4,0)</f>
        <v>#N/A</v>
      </c>
      <c r="F168" s="90" t="e">
        <f>VLOOKUP(C:C,'[10]قاعدة بيانات  '!K:Q,5,0)</f>
        <v>#N/A</v>
      </c>
      <c r="G168" s="91" t="s">
        <v>355</v>
      </c>
      <c r="H168" s="95"/>
      <c r="I168" s="90"/>
      <c r="K168" s="93"/>
    </row>
    <row r="169" spans="1:11" x14ac:dyDescent="0.25">
      <c r="A169" s="89"/>
      <c r="B169" s="90" t="str">
        <f>TEXT(Table4[[#This Row],[التاريخ ]],"mmm")</f>
        <v>Jan</v>
      </c>
      <c r="C169" s="91"/>
      <c r="D169" s="91" t="e">
        <f>VLOOKUP(Table4[[#This Row],[الكود]],'[11]قاعدة بيانات  '!$K$3:$L$380,2,0)</f>
        <v>#N/A</v>
      </c>
      <c r="E169" s="90" t="e">
        <f>VLOOKUP(Table4[[#This Row],[الكود]],'[11]قاعدة بيانات  '!$K$3:$N$380,4,0)</f>
        <v>#N/A</v>
      </c>
      <c r="F169" s="90" t="e">
        <f>VLOOKUP(C:C,'[10]قاعدة بيانات  '!K:Q,5,0)</f>
        <v>#N/A</v>
      </c>
      <c r="G169" s="91" t="s">
        <v>355</v>
      </c>
      <c r="H169" s="95"/>
      <c r="I169" s="90"/>
      <c r="K169" s="93"/>
    </row>
    <row r="170" spans="1:11" x14ac:dyDescent="0.25">
      <c r="A170" s="89"/>
      <c r="B170" s="90" t="str">
        <f>TEXT(Table4[[#This Row],[التاريخ ]],"mmm")</f>
        <v>Jan</v>
      </c>
      <c r="C170" s="91"/>
      <c r="D170" s="91" t="e">
        <f>VLOOKUP(Table4[[#This Row],[الكود]],'[11]قاعدة بيانات  '!$K$3:$L$380,2,0)</f>
        <v>#N/A</v>
      </c>
      <c r="E170" s="90" t="e">
        <f>VLOOKUP(Table4[[#This Row],[الكود]],'[11]قاعدة بيانات  '!$K$3:$N$380,4,0)</f>
        <v>#N/A</v>
      </c>
      <c r="F170" s="90" t="e">
        <f>VLOOKUP(C:C,'[10]قاعدة بيانات  '!K:Q,5,0)</f>
        <v>#N/A</v>
      </c>
      <c r="G170" s="91" t="s">
        <v>355</v>
      </c>
      <c r="H170" s="95"/>
      <c r="I170" s="90"/>
      <c r="K170" s="93"/>
    </row>
    <row r="171" spans="1:11" x14ac:dyDescent="0.25">
      <c r="A171" s="89"/>
      <c r="B171" s="90" t="str">
        <f>TEXT(Table4[[#This Row],[التاريخ ]],"mmm")</f>
        <v>Jan</v>
      </c>
      <c r="C171" s="91"/>
      <c r="D171" s="91" t="e">
        <f>VLOOKUP(Table4[[#This Row],[الكود]],'[11]قاعدة بيانات  '!$K$3:$L$380,2,0)</f>
        <v>#N/A</v>
      </c>
      <c r="E171" s="90" t="e">
        <f>VLOOKUP(Table4[[#This Row],[الكود]],'[11]قاعدة بيانات  '!$K$3:$N$380,4,0)</f>
        <v>#N/A</v>
      </c>
      <c r="F171" s="90" t="e">
        <f>VLOOKUP(C:C,'[10]قاعدة بيانات  '!K:Q,5,0)</f>
        <v>#N/A</v>
      </c>
      <c r="G171" s="91" t="s">
        <v>355</v>
      </c>
      <c r="H171" s="95"/>
      <c r="I171" s="90"/>
      <c r="K171" s="93"/>
    </row>
    <row r="172" spans="1:11" x14ac:dyDescent="0.25">
      <c r="A172" s="89"/>
      <c r="B172" s="90" t="str">
        <f>TEXT(Table4[[#This Row],[التاريخ ]],"mmm")</f>
        <v>Jan</v>
      </c>
      <c r="C172" s="91"/>
      <c r="D172" s="91" t="e">
        <f>VLOOKUP(Table4[[#This Row],[الكود]],'[11]قاعدة بيانات  '!$K$3:$L$380,2,0)</f>
        <v>#N/A</v>
      </c>
      <c r="E172" s="90" t="e">
        <f>VLOOKUP(Table4[[#This Row],[الكود]],'[11]قاعدة بيانات  '!$K$3:$N$380,4,0)</f>
        <v>#N/A</v>
      </c>
      <c r="F172" s="90" t="e">
        <f>VLOOKUP(C:C,'[10]قاعدة بيانات  '!K:Q,5,0)</f>
        <v>#N/A</v>
      </c>
      <c r="G172" s="91" t="s">
        <v>355</v>
      </c>
      <c r="H172" s="95"/>
      <c r="I172" s="90"/>
      <c r="K172" s="93"/>
    </row>
    <row r="173" spans="1:11" x14ac:dyDescent="0.25">
      <c r="A173" s="89"/>
      <c r="B173" s="90" t="str">
        <f>TEXT(Table4[[#This Row],[التاريخ ]],"mmm")</f>
        <v>Jan</v>
      </c>
      <c r="C173" s="91"/>
      <c r="D173" s="91" t="e">
        <f>VLOOKUP(Table4[[#This Row],[الكود]],'[11]قاعدة بيانات  '!$K$3:$L$380,2,0)</f>
        <v>#N/A</v>
      </c>
      <c r="E173" s="90" t="e">
        <f>VLOOKUP(Table4[[#This Row],[الكود]],'[11]قاعدة بيانات  '!$K$3:$N$380,4,0)</f>
        <v>#N/A</v>
      </c>
      <c r="F173" s="90" t="e">
        <f>VLOOKUP(C:C,'[10]قاعدة بيانات  '!K:Q,5,0)</f>
        <v>#N/A</v>
      </c>
      <c r="G173" s="91" t="s">
        <v>355</v>
      </c>
      <c r="H173" s="95"/>
      <c r="I173" s="90"/>
      <c r="K173" s="93"/>
    </row>
    <row r="174" spans="1:11" x14ac:dyDescent="0.25">
      <c r="A174" s="89"/>
      <c r="B174" s="90" t="str">
        <f>TEXT(Table4[[#This Row],[التاريخ ]],"mmm")</f>
        <v>Jan</v>
      </c>
      <c r="C174" s="91"/>
      <c r="D174" s="91" t="e">
        <f>VLOOKUP(Table4[[#This Row],[الكود]],'[11]قاعدة بيانات  '!$K$3:$L$380,2,0)</f>
        <v>#N/A</v>
      </c>
      <c r="E174" s="90" t="e">
        <f>VLOOKUP(Table4[[#This Row],[الكود]],'[11]قاعدة بيانات  '!$K$3:$N$380,4,0)</f>
        <v>#N/A</v>
      </c>
      <c r="F174" s="90" t="e">
        <f>VLOOKUP(C:C,'[10]قاعدة بيانات  '!K:Q,5,0)</f>
        <v>#N/A</v>
      </c>
      <c r="G174" s="91" t="s">
        <v>355</v>
      </c>
      <c r="H174" s="95"/>
      <c r="I174" s="90"/>
      <c r="K174" s="93"/>
    </row>
    <row r="175" spans="1:11" x14ac:dyDescent="0.25">
      <c r="A175" s="89"/>
      <c r="B175" s="90" t="str">
        <f>TEXT(Table4[[#This Row],[التاريخ ]],"mmm")</f>
        <v>Jan</v>
      </c>
      <c r="C175" s="91"/>
      <c r="D175" s="91" t="e">
        <f>VLOOKUP(Table4[[#This Row],[الكود]],'[11]قاعدة بيانات  '!$K$3:$L$380,2,0)</f>
        <v>#N/A</v>
      </c>
      <c r="E175" s="90" t="e">
        <f>VLOOKUP(Table4[[#This Row],[الكود]],'[11]قاعدة بيانات  '!$K$3:$N$380,4,0)</f>
        <v>#N/A</v>
      </c>
      <c r="F175" s="90" t="e">
        <f>VLOOKUP(C:C,'[10]قاعدة بيانات  '!K:Q,5,0)</f>
        <v>#N/A</v>
      </c>
      <c r="G175" s="91" t="s">
        <v>355</v>
      </c>
      <c r="H175" s="95"/>
      <c r="I175" s="90"/>
      <c r="K175" s="93"/>
    </row>
    <row r="176" spans="1:11" x14ac:dyDescent="0.25">
      <c r="A176" s="89"/>
      <c r="B176" s="90" t="str">
        <f>TEXT(Table4[[#This Row],[التاريخ ]],"mmm")</f>
        <v>Jan</v>
      </c>
      <c r="C176" s="91"/>
      <c r="D176" s="91" t="e">
        <f>VLOOKUP(Table4[[#This Row],[الكود]],'[11]قاعدة بيانات  '!$K$3:$L$380,2,0)</f>
        <v>#N/A</v>
      </c>
      <c r="E176" s="90" t="e">
        <f>VLOOKUP(Table4[[#This Row],[الكود]],'[11]قاعدة بيانات  '!$K$3:$N$380,4,0)</f>
        <v>#N/A</v>
      </c>
      <c r="F176" s="90" t="e">
        <f>VLOOKUP(C:C,'[10]قاعدة بيانات  '!K:Q,5,0)</f>
        <v>#N/A</v>
      </c>
      <c r="G176" s="91" t="s">
        <v>355</v>
      </c>
      <c r="H176" s="95"/>
      <c r="I176" s="90"/>
      <c r="K176" s="93"/>
    </row>
    <row r="177" spans="1:11" x14ac:dyDescent="0.25">
      <c r="A177" s="89"/>
      <c r="B177" s="90" t="str">
        <f>TEXT(Table4[[#This Row],[التاريخ ]],"mmm")</f>
        <v>Jan</v>
      </c>
      <c r="C177" s="91"/>
      <c r="D177" s="91" t="e">
        <f>VLOOKUP(Table4[[#This Row],[الكود]],'[11]قاعدة بيانات  '!$K$3:$L$380,2,0)</f>
        <v>#N/A</v>
      </c>
      <c r="E177" s="90" t="e">
        <f>VLOOKUP(Table4[[#This Row],[الكود]],'[11]قاعدة بيانات  '!$K$3:$N$380,4,0)</f>
        <v>#N/A</v>
      </c>
      <c r="F177" s="90" t="e">
        <f>VLOOKUP(C:C,'[10]قاعدة بيانات  '!K:Q,5,0)</f>
        <v>#N/A</v>
      </c>
      <c r="G177" s="91" t="s">
        <v>355</v>
      </c>
      <c r="H177" s="95"/>
      <c r="I177" s="90"/>
      <c r="K177" s="93"/>
    </row>
    <row r="178" spans="1:11" x14ac:dyDescent="0.25">
      <c r="A178" s="89"/>
      <c r="B178" s="90" t="str">
        <f>TEXT(Table4[[#This Row],[التاريخ ]],"mmm")</f>
        <v>Jan</v>
      </c>
      <c r="C178" s="91"/>
      <c r="D178" s="91" t="e">
        <f>VLOOKUP(Table4[[#This Row],[الكود]],'[11]قاعدة بيانات  '!$K$3:$L$380,2,0)</f>
        <v>#N/A</v>
      </c>
      <c r="E178" s="90" t="e">
        <f>VLOOKUP(Table4[[#This Row],[الكود]],'[11]قاعدة بيانات  '!$K$3:$N$380,4,0)</f>
        <v>#N/A</v>
      </c>
      <c r="F178" s="90" t="e">
        <f>VLOOKUP(C:C,'[10]قاعدة بيانات  '!K:Q,5,0)</f>
        <v>#N/A</v>
      </c>
      <c r="G178" s="91" t="s">
        <v>355</v>
      </c>
      <c r="H178" s="95"/>
      <c r="I178" s="90"/>
      <c r="K178" s="93"/>
    </row>
    <row r="179" spans="1:11" x14ac:dyDescent="0.25">
      <c r="A179" s="89"/>
      <c r="B179" s="90" t="str">
        <f>TEXT(Table4[[#This Row],[التاريخ ]],"mmm")</f>
        <v>Jan</v>
      </c>
      <c r="C179" s="91"/>
      <c r="D179" s="91" t="e">
        <f>VLOOKUP(Table4[[#This Row],[الكود]],'[11]قاعدة بيانات  '!$K$3:$L$380,2,0)</f>
        <v>#N/A</v>
      </c>
      <c r="E179" s="90" t="e">
        <f>VLOOKUP(Table4[[#This Row],[الكود]],'[11]قاعدة بيانات  '!$K$3:$N$380,4,0)</f>
        <v>#N/A</v>
      </c>
      <c r="F179" s="90" t="e">
        <f>VLOOKUP(C:C,'[10]قاعدة بيانات  '!K:Q,5,0)</f>
        <v>#N/A</v>
      </c>
      <c r="G179" s="91" t="s">
        <v>355</v>
      </c>
      <c r="H179" s="95"/>
      <c r="I179" s="90"/>
      <c r="K179" s="93"/>
    </row>
    <row r="180" spans="1:11" x14ac:dyDescent="0.25">
      <c r="A180" s="89"/>
      <c r="B180" s="90" t="str">
        <f>TEXT(Table4[[#This Row],[التاريخ ]],"mmm")</f>
        <v>Jan</v>
      </c>
      <c r="C180" s="91"/>
      <c r="D180" s="91" t="e">
        <f>VLOOKUP(Table4[[#This Row],[الكود]],'[11]قاعدة بيانات  '!$K$3:$L$380,2,0)</f>
        <v>#N/A</v>
      </c>
      <c r="E180" s="90" t="e">
        <f>VLOOKUP(Table4[[#This Row],[الكود]],'[11]قاعدة بيانات  '!$K$3:$N$380,4,0)</f>
        <v>#N/A</v>
      </c>
      <c r="F180" s="90" t="e">
        <f>VLOOKUP(C:C,'[10]قاعدة بيانات  '!K:Q,5,0)</f>
        <v>#N/A</v>
      </c>
      <c r="G180" s="91" t="s">
        <v>355</v>
      </c>
      <c r="H180" s="95"/>
      <c r="I180" s="90"/>
      <c r="K180" s="93"/>
    </row>
    <row r="181" spans="1:11" x14ac:dyDescent="0.25">
      <c r="A181" s="89"/>
      <c r="B181" s="90" t="str">
        <f>TEXT(Table4[[#This Row],[التاريخ ]],"mmm")</f>
        <v>Jan</v>
      </c>
      <c r="C181" s="91"/>
      <c r="D181" s="91" t="e">
        <f>VLOOKUP(Table4[[#This Row],[الكود]],'[11]قاعدة بيانات  '!$K$3:$L$380,2,0)</f>
        <v>#N/A</v>
      </c>
      <c r="E181" s="90" t="e">
        <f>VLOOKUP(Table4[[#This Row],[الكود]],'[11]قاعدة بيانات  '!$K$3:$N$380,4,0)</f>
        <v>#N/A</v>
      </c>
      <c r="F181" s="90" t="e">
        <f>VLOOKUP(C:C,'[10]قاعدة بيانات  '!K:Q,5,0)</f>
        <v>#N/A</v>
      </c>
      <c r="G181" s="91" t="s">
        <v>355</v>
      </c>
      <c r="H181" s="95"/>
      <c r="I181" s="90"/>
      <c r="K181" s="93"/>
    </row>
    <row r="182" spans="1:11" x14ac:dyDescent="0.25">
      <c r="A182" s="89"/>
      <c r="B182" s="90" t="str">
        <f>TEXT(Table4[[#This Row],[التاريخ ]],"mmm")</f>
        <v>Jan</v>
      </c>
      <c r="C182" s="91"/>
      <c r="D182" s="91" t="e">
        <f>VLOOKUP(Table4[[#This Row],[الكود]],'[11]قاعدة بيانات  '!$K$3:$L$380,2,0)</f>
        <v>#N/A</v>
      </c>
      <c r="E182" s="90" t="e">
        <f>VLOOKUP(Table4[[#This Row],[الكود]],'[11]قاعدة بيانات  '!$K$3:$N$380,4,0)</f>
        <v>#N/A</v>
      </c>
      <c r="F182" s="90" t="e">
        <f>VLOOKUP(C:C,'[10]قاعدة بيانات  '!K:Q,5,0)</f>
        <v>#N/A</v>
      </c>
      <c r="G182" s="91" t="s">
        <v>355</v>
      </c>
      <c r="H182" s="95"/>
      <c r="I182" s="90"/>
      <c r="K182" s="93"/>
    </row>
    <row r="183" spans="1:11" x14ac:dyDescent="0.25">
      <c r="A183" s="89"/>
      <c r="B183" s="90" t="str">
        <f>TEXT(Table4[[#This Row],[التاريخ ]],"mmm")</f>
        <v>Jan</v>
      </c>
      <c r="C183" s="91"/>
      <c r="D183" s="91" t="e">
        <f>VLOOKUP(Table4[[#This Row],[الكود]],'[11]قاعدة بيانات  '!$K$3:$L$380,2,0)</f>
        <v>#N/A</v>
      </c>
      <c r="E183" s="90" t="e">
        <f>VLOOKUP(Table4[[#This Row],[الكود]],'[11]قاعدة بيانات  '!$K$3:$N$380,4,0)</f>
        <v>#N/A</v>
      </c>
      <c r="F183" s="90" t="e">
        <f>VLOOKUP(C:C,'[10]قاعدة بيانات  '!K:Q,5,0)</f>
        <v>#N/A</v>
      </c>
      <c r="G183" s="91" t="s">
        <v>355</v>
      </c>
      <c r="H183" s="95"/>
      <c r="I183" s="90"/>
      <c r="K183" s="93"/>
    </row>
    <row r="184" spans="1:11" x14ac:dyDescent="0.25">
      <c r="A184" s="89"/>
      <c r="B184" s="90" t="str">
        <f>TEXT(Table4[[#This Row],[التاريخ ]],"mmm")</f>
        <v>Jan</v>
      </c>
      <c r="C184" s="91"/>
      <c r="D184" s="91" t="e">
        <f>VLOOKUP(Table4[[#This Row],[الكود]],'[11]قاعدة بيانات  '!$K$3:$L$380,2,0)</f>
        <v>#N/A</v>
      </c>
      <c r="E184" s="90" t="e">
        <f>VLOOKUP(Table4[[#This Row],[الكود]],'[11]قاعدة بيانات  '!$K$3:$N$380,4,0)</f>
        <v>#N/A</v>
      </c>
      <c r="F184" s="90" t="e">
        <f>VLOOKUP(C:C,'[10]قاعدة بيانات  '!K:Q,5,0)</f>
        <v>#N/A</v>
      </c>
      <c r="G184" s="91" t="s">
        <v>355</v>
      </c>
      <c r="H184" s="95"/>
      <c r="I184" s="90"/>
      <c r="K184" s="93"/>
    </row>
    <row r="185" spans="1:11" x14ac:dyDescent="0.25">
      <c r="A185" s="89"/>
      <c r="B185" s="90" t="str">
        <f>TEXT(Table4[[#This Row],[التاريخ ]],"mmm")</f>
        <v>Jan</v>
      </c>
      <c r="C185" s="91"/>
      <c r="D185" s="91" t="e">
        <f>VLOOKUP(Table4[[#This Row],[الكود]],'[11]قاعدة بيانات  '!$K$3:$L$380,2,0)</f>
        <v>#N/A</v>
      </c>
      <c r="E185" s="90" t="e">
        <f>VLOOKUP(Table4[[#This Row],[الكود]],'[11]قاعدة بيانات  '!$K$3:$N$380,4,0)</f>
        <v>#N/A</v>
      </c>
      <c r="F185" s="90" t="e">
        <f>VLOOKUP(C:C,'[10]قاعدة بيانات  '!K:Q,5,0)</f>
        <v>#N/A</v>
      </c>
      <c r="G185" s="91" t="s">
        <v>355</v>
      </c>
      <c r="H185" s="95"/>
      <c r="I185" s="90"/>
      <c r="K185" s="93"/>
    </row>
    <row r="186" spans="1:11" x14ac:dyDescent="0.25">
      <c r="A186" s="89"/>
      <c r="B186" s="90" t="str">
        <f>TEXT(Table4[[#This Row],[التاريخ ]],"mmm")</f>
        <v>Jan</v>
      </c>
      <c r="C186" s="91"/>
      <c r="D186" s="91" t="e">
        <f>VLOOKUP(Table4[[#This Row],[الكود]],'[11]قاعدة بيانات  '!$K$3:$L$380,2,0)</f>
        <v>#N/A</v>
      </c>
      <c r="E186" s="90" t="e">
        <f>VLOOKUP(Table4[[#This Row],[الكود]],'[11]قاعدة بيانات  '!$K$3:$N$380,4,0)</f>
        <v>#N/A</v>
      </c>
      <c r="F186" s="90" t="e">
        <f>VLOOKUP(C:C,'[10]قاعدة بيانات  '!K:Q,5,0)</f>
        <v>#N/A</v>
      </c>
      <c r="G186" s="91" t="s">
        <v>355</v>
      </c>
      <c r="H186" s="95"/>
      <c r="I186" s="90"/>
      <c r="K186" s="93"/>
    </row>
    <row r="187" spans="1:11" x14ac:dyDescent="0.25">
      <c r="A187" s="89"/>
      <c r="B187" s="90" t="str">
        <f>TEXT(Table4[[#This Row],[التاريخ ]],"mmm")</f>
        <v>Jan</v>
      </c>
      <c r="C187" s="91"/>
      <c r="D187" s="91" t="e">
        <f>VLOOKUP(Table4[[#This Row],[الكود]],'[11]قاعدة بيانات  '!$K$3:$L$380,2,0)</f>
        <v>#N/A</v>
      </c>
      <c r="E187" s="90" t="e">
        <f>VLOOKUP(Table4[[#This Row],[الكود]],'[11]قاعدة بيانات  '!$K$3:$N$380,4,0)</f>
        <v>#N/A</v>
      </c>
      <c r="F187" s="90" t="e">
        <f>VLOOKUP(C:C,'[10]قاعدة بيانات  '!K:Q,5,0)</f>
        <v>#N/A</v>
      </c>
      <c r="G187" s="91" t="s">
        <v>355</v>
      </c>
      <c r="H187" s="95"/>
      <c r="I187" s="90"/>
      <c r="K187" s="93"/>
    </row>
    <row r="188" spans="1:11" x14ac:dyDescent="0.25">
      <c r="A188" s="89"/>
      <c r="B188" s="90" t="str">
        <f>TEXT(Table4[[#This Row],[التاريخ ]],"mmm")</f>
        <v>Jan</v>
      </c>
      <c r="C188" s="91"/>
      <c r="D188" s="91" t="e">
        <f>VLOOKUP(Table4[[#This Row],[الكود]],'[11]قاعدة بيانات  '!$K$3:$L$380,2,0)</f>
        <v>#N/A</v>
      </c>
      <c r="E188" s="90" t="e">
        <f>VLOOKUP(Table4[[#This Row],[الكود]],'[11]قاعدة بيانات  '!$K$3:$N$380,4,0)</f>
        <v>#N/A</v>
      </c>
      <c r="F188" s="90" t="e">
        <f>VLOOKUP(C:C,'[10]قاعدة بيانات  '!K:Q,5,0)</f>
        <v>#N/A</v>
      </c>
      <c r="G188" s="91" t="s">
        <v>355</v>
      </c>
      <c r="H188" s="95"/>
      <c r="I188" s="90"/>
      <c r="K188" s="93"/>
    </row>
    <row r="189" spans="1:11" x14ac:dyDescent="0.25">
      <c r="A189" s="96"/>
      <c r="B189" s="97" t="str">
        <f>TEXT(Table4[[#This Row],[التاريخ ]],"mmm")</f>
        <v>Jan</v>
      </c>
      <c r="C189" s="98"/>
      <c r="D189" s="91" t="e">
        <f>VLOOKUP(Table4[[#This Row],[الكود]],'[11]قاعدة بيانات  '!$K$3:$L$380,2,0)</f>
        <v>#N/A</v>
      </c>
      <c r="E189" s="90" t="e">
        <f>VLOOKUP(Table4[[#This Row],[الكود]],'[11]قاعدة بيانات  '!$K$3:$N$380,4,0)</f>
        <v>#N/A</v>
      </c>
      <c r="F189" s="97" t="e">
        <f>VLOOKUP(C:C,'[10]قاعدة بيانات  '!K:Q,5,0)</f>
        <v>#N/A</v>
      </c>
      <c r="G189" s="91" t="s">
        <v>355</v>
      </c>
      <c r="H189" s="99"/>
      <c r="I189" s="97"/>
      <c r="K189" s="93"/>
    </row>
  </sheetData>
  <dataValidations count="1">
    <dataValidation type="list" allowBlank="1" showInputMessage="1" showErrorMessage="1" sqref="G3:G189" xr:uid="{CEAEAB11-98CD-45F1-B5F6-F4931E7A4420}">
      <formula1>#REF!</formula1>
    </dataValidation>
  </dataValidations>
  <pageMargins left="0.7" right="0.7" top="0.75" bottom="0.75" header="0.3" footer="0.3"/>
  <pageSetup paperSize="9" scale="87" fitToHeight="0" orientation="landscape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AEF4-5EA3-4416-AB0A-BEAE0B36BC81}">
  <dimension ref="A1:O50"/>
  <sheetViews>
    <sheetView rightToLeft="1" view="pageBreakPreview" topLeftCell="D1" zoomScale="110" zoomScaleNormal="100" zoomScaleSheetLayoutView="110" workbookViewId="0">
      <selection activeCell="L10" activeCellId="1" sqref="L3:L8 L10:L13"/>
    </sheetView>
  </sheetViews>
  <sheetFormatPr defaultColWidth="9.140625" defaultRowHeight="15" x14ac:dyDescent="0.25"/>
  <cols>
    <col min="1" max="1" width="11.5703125" style="105" bestFit="1" customWidth="1"/>
    <col min="2" max="2" width="10.7109375" style="105" bestFit="1" customWidth="1"/>
    <col min="3" max="3" width="9.140625" style="105" bestFit="1" customWidth="1"/>
    <col min="4" max="4" width="28.140625" style="105" bestFit="1" customWidth="1"/>
    <col min="5" max="5" width="18.7109375" style="105" bestFit="1" customWidth="1"/>
    <col min="6" max="6" width="10" style="105" bestFit="1" customWidth="1"/>
    <col min="7" max="7" width="14" style="105" bestFit="1" customWidth="1"/>
    <col min="8" max="8" width="16" style="135" bestFit="1" customWidth="1"/>
    <col min="9" max="9" width="15.5703125" style="105" bestFit="1" customWidth="1"/>
    <col min="10" max="10" width="22.42578125" style="105" bestFit="1" customWidth="1"/>
    <col min="11" max="11" width="14" style="105" bestFit="1" customWidth="1"/>
    <col min="12" max="12" width="11.28515625" style="105" bestFit="1" customWidth="1"/>
    <col min="13" max="13" width="22.5703125" style="105" bestFit="1" customWidth="1"/>
    <col min="14" max="14" width="7" style="105" bestFit="1" customWidth="1"/>
    <col min="15" max="15" width="5.42578125" style="105" bestFit="1" customWidth="1"/>
    <col min="16" max="16384" width="9.140625" style="105"/>
  </cols>
  <sheetData>
    <row r="1" spans="1:15" ht="21.75" thickBot="1" x14ac:dyDescent="0.4">
      <c r="G1" s="106" t="s">
        <v>354</v>
      </c>
      <c r="H1" s="107">
        <f>+SUBTOTAL(9,Table43[[السلفه ]])</f>
        <v>28400</v>
      </c>
      <c r="O1" s="105" t="s">
        <v>355</v>
      </c>
    </row>
    <row r="2" spans="1:15" x14ac:dyDescent="0.25">
      <c r="A2" s="108" t="s">
        <v>356</v>
      </c>
      <c r="B2" s="109" t="s">
        <v>357</v>
      </c>
      <c r="C2" s="109" t="s">
        <v>6</v>
      </c>
      <c r="D2" s="109" t="s">
        <v>358</v>
      </c>
      <c r="E2" s="109" t="s">
        <v>359</v>
      </c>
      <c r="F2" s="109" t="s">
        <v>360</v>
      </c>
      <c r="G2" s="110" t="s">
        <v>361</v>
      </c>
      <c r="H2" s="111" t="s">
        <v>362</v>
      </c>
      <c r="I2" s="109" t="s">
        <v>363</v>
      </c>
      <c r="J2" s="112" t="s">
        <v>412</v>
      </c>
      <c r="K2" s="112" t="s">
        <v>364</v>
      </c>
      <c r="L2" s="105" t="s">
        <v>6</v>
      </c>
      <c r="M2" s="105" t="s">
        <v>358</v>
      </c>
      <c r="N2" s="105" t="s">
        <v>413</v>
      </c>
      <c r="O2" s="105" t="s">
        <v>414</v>
      </c>
    </row>
    <row r="3" spans="1:15" x14ac:dyDescent="0.25">
      <c r="A3" s="113">
        <v>45705</v>
      </c>
      <c r="B3" s="114" t="str">
        <f>TEXT(Table43[[#This Row],[التاريخ ]],"mmmm")</f>
        <v>February</v>
      </c>
      <c r="C3" s="114">
        <v>509</v>
      </c>
      <c r="D3" s="114" t="str">
        <f>+IFERROR(VLOOKUP(C:C,'[12]قاعدة بيانات  '!J:K,2,0),"")</f>
        <v xml:space="preserve">كريم اشرف فاروق </v>
      </c>
      <c r="E3" s="114" t="str">
        <f>IFERROR(VLOOKUP(C:C,'[12]قاعدة بيانات  '!J:O,4,0),"")</f>
        <v xml:space="preserve">وكيل تحصيل </v>
      </c>
      <c r="F3" s="114" t="str">
        <f>IFERROR(VLOOKUP(C:C,'[12]قاعدة بيانات  '!J:P,5,0),"")</f>
        <v>التحصيل</v>
      </c>
      <c r="G3" s="114"/>
      <c r="H3" s="115">
        <v>4000</v>
      </c>
      <c r="I3" s="116" t="s">
        <v>415</v>
      </c>
      <c r="K3" s="117"/>
      <c r="L3" s="118">
        <v>289</v>
      </c>
      <c r="M3" s="118" t="s">
        <v>416</v>
      </c>
      <c r="N3" s="119">
        <v>3500</v>
      </c>
    </row>
    <row r="4" spans="1:15" x14ac:dyDescent="0.25">
      <c r="A4" s="113">
        <v>45826</v>
      </c>
      <c r="B4" s="114" t="str">
        <f>TEXT(Table43[[#This Row],[التاريخ ]],"mmmm")</f>
        <v>June</v>
      </c>
      <c r="C4" s="114">
        <v>162</v>
      </c>
      <c r="D4" s="114" t="str">
        <f>+IFERROR(VLOOKUP(C:C,'[12]قاعدة بيانات  '!J:K,2,0),"")</f>
        <v>عمرو على سليم محمد السيد</v>
      </c>
      <c r="E4" s="114" t="str">
        <f>IFERROR(VLOOKUP(C:C,'[12]قاعدة بيانات  '!J:O,4,0),"")</f>
        <v>مشرف تحصيل</v>
      </c>
      <c r="F4" s="114" t="str">
        <f>IFERROR(VLOOKUP(C:C,'[12]قاعدة بيانات  '!J:P,5,0),"")</f>
        <v>التحصيل</v>
      </c>
      <c r="G4" s="114"/>
      <c r="H4" s="120">
        <v>1500</v>
      </c>
      <c r="I4" s="114"/>
      <c r="K4" s="117"/>
      <c r="L4" s="118">
        <v>294</v>
      </c>
      <c r="M4" s="118" t="s">
        <v>417</v>
      </c>
      <c r="N4" s="119">
        <v>3100</v>
      </c>
    </row>
    <row r="5" spans="1:15" x14ac:dyDescent="0.25">
      <c r="A5" s="113">
        <v>45853</v>
      </c>
      <c r="B5" s="114" t="str">
        <f>TEXT(Table43[[#This Row],[التاريخ ]],"mmmm")</f>
        <v>July</v>
      </c>
      <c r="C5" s="114">
        <v>289</v>
      </c>
      <c r="D5" s="114" t="str">
        <f>+IFERROR(VLOOKUP(C:C,'[12]قاعدة بيانات  '!J:K,2,0),"")</f>
        <v>صبري عبد الهادي عبد الهادي</v>
      </c>
      <c r="E5" s="114" t="str">
        <f>IFERROR(VLOOKUP(C:C,'[12]قاعدة بيانات  '!J:O,4,0),"")</f>
        <v>خدمات معاونة</v>
      </c>
      <c r="F5" s="114" t="str">
        <f>IFERROR(VLOOKUP(C:C,'[12]قاعدة بيانات  '!J:P,5,0),"")</f>
        <v>التحصيل</v>
      </c>
      <c r="G5" s="114"/>
      <c r="H5" s="120">
        <v>2500</v>
      </c>
      <c r="I5" s="114"/>
      <c r="K5" s="117"/>
      <c r="L5" s="118">
        <v>466</v>
      </c>
      <c r="M5" s="118" t="s">
        <v>418</v>
      </c>
      <c r="N5" s="119">
        <v>4000</v>
      </c>
    </row>
    <row r="6" spans="1:15" ht="15" customHeight="1" x14ac:dyDescent="0.25">
      <c r="A6" s="113">
        <v>45879</v>
      </c>
      <c r="B6" s="114" t="str">
        <f>TEXT(Table43[[#This Row],[التاريخ ]],"mmmm")</f>
        <v>August</v>
      </c>
      <c r="C6" s="114">
        <v>724</v>
      </c>
      <c r="D6" s="114" t="str">
        <f>+IFERROR(VLOOKUP(C:C,'[12]قاعدة بيانات  '!J:K,2,0),"")</f>
        <v xml:space="preserve">محمد حسن محمود حسن </v>
      </c>
      <c r="E6" s="114" t="str">
        <f>IFERROR(VLOOKUP(C:C,'[12]قاعدة بيانات  '!J:O,4,0),"")</f>
        <v>كبير مشرفى تحصيل</v>
      </c>
      <c r="F6" s="114" t="str">
        <f>IFERROR(VLOOKUP(C:C,'[12]قاعدة بيانات  '!J:P,5,0),"")</f>
        <v xml:space="preserve">التحصيل </v>
      </c>
      <c r="G6" s="114"/>
      <c r="H6" s="120"/>
      <c r="I6" s="114"/>
      <c r="K6" s="117"/>
      <c r="L6" s="118">
        <v>509</v>
      </c>
      <c r="M6" s="118" t="s">
        <v>419</v>
      </c>
      <c r="N6" s="119">
        <v>4000</v>
      </c>
    </row>
    <row r="7" spans="1:15" x14ac:dyDescent="0.25">
      <c r="A7" s="113">
        <v>45886</v>
      </c>
      <c r="B7" s="114" t="str">
        <f>TEXT(Table43[[#This Row],[التاريخ ]],"mmmm")</f>
        <v>August</v>
      </c>
      <c r="C7" s="114"/>
      <c r="D7" s="114" t="str">
        <f>+IFERROR(VLOOKUP(C:C,'[12]قاعدة بيانات  '!J:K,2,0),"")</f>
        <v/>
      </c>
      <c r="E7" s="114" t="str">
        <f>IFERROR(VLOOKUP(C:C,'[12]قاعدة بيانات  '!J:O,4,0),"")</f>
        <v/>
      </c>
      <c r="F7" s="114" t="str">
        <f>IFERROR(VLOOKUP(C:C,'[12]قاعدة بيانات  '!J:P,5,0),"")</f>
        <v/>
      </c>
      <c r="G7" s="114"/>
      <c r="H7" s="120"/>
      <c r="I7" s="114"/>
      <c r="K7" s="117"/>
      <c r="L7" s="118">
        <v>603</v>
      </c>
      <c r="M7" s="118" t="s">
        <v>420</v>
      </c>
      <c r="N7" s="119">
        <v>5500</v>
      </c>
    </row>
    <row r="8" spans="1:15" x14ac:dyDescent="0.25">
      <c r="A8" s="113">
        <v>45899</v>
      </c>
      <c r="B8" s="114" t="str">
        <f>TEXT(Table43[[#This Row],[التاريخ ]],"mmmm")</f>
        <v>August</v>
      </c>
      <c r="C8" s="114">
        <v>294</v>
      </c>
      <c r="D8" s="114" t="str">
        <f>+IFERROR(VLOOKUP(C:C,'[12]قاعدة بيانات  '!J:K,2,0),"")</f>
        <v>باسم ناجي سعد</v>
      </c>
      <c r="E8" s="114" t="str">
        <f>IFERROR(VLOOKUP(C:C,'[12]قاعدة بيانات  '!J:O,4,0),"")</f>
        <v>وكيل تحصيل</v>
      </c>
      <c r="F8" s="114" t="str">
        <f>IFERROR(VLOOKUP(C:C,'[12]قاعدة بيانات  '!J:P,5,0),"")</f>
        <v>المالية</v>
      </c>
      <c r="G8" s="114"/>
      <c r="H8" s="120">
        <v>300</v>
      </c>
      <c r="I8" s="114"/>
      <c r="K8" s="117"/>
      <c r="L8" s="118">
        <v>162</v>
      </c>
      <c r="M8" s="118" t="s">
        <v>117</v>
      </c>
      <c r="N8" s="119">
        <v>4500</v>
      </c>
    </row>
    <row r="9" spans="1:15" x14ac:dyDescent="0.25">
      <c r="A9" s="113">
        <v>45900</v>
      </c>
      <c r="B9" s="114" t="str">
        <f>TEXT(Table43[[#This Row],[التاريخ ]],"mmmm")</f>
        <v>August</v>
      </c>
      <c r="C9" s="114"/>
      <c r="D9" s="114" t="str">
        <f>+IFERROR(VLOOKUP(C:C,'[12]قاعدة بيانات  '!J:K,2,0),"")</f>
        <v/>
      </c>
      <c r="E9" s="114" t="str">
        <f>IFERROR(VLOOKUP(C:C,'[12]قاعدة بيانات  '!J:O,4,0),"")</f>
        <v/>
      </c>
      <c r="F9" s="114" t="str">
        <f>IFERROR(VLOOKUP(C:C,'[12]قاعدة بيانات  '!J:P,5,0),"")</f>
        <v/>
      </c>
      <c r="G9" s="114"/>
      <c r="H9" s="120"/>
      <c r="I9" s="114"/>
      <c r="K9" s="117"/>
      <c r="L9" s="118" t="s">
        <v>372</v>
      </c>
      <c r="M9" s="118"/>
      <c r="N9" s="119"/>
    </row>
    <row r="10" spans="1:15" x14ac:dyDescent="0.25">
      <c r="A10" s="113">
        <v>45909</v>
      </c>
      <c r="B10" s="114" t="str">
        <f>TEXT(Table43[[#This Row],[التاريخ ]],"mmmm")</f>
        <v>September</v>
      </c>
      <c r="C10" s="114"/>
      <c r="D10" s="114" t="str">
        <f>+IFERROR(VLOOKUP(C:C,'[12]قاعدة بيانات  '!J:K,2,0),"")</f>
        <v/>
      </c>
      <c r="E10" s="114" t="str">
        <f>IFERROR(VLOOKUP(C:C,'[12]قاعدة بيانات  '!J:O,4,0),"")</f>
        <v/>
      </c>
      <c r="F10" s="114" t="str">
        <f>IFERROR(VLOOKUP(C:C,'[12]قاعدة بيانات  '!J:P,5,0),"")</f>
        <v/>
      </c>
      <c r="G10" s="114"/>
      <c r="H10" s="120"/>
      <c r="I10" s="114"/>
      <c r="K10" s="117"/>
      <c r="L10" s="118">
        <v>554</v>
      </c>
      <c r="M10" s="118" t="s">
        <v>421</v>
      </c>
      <c r="N10" s="119">
        <v>200</v>
      </c>
    </row>
    <row r="11" spans="1:15" x14ac:dyDescent="0.25">
      <c r="A11" s="113"/>
      <c r="B11" s="114" t="str">
        <f>TEXT(Table43[[#This Row],[التاريخ ]],"mmmm")</f>
        <v>January</v>
      </c>
      <c r="C11" s="114">
        <v>603</v>
      </c>
      <c r="D11" s="114" t="str">
        <f>+IFERROR(VLOOKUP(C:C,'[12]قاعدة بيانات  '!J:K,2,0),"")</f>
        <v xml:space="preserve">السيد محمد السيد بدوي </v>
      </c>
      <c r="E11" s="114" t="str">
        <f>IFERROR(VLOOKUP(C:C,'[12]قاعدة بيانات  '!J:O,4,0),"")</f>
        <v>مشرف تحصيل</v>
      </c>
      <c r="F11" s="114" t="str">
        <f>IFERROR(VLOOKUP(C:C,'[12]قاعدة بيانات  '!J:P,5,0),"")</f>
        <v xml:space="preserve">التحصيل </v>
      </c>
      <c r="G11" s="114"/>
      <c r="H11" s="120">
        <v>4500</v>
      </c>
      <c r="I11" s="114" t="s">
        <v>422</v>
      </c>
      <c r="K11" s="117"/>
      <c r="L11" s="118">
        <v>724</v>
      </c>
      <c r="M11" s="118" t="s">
        <v>423</v>
      </c>
      <c r="N11" s="119">
        <v>3000</v>
      </c>
    </row>
    <row r="12" spans="1:15" x14ac:dyDescent="0.25">
      <c r="A12" s="113">
        <v>45911</v>
      </c>
      <c r="B12" s="114" t="str">
        <f>TEXT(Table43[[#This Row],[التاريخ ]],"mmmm")</f>
        <v>September</v>
      </c>
      <c r="C12" s="114">
        <v>294</v>
      </c>
      <c r="D12" s="114" t="str">
        <f>+IFERROR(VLOOKUP(C:C,'[12]قاعدة بيانات  '!J:K,2,0),"")</f>
        <v>باسم ناجي سعد</v>
      </c>
      <c r="E12" s="114" t="str">
        <f>IFERROR(VLOOKUP(C:C,'[12]قاعدة بيانات  '!J:O,4,0),"")</f>
        <v>وكيل تحصيل</v>
      </c>
      <c r="F12" s="114" t="str">
        <f>IFERROR(VLOOKUP(C:C,'[12]قاعدة بيانات  '!J:P,5,0),"")</f>
        <v>المالية</v>
      </c>
      <c r="G12" s="114"/>
      <c r="H12" s="120">
        <v>300</v>
      </c>
      <c r="I12" s="114"/>
      <c r="K12" s="114"/>
      <c r="L12" s="118">
        <v>302</v>
      </c>
      <c r="M12" s="118" t="s">
        <v>424</v>
      </c>
      <c r="N12" s="119">
        <v>300</v>
      </c>
    </row>
    <row r="13" spans="1:15" x14ac:dyDescent="0.25">
      <c r="A13" s="113">
        <v>45913</v>
      </c>
      <c r="B13" s="114" t="str">
        <f>TEXT(Table43[[#This Row],[التاريخ ]],"mmmm")</f>
        <v>September</v>
      </c>
      <c r="C13" s="114">
        <v>162</v>
      </c>
      <c r="D13" s="114" t="str">
        <f>+IFERROR(VLOOKUP(C:C,'[12]قاعدة بيانات  '!J:K,2,0),"")</f>
        <v>عمرو على سليم محمد السيد</v>
      </c>
      <c r="E13" s="114" t="str">
        <f>IFERROR(VLOOKUP(C:C,'[12]قاعدة بيانات  '!J:O,4,0),"")</f>
        <v>مشرف تحصيل</v>
      </c>
      <c r="F13" s="114" t="str">
        <f>IFERROR(VLOOKUP(C:C,'[12]قاعدة بيانات  '!J:P,5,0),"")</f>
        <v>التحصيل</v>
      </c>
      <c r="G13" s="114"/>
      <c r="H13" s="120">
        <v>2000</v>
      </c>
      <c r="I13" s="114"/>
      <c r="K13" s="114"/>
      <c r="L13" s="118">
        <v>787</v>
      </c>
      <c r="M13" s="118" t="s">
        <v>425</v>
      </c>
      <c r="N13" s="119">
        <v>300</v>
      </c>
    </row>
    <row r="14" spans="1:15" x14ac:dyDescent="0.25">
      <c r="A14" s="113">
        <v>45914</v>
      </c>
      <c r="B14" s="114" t="str">
        <f>TEXT(Table43[[#This Row],[التاريخ ]],"mmmm")</f>
        <v>September</v>
      </c>
      <c r="C14" s="114">
        <v>289</v>
      </c>
      <c r="D14" s="114" t="str">
        <f>+IFERROR(VLOOKUP(C:C,'[12]قاعدة بيانات  '!J:K,2,0),"")</f>
        <v>صبري عبد الهادي عبد الهادي</v>
      </c>
      <c r="E14" s="114" t="str">
        <f>IFERROR(VLOOKUP(C:C,'[12]قاعدة بيانات  '!J:O,4,0),"")</f>
        <v>خدمات معاونة</v>
      </c>
      <c r="F14" s="114" t="str">
        <f>IFERROR(VLOOKUP(C:C,'[12]قاعدة بيانات  '!J:P,5,0),"")</f>
        <v>التحصيل</v>
      </c>
      <c r="G14" s="114"/>
      <c r="H14" s="120"/>
      <c r="I14" s="114"/>
      <c r="K14" s="114"/>
      <c r="L14" s="118" t="s">
        <v>383</v>
      </c>
      <c r="M14" s="118"/>
      <c r="N14" s="119">
        <v>28400</v>
      </c>
    </row>
    <row r="15" spans="1:15" x14ac:dyDescent="0.25">
      <c r="A15" s="113">
        <v>45914</v>
      </c>
      <c r="B15" s="114" t="str">
        <f>TEXT(Table43[[#This Row],[التاريخ ]],"mmmm")</f>
        <v>September</v>
      </c>
      <c r="C15" s="114"/>
      <c r="D15" s="114" t="str">
        <f>+IFERROR(VLOOKUP(C:C,'[12]قاعدة بيانات  '!J:K,2,0),"")</f>
        <v/>
      </c>
      <c r="E15" s="114" t="str">
        <f>IFERROR(VLOOKUP(C:C,'[12]قاعدة بيانات  '!J:O,4,0),"")</f>
        <v/>
      </c>
      <c r="F15" s="114" t="str">
        <f>IFERROR(VLOOKUP(C:C,'[12]قاعدة بيانات  '!J:P,5,0),"")</f>
        <v/>
      </c>
      <c r="G15" s="114"/>
      <c r="H15" s="120"/>
      <c r="I15" s="114"/>
      <c r="K15" s="114"/>
      <c r="L15" s="121"/>
      <c r="M15" s="121"/>
      <c r="N15" s="121"/>
    </row>
    <row r="16" spans="1:15" x14ac:dyDescent="0.25">
      <c r="A16" s="113">
        <v>45915</v>
      </c>
      <c r="B16" s="114" t="str">
        <f>TEXT(Table43[[#This Row],[التاريخ ]],"mmmm")</f>
        <v>September</v>
      </c>
      <c r="C16" s="114"/>
      <c r="D16" s="114" t="str">
        <f>+IFERROR(VLOOKUP(C:C,'[12]قاعدة بيانات  '!J:K,2,0),"")</f>
        <v/>
      </c>
      <c r="E16" s="114" t="str">
        <f>IFERROR(VLOOKUP(C:C,'[12]قاعدة بيانات  '!J:O,4,0),"")</f>
        <v/>
      </c>
      <c r="F16" s="114" t="str">
        <f>IFERROR(VLOOKUP(C:C,'[12]قاعدة بيانات  '!J:P,5,0),"")</f>
        <v/>
      </c>
      <c r="G16" s="114"/>
      <c r="H16" s="120"/>
      <c r="I16" s="114"/>
      <c r="K16" s="114"/>
      <c r="L16" s="121"/>
      <c r="M16" s="121"/>
      <c r="N16" s="121"/>
    </row>
    <row r="17" spans="1:14" x14ac:dyDescent="0.25">
      <c r="A17" s="113">
        <v>45917</v>
      </c>
      <c r="B17" s="114" t="str">
        <f>TEXT(Table43[[#This Row],[التاريخ ]],"mmmm")</f>
        <v>September</v>
      </c>
      <c r="C17" s="114"/>
      <c r="D17" s="114" t="str">
        <f>+IFERROR(VLOOKUP(C:C,'[12]قاعدة بيانات  '!J:K,2,0),"")</f>
        <v/>
      </c>
      <c r="E17" s="114" t="str">
        <f>IFERROR(VLOOKUP(C:C,'[12]قاعدة بيانات  '!J:O,4,0),"")</f>
        <v/>
      </c>
      <c r="F17" s="114" t="str">
        <f>IFERROR(VLOOKUP(C:C,'[12]قاعدة بيانات  '!J:P,5,0),"")</f>
        <v/>
      </c>
      <c r="G17" s="114"/>
      <c r="H17" s="120"/>
      <c r="I17" s="114"/>
      <c r="K17" s="114"/>
      <c r="L17" s="121"/>
      <c r="M17" s="121"/>
      <c r="N17" s="121"/>
    </row>
    <row r="18" spans="1:14" x14ac:dyDescent="0.25">
      <c r="A18" s="113">
        <v>45917</v>
      </c>
      <c r="B18" s="114" t="str">
        <f>TEXT(Table43[[#This Row],[التاريخ ]],"mmmm")</f>
        <v>September</v>
      </c>
      <c r="C18" s="114"/>
      <c r="D18" s="114" t="str">
        <f>+IFERROR(VLOOKUP(C:C,'[12]قاعدة بيانات  '!J:K,2,0),"")</f>
        <v/>
      </c>
      <c r="E18" s="114" t="str">
        <f>IFERROR(VLOOKUP(C:C,'[12]قاعدة بيانات  '!J:O,4,0),"")</f>
        <v/>
      </c>
      <c r="F18" s="114" t="str">
        <f>IFERROR(VLOOKUP(C:C,'[12]قاعدة بيانات  '!J:P,5,0),"")</f>
        <v/>
      </c>
      <c r="G18" s="114"/>
      <c r="H18" s="120"/>
      <c r="I18" s="114"/>
      <c r="K18" s="114"/>
      <c r="L18" s="121"/>
      <c r="M18" s="121"/>
      <c r="N18" s="121"/>
    </row>
    <row r="19" spans="1:14" x14ac:dyDescent="0.25">
      <c r="A19" s="113">
        <v>45924</v>
      </c>
      <c r="B19" s="114" t="str">
        <f>TEXT(Table43[[#This Row],[التاريخ ]],"mmmm")</f>
        <v>September</v>
      </c>
      <c r="C19" s="114">
        <v>294</v>
      </c>
      <c r="D19" s="114" t="str">
        <f>+IFERROR(VLOOKUP(C:C,'[12]قاعدة بيانات  '!J:K,2,0),"")</f>
        <v>باسم ناجي سعد</v>
      </c>
      <c r="E19" s="114" t="str">
        <f>IFERROR(VLOOKUP(C:C,'[12]قاعدة بيانات  '!J:O,4,0),"")</f>
        <v>وكيل تحصيل</v>
      </c>
      <c r="F19" s="114" t="str">
        <f>IFERROR(VLOOKUP(C:C,'[12]قاعدة بيانات  '!J:P,5,0),"")</f>
        <v>المالية</v>
      </c>
      <c r="G19" s="114"/>
      <c r="H19" s="120">
        <v>2000</v>
      </c>
      <c r="I19" s="114"/>
      <c r="K19" s="114"/>
    </row>
    <row r="20" spans="1:14" x14ac:dyDescent="0.25">
      <c r="A20" s="113">
        <v>45924</v>
      </c>
      <c r="B20" s="114" t="str">
        <f>TEXT(Table43[[#This Row],[التاريخ ]],"mmmm")</f>
        <v>September</v>
      </c>
      <c r="C20" s="114">
        <v>724</v>
      </c>
      <c r="D20" s="114" t="str">
        <f>+IFERROR(VLOOKUP(C:C,'[12]قاعدة بيانات  '!J:K,2,0),"")</f>
        <v xml:space="preserve">محمد حسن محمود حسن </v>
      </c>
      <c r="E20" s="114" t="str">
        <f>IFERROR(VLOOKUP(C:C,'[12]قاعدة بيانات  '!J:O,4,0),"")</f>
        <v>كبير مشرفى تحصيل</v>
      </c>
      <c r="F20" s="114" t="str">
        <f>IFERROR(VLOOKUP(C:C,'[12]قاعدة بيانات  '!J:P,5,0),"")</f>
        <v xml:space="preserve">التحصيل </v>
      </c>
      <c r="G20" s="114"/>
      <c r="H20" s="120"/>
      <c r="I20" s="114"/>
      <c r="K20" s="114"/>
    </row>
    <row r="21" spans="1:14" x14ac:dyDescent="0.25">
      <c r="A21" s="113">
        <v>45927</v>
      </c>
      <c r="B21" s="114" t="str">
        <f>TEXT(Table43[[#This Row],[التاريخ ]],"mmmm")</f>
        <v>September</v>
      </c>
      <c r="C21" s="114">
        <v>162</v>
      </c>
      <c r="D21" s="114" t="str">
        <f>+IFERROR(VLOOKUP(C:C,'[12]قاعدة بيانات  '!J:K,2,0),"")</f>
        <v>عمرو على سليم محمد السيد</v>
      </c>
      <c r="E21" s="114" t="str">
        <f>IFERROR(VLOOKUP(C:C,'[12]قاعدة بيانات  '!J:O,4,0),"")</f>
        <v>مشرف تحصيل</v>
      </c>
      <c r="F21" s="114" t="str">
        <f>IFERROR(VLOOKUP(C:C,'[12]قاعدة بيانات  '!J:P,5,0),"")</f>
        <v>التحصيل</v>
      </c>
      <c r="G21" s="114"/>
      <c r="H21" s="120">
        <v>500</v>
      </c>
      <c r="I21" s="114"/>
      <c r="K21" s="114"/>
    </row>
    <row r="22" spans="1:14" x14ac:dyDescent="0.25">
      <c r="A22" s="113">
        <v>45938</v>
      </c>
      <c r="B22" s="114" t="str">
        <f>TEXT(Table43[[#This Row],[التاريخ ]],"mmmm")</f>
        <v>October</v>
      </c>
      <c r="C22" s="114">
        <v>289</v>
      </c>
      <c r="D22" s="114" t="str">
        <f>+IFERROR(VLOOKUP(C:C,'[12]قاعدة بيانات  '!J:K,2,0),"")</f>
        <v>صبري عبد الهادي عبد الهادي</v>
      </c>
      <c r="E22" s="114" t="str">
        <f>IFERROR(VLOOKUP(C:C,'[12]قاعدة بيانات  '!J:O,4,0),"")</f>
        <v>خدمات معاونة</v>
      </c>
      <c r="F22" s="114" t="str">
        <f>IFERROR(VLOOKUP(C:C,'[12]قاعدة بيانات  '!J:P,5,0),"")</f>
        <v>التحصيل</v>
      </c>
      <c r="G22" s="114"/>
      <c r="H22" s="120"/>
      <c r="I22" s="114"/>
      <c r="K22" s="114"/>
    </row>
    <row r="23" spans="1:14" x14ac:dyDescent="0.25">
      <c r="A23" s="113">
        <v>45945</v>
      </c>
      <c r="B23" s="122" t="str">
        <f>TEXT(Table43[[#This Row],[التاريخ ]],"mmmm")</f>
        <v>October</v>
      </c>
      <c r="C23" s="114">
        <v>724</v>
      </c>
      <c r="D23" s="114" t="str">
        <f>+IFERROR(VLOOKUP(C:C,'[12]قاعدة بيانات  '!J:K,2,0),"")</f>
        <v xml:space="preserve">محمد حسن محمود حسن </v>
      </c>
      <c r="E23" s="114" t="str">
        <f>IFERROR(VLOOKUP(C:C,'[12]قاعدة بيانات  '!J:O,4,0),"")</f>
        <v>كبير مشرفى تحصيل</v>
      </c>
      <c r="F23" s="114" t="str">
        <f>IFERROR(VLOOKUP(C:C,'[12]قاعدة بيانات  '!J:P,5,0),"")</f>
        <v xml:space="preserve">التحصيل </v>
      </c>
      <c r="G23" s="114"/>
      <c r="H23" s="120">
        <v>500</v>
      </c>
      <c r="I23" s="114"/>
      <c r="K23" s="117"/>
    </row>
    <row r="24" spans="1:14" x14ac:dyDescent="0.25">
      <c r="A24" s="113">
        <v>45945</v>
      </c>
      <c r="B24" s="122" t="str">
        <f>TEXT(Table43[[#This Row],[التاريخ ]],"mmmm")</f>
        <v>October</v>
      </c>
      <c r="C24" s="114">
        <v>162</v>
      </c>
      <c r="D24" s="114" t="str">
        <f>+IFERROR(VLOOKUP(C:C,'[12]قاعدة بيانات  '!J:K,2,0),"")</f>
        <v>عمرو على سليم محمد السيد</v>
      </c>
      <c r="E24" s="114" t="str">
        <f>IFERROR(VLOOKUP(C:C,'[12]قاعدة بيانات  '!J:O,4,0),"")</f>
        <v>مشرف تحصيل</v>
      </c>
      <c r="F24" s="114" t="str">
        <f>IFERROR(VLOOKUP(C:C,'[12]قاعدة بيانات  '!J:P,5,0),"")</f>
        <v>التحصيل</v>
      </c>
      <c r="G24" s="114"/>
      <c r="H24" s="120"/>
      <c r="I24" s="114"/>
      <c r="K24" s="117"/>
    </row>
    <row r="25" spans="1:14" x14ac:dyDescent="0.25">
      <c r="A25" s="113">
        <v>45945</v>
      </c>
      <c r="B25" s="123" t="str">
        <f>TEXT(Table43[[#This Row],[التاريخ ]],"mmmm")</f>
        <v>October</v>
      </c>
      <c r="C25" s="123">
        <v>603</v>
      </c>
      <c r="D25" s="123" t="str">
        <f>+IFERROR(VLOOKUP(C:C,'[12]قاعدة بيانات  '!J:K,2,0),"")</f>
        <v xml:space="preserve">السيد محمد السيد بدوي </v>
      </c>
      <c r="E25" s="123" t="str">
        <f>IFERROR(VLOOKUP(C:C,'[12]قاعدة بيانات  '!J:O,4,0),"")</f>
        <v>مشرف تحصيل</v>
      </c>
      <c r="F25" s="123" t="str">
        <f>IFERROR(VLOOKUP(C:C,'[12]قاعدة بيانات  '!J:P,5,0),"")</f>
        <v xml:space="preserve">التحصيل </v>
      </c>
      <c r="G25" s="123"/>
      <c r="H25" s="124"/>
      <c r="I25" s="123"/>
      <c r="K25" s="125"/>
    </row>
    <row r="26" spans="1:14" x14ac:dyDescent="0.25">
      <c r="A26" s="126">
        <v>45946</v>
      </c>
      <c r="B26" s="123" t="str">
        <f>TEXT(Table43[[#This Row],[التاريخ ]],"mmmm")</f>
        <v>October</v>
      </c>
      <c r="C26" s="123">
        <v>509</v>
      </c>
      <c r="D26" s="123" t="str">
        <f>+IFERROR(VLOOKUP(C:C,'[12]قاعدة بيانات  '!J:K,2,0),"")</f>
        <v xml:space="preserve">كريم اشرف فاروق </v>
      </c>
      <c r="E26" s="123" t="str">
        <f>IFERROR(VLOOKUP(C:C,'[12]قاعدة بيانات  '!J:O,4,0),"")</f>
        <v xml:space="preserve">وكيل تحصيل </v>
      </c>
      <c r="F26" s="123" t="str">
        <f>IFERROR(VLOOKUP(C:C,'[12]قاعدة بيانات  '!J:P,5,0),"")</f>
        <v>التحصيل</v>
      </c>
      <c r="G26" s="123"/>
      <c r="H26" s="124"/>
      <c r="I26" s="123"/>
      <c r="K26" s="125"/>
    </row>
    <row r="27" spans="1:14" x14ac:dyDescent="0.25">
      <c r="A27" s="126">
        <v>45946</v>
      </c>
      <c r="B27" s="123" t="str">
        <f>TEXT(Table43[[#This Row],[التاريخ ]],"mmmm")</f>
        <v>October</v>
      </c>
      <c r="C27" s="123">
        <v>294</v>
      </c>
      <c r="D27" s="123" t="str">
        <f>+IFERROR(VLOOKUP(C:C,'[12]قاعدة بيانات  '!J:K,2,0),"")</f>
        <v>باسم ناجي سعد</v>
      </c>
      <c r="E27" s="123" t="str">
        <f>IFERROR(VLOOKUP(C:C,'[12]قاعدة بيانات  '!J:O,4,0),"")</f>
        <v>وكيل تحصيل</v>
      </c>
      <c r="F27" s="123" t="str">
        <f>IFERROR(VLOOKUP(C:C,'[12]قاعدة بيانات  '!J:P,5,0),"")</f>
        <v>المالية</v>
      </c>
      <c r="G27" s="123"/>
      <c r="H27" s="124"/>
      <c r="I27" s="123"/>
      <c r="K27" s="125"/>
    </row>
    <row r="28" spans="1:14" x14ac:dyDescent="0.25">
      <c r="A28" s="126">
        <v>45951</v>
      </c>
      <c r="B28" s="123" t="str">
        <f>TEXT(Table43[[#This Row],[التاريخ ]],"mmmm")</f>
        <v>October</v>
      </c>
      <c r="C28" s="123">
        <v>289</v>
      </c>
      <c r="D28" s="123" t="str">
        <f>+IFERROR(VLOOKUP(C:C,'[12]قاعدة بيانات  '!J:K,2,0),"")</f>
        <v>صبري عبد الهادي عبد الهادي</v>
      </c>
      <c r="E28" s="123" t="str">
        <f>IFERROR(VLOOKUP(C:C,'[12]قاعدة بيانات  '!J:O,4,0),"")</f>
        <v>خدمات معاونة</v>
      </c>
      <c r="F28" s="123" t="str">
        <f>IFERROR(VLOOKUP(C:C,'[12]قاعدة بيانات  '!J:P,5,0),"")</f>
        <v>التحصيل</v>
      </c>
      <c r="G28" s="123"/>
      <c r="H28" s="124"/>
      <c r="I28" s="123"/>
      <c r="K28" s="125"/>
    </row>
    <row r="29" spans="1:14" x14ac:dyDescent="0.25">
      <c r="A29" s="126">
        <v>45951</v>
      </c>
      <c r="B29" s="123" t="str">
        <f>TEXT(Table43[[#This Row],[التاريخ ]],"mmmm")</f>
        <v>October</v>
      </c>
      <c r="C29" s="123">
        <v>603</v>
      </c>
      <c r="D29" s="123" t="str">
        <f>+IFERROR(VLOOKUP(C:C,'[12]قاعدة بيانات  '!J:K,2,0),"")</f>
        <v xml:space="preserve">السيد محمد السيد بدوي </v>
      </c>
      <c r="E29" s="123" t="str">
        <f>IFERROR(VLOOKUP(C:C,'[12]قاعدة بيانات  '!J:O,4,0),"")</f>
        <v>مشرف تحصيل</v>
      </c>
      <c r="F29" s="123" t="str">
        <f>IFERROR(VLOOKUP(C:C,'[12]قاعدة بيانات  '!J:P,5,0),"")</f>
        <v xml:space="preserve">التحصيل </v>
      </c>
      <c r="G29" s="123"/>
      <c r="H29" s="124"/>
      <c r="I29" s="123"/>
      <c r="K29" s="125"/>
    </row>
    <row r="30" spans="1:14" x14ac:dyDescent="0.25">
      <c r="A30" s="126">
        <v>45951</v>
      </c>
      <c r="B30" s="127" t="str">
        <f>TEXT(Table43[[#This Row],[التاريخ ]],"mmmm")</f>
        <v>October</v>
      </c>
      <c r="C30" s="127">
        <v>294</v>
      </c>
      <c r="D30" s="127" t="str">
        <f>+IFERROR(VLOOKUP(C:C,'[12]قاعدة بيانات  '!J:K,2,0),"")</f>
        <v>باسم ناجي سعد</v>
      </c>
      <c r="E30" s="127" t="str">
        <f>IFERROR(VLOOKUP(C:C,'[12]قاعدة بيانات  '!J:O,4,0),"")</f>
        <v>وكيل تحصيل</v>
      </c>
      <c r="F30" s="127" t="str">
        <f>IFERROR(VLOOKUP(C:C,'[12]قاعدة بيانات  '!J:P,5,0),"")</f>
        <v>المالية</v>
      </c>
      <c r="G30" s="127"/>
      <c r="H30" s="128"/>
      <c r="I30" s="127"/>
      <c r="K30" s="125"/>
    </row>
    <row r="31" spans="1:14" x14ac:dyDescent="0.25">
      <c r="A31" s="126">
        <v>45952</v>
      </c>
      <c r="B31" s="123" t="str">
        <f>TEXT(Table43[[#This Row],[التاريخ ]],"mmmm")</f>
        <v>October</v>
      </c>
      <c r="C31" s="123">
        <v>724</v>
      </c>
      <c r="D31" s="123" t="str">
        <f>+IFERROR(VLOOKUP(C:C,'[12]قاعدة بيانات  '!J:K,2,0),"")</f>
        <v xml:space="preserve">محمد حسن محمود حسن </v>
      </c>
      <c r="E31" s="123" t="str">
        <f>IFERROR(VLOOKUP(C:C,'[12]قاعدة بيانات  '!J:O,4,0),"")</f>
        <v>كبير مشرفى تحصيل</v>
      </c>
      <c r="F31" s="123" t="str">
        <f>IFERROR(VLOOKUP(C:C,'[12]قاعدة بيانات  '!J:P,5,0),"")</f>
        <v xml:space="preserve">التحصيل </v>
      </c>
      <c r="G31" s="123"/>
      <c r="H31" s="124">
        <v>500</v>
      </c>
      <c r="I31" s="123"/>
      <c r="K31" s="125"/>
    </row>
    <row r="32" spans="1:14" x14ac:dyDescent="0.25">
      <c r="A32" s="126">
        <v>45953</v>
      </c>
      <c r="B32" s="123" t="str">
        <f>TEXT(Table43[[#This Row],[التاريخ ]],"mmmm")</f>
        <v>October</v>
      </c>
      <c r="C32" s="123">
        <v>289</v>
      </c>
      <c r="D32" s="123" t="str">
        <f>+IFERROR(VLOOKUP(C:C,'[12]قاعدة بيانات  '!J:K,2,0),"")</f>
        <v>صبري عبد الهادي عبد الهادي</v>
      </c>
      <c r="E32" s="123" t="str">
        <f>IFERROR(VLOOKUP(C:C,'[12]قاعدة بيانات  '!J:O,4,0),"")</f>
        <v>خدمات معاونة</v>
      </c>
      <c r="F32" s="123" t="str">
        <f>IFERROR(VLOOKUP(C:C,'[12]قاعدة بيانات  '!J:P,5,0),"")</f>
        <v>التحصيل</v>
      </c>
      <c r="G32" s="123"/>
      <c r="H32" s="124"/>
      <c r="I32" s="123"/>
      <c r="K32" s="125"/>
    </row>
    <row r="33" spans="1:11" x14ac:dyDescent="0.25">
      <c r="A33" s="126">
        <v>45957</v>
      </c>
      <c r="B33" s="123" t="str">
        <f>TEXT(Table43[[#This Row],[التاريخ ]],"mmmm")</f>
        <v>October</v>
      </c>
      <c r="C33" s="123">
        <v>509</v>
      </c>
      <c r="D33" s="123" t="str">
        <f>+IFERROR(VLOOKUP(C:C,'[12]قاعدة بيانات  '!J:K,2,0),"")</f>
        <v xml:space="preserve">كريم اشرف فاروق </v>
      </c>
      <c r="E33" s="123" t="str">
        <f>IFERROR(VLOOKUP(C:C,'[12]قاعدة بيانات  '!J:O,4,0),"")</f>
        <v xml:space="preserve">وكيل تحصيل </v>
      </c>
      <c r="F33" s="123" t="str">
        <f>IFERROR(VLOOKUP(C:C,'[12]قاعدة بيانات  '!J:P,5,0),"")</f>
        <v>التحصيل</v>
      </c>
      <c r="G33" s="123"/>
      <c r="H33" s="124"/>
      <c r="I33" s="123"/>
      <c r="K33" s="125"/>
    </row>
    <row r="34" spans="1:11" x14ac:dyDescent="0.25">
      <c r="A34" s="126">
        <v>45957</v>
      </c>
      <c r="B34" s="123" t="str">
        <f>TEXT(Table43[[#This Row],[التاريخ ]],"mmmm")</f>
        <v>October</v>
      </c>
      <c r="C34" s="123">
        <v>162</v>
      </c>
      <c r="D34" s="123" t="str">
        <f>+IFERROR(VLOOKUP(C:C,'[12]قاعدة بيانات  '!J:K,2,0),"")</f>
        <v>عمرو على سليم محمد السيد</v>
      </c>
      <c r="E34" s="123" t="str">
        <f>IFERROR(VLOOKUP(C:C,'[12]قاعدة بيانات  '!J:O,4,0),"")</f>
        <v>مشرف تحصيل</v>
      </c>
      <c r="F34" s="123" t="str">
        <f>IFERROR(VLOOKUP(C:C,'[12]قاعدة بيانات  '!J:P,5,0),"")</f>
        <v>التحصيل</v>
      </c>
      <c r="G34" s="123"/>
      <c r="H34" s="124"/>
      <c r="I34" s="123"/>
      <c r="K34" s="125"/>
    </row>
    <row r="35" spans="1:11" x14ac:dyDescent="0.25">
      <c r="A35" s="126">
        <v>45956</v>
      </c>
      <c r="B35" s="123" t="str">
        <f>TEXT(Table43[[#This Row],[التاريخ ]],"mmmm")</f>
        <v>October</v>
      </c>
      <c r="C35" s="123">
        <v>302</v>
      </c>
      <c r="D35" s="123" t="str">
        <f>+IFERROR(VLOOKUP(C:C,'[12]قاعدة بيانات  '!J:K,2,0),"")</f>
        <v>مي سيد إبراهيم</v>
      </c>
      <c r="E35" s="123" t="str">
        <f>IFERROR(VLOOKUP(C:C,'[12]قاعدة بيانات  '!J:O,4,0),"")</f>
        <v>وكيل تحصيل هاتفى</v>
      </c>
      <c r="F35" s="123" t="str">
        <f>IFERROR(VLOOKUP(C:C,'[12]قاعدة بيانات  '!J:P,5,0),"")</f>
        <v>التحصيل</v>
      </c>
      <c r="G35" s="123"/>
      <c r="H35" s="124"/>
      <c r="I35" s="123"/>
      <c r="K35" s="125"/>
    </row>
    <row r="36" spans="1:11" x14ac:dyDescent="0.25">
      <c r="A36" s="126">
        <v>45957</v>
      </c>
      <c r="B36" s="123" t="str">
        <f>TEXT(Table43[[#This Row],[التاريخ ]],"mmmm")</f>
        <v>October</v>
      </c>
      <c r="C36" s="123">
        <v>294</v>
      </c>
      <c r="D36" s="123" t="str">
        <f>+IFERROR(VLOOKUP(C:C,'[12]قاعدة بيانات  '!J:K,2,0),"")</f>
        <v>باسم ناجي سعد</v>
      </c>
      <c r="E36" s="123" t="str">
        <f>IFERROR(VLOOKUP(C:C,'[12]قاعدة بيانات  '!J:O,4,0),"")</f>
        <v>وكيل تحصيل</v>
      </c>
      <c r="F36" s="123" t="str">
        <f>IFERROR(VLOOKUP(C:C,'[12]قاعدة بيانات  '!J:P,5,0),"")</f>
        <v>المالية</v>
      </c>
      <c r="G36" s="123"/>
      <c r="H36" s="124">
        <v>200</v>
      </c>
      <c r="I36" s="123"/>
      <c r="K36" s="125"/>
    </row>
    <row r="37" spans="1:11" x14ac:dyDescent="0.25">
      <c r="A37" s="129">
        <v>45959</v>
      </c>
      <c r="B37" s="130" t="str">
        <f>TEXT(Table43[[#This Row],[التاريخ ]],"mmmm")</f>
        <v>October</v>
      </c>
      <c r="C37" s="130">
        <v>466</v>
      </c>
      <c r="D37" s="130" t="str">
        <f>+IFERROR(VLOOKUP(C:C,'[12]قاعدة بيانات  '!J:K,2,0),"")</f>
        <v xml:space="preserve">فاطمة محمود سلامه </v>
      </c>
      <c r="E37" s="130" t="str">
        <f>IFERROR(VLOOKUP(C:C,'[12]قاعدة بيانات  '!J:O,4,0),"")</f>
        <v xml:space="preserve">وكيل تحصيل هاتفي </v>
      </c>
      <c r="F37" s="130" t="str">
        <f>IFERROR(VLOOKUP(C:C,'[12]قاعدة بيانات  '!J:P,5,0),"")</f>
        <v xml:space="preserve">التحصيل </v>
      </c>
      <c r="G37" s="130"/>
      <c r="H37" s="131">
        <v>4000</v>
      </c>
      <c r="I37" s="130"/>
      <c r="J37" s="132" t="s">
        <v>422</v>
      </c>
      <c r="K37" s="133"/>
    </row>
    <row r="38" spans="1:11" x14ac:dyDescent="0.25">
      <c r="A38" s="126">
        <v>45972</v>
      </c>
      <c r="B38" s="123" t="str">
        <f>TEXT(Table43[[#This Row],[التاريخ ]],"mmmm")</f>
        <v>November</v>
      </c>
      <c r="C38" s="123">
        <v>724</v>
      </c>
      <c r="D38" s="123" t="str">
        <f>+IFERROR(VLOOKUP(C:C,'[12]قاعدة بيانات  '!J:K,2,0),"")</f>
        <v xml:space="preserve">محمد حسن محمود حسن </v>
      </c>
      <c r="E38" s="123" t="str">
        <f>IFERROR(VLOOKUP(C:C,'[12]قاعدة بيانات  '!J:O,4,0),"")</f>
        <v>كبير مشرفى تحصيل</v>
      </c>
      <c r="F38" s="123" t="str">
        <f>IFERROR(VLOOKUP(C:C,'[12]قاعدة بيانات  '!J:P,5,0),"")</f>
        <v xml:space="preserve">التحصيل </v>
      </c>
      <c r="G38" s="123"/>
      <c r="H38" s="124">
        <v>500</v>
      </c>
      <c r="I38" s="123"/>
      <c r="K38" s="125"/>
    </row>
    <row r="39" spans="1:11" x14ac:dyDescent="0.25">
      <c r="A39" s="126">
        <v>45979</v>
      </c>
      <c r="B39" s="123" t="str">
        <f>TEXT(Table43[[#This Row],[التاريخ ]],"mmmm")</f>
        <v>November</v>
      </c>
      <c r="C39" s="123">
        <v>603</v>
      </c>
      <c r="D39" s="123" t="str">
        <f>+IFERROR(VLOOKUP(C:C,'[12]قاعدة بيانات  '!J:K,2,0),"")</f>
        <v xml:space="preserve">السيد محمد السيد بدوي </v>
      </c>
      <c r="E39" s="123" t="str">
        <f>IFERROR(VLOOKUP(C:C,'[12]قاعدة بيانات  '!J:O,4,0),"")</f>
        <v>مشرف تحصيل</v>
      </c>
      <c r="F39" s="123" t="str">
        <f>IFERROR(VLOOKUP(C:C,'[12]قاعدة بيانات  '!J:P,5,0),"")</f>
        <v xml:space="preserve">التحصيل </v>
      </c>
      <c r="G39" s="123"/>
      <c r="H39" s="124">
        <v>1000</v>
      </c>
      <c r="I39" s="123"/>
      <c r="K39" s="125"/>
    </row>
    <row r="40" spans="1:11" x14ac:dyDescent="0.25">
      <c r="A40" s="126">
        <v>45979</v>
      </c>
      <c r="B40" s="123" t="str">
        <f>TEXT(Table43[[#This Row],[التاريخ ]],"mmmm")</f>
        <v>November</v>
      </c>
      <c r="C40" s="123">
        <v>289</v>
      </c>
      <c r="D40" s="123" t="str">
        <f>+IFERROR(VLOOKUP(C:C,'[12]قاعدة بيانات  '!J:K,2,0),"")</f>
        <v>صبري عبد الهادي عبد الهادي</v>
      </c>
      <c r="E40" s="123" t="str">
        <f>IFERROR(VLOOKUP(C:C,'[12]قاعدة بيانات  '!J:O,4,0),"")</f>
        <v>خدمات معاونة</v>
      </c>
      <c r="F40" s="123" t="str">
        <f>IFERROR(VLOOKUP(C:C,'[12]قاعدة بيانات  '!J:P,5,0),"")</f>
        <v>التحصيل</v>
      </c>
      <c r="G40" s="123"/>
      <c r="H40" s="124">
        <v>500</v>
      </c>
      <c r="I40" s="123"/>
      <c r="K40" s="125"/>
    </row>
    <row r="41" spans="1:11" x14ac:dyDescent="0.25">
      <c r="A41" s="126">
        <v>45980</v>
      </c>
      <c r="B41" s="123" t="str">
        <f>TEXT(Table43[[#This Row],[التاريخ ]],"mmmm")</f>
        <v>November</v>
      </c>
      <c r="C41" s="123">
        <v>724</v>
      </c>
      <c r="D41" s="123" t="str">
        <f>+IFERROR(VLOOKUP(C:C,'[12]قاعدة بيانات  '!J:K,2,0),"")</f>
        <v xml:space="preserve">محمد حسن محمود حسن </v>
      </c>
      <c r="E41" s="123" t="str">
        <f>IFERROR(VLOOKUP(C:C,'[12]قاعدة بيانات  '!J:O,4,0),"")</f>
        <v>كبير مشرفى تحصيل</v>
      </c>
      <c r="F41" s="123" t="str">
        <f>IFERROR(VLOOKUP(C:C,'[12]قاعدة بيانات  '!J:P,5,0),"")</f>
        <v xml:space="preserve">التحصيل </v>
      </c>
      <c r="G41" s="123"/>
      <c r="H41" s="124">
        <v>1500</v>
      </c>
      <c r="I41" s="123"/>
      <c r="K41" s="125"/>
    </row>
    <row r="42" spans="1:11" x14ac:dyDescent="0.25">
      <c r="A42" s="126">
        <v>45984</v>
      </c>
      <c r="B42" s="123" t="str">
        <f>TEXT(Table43[[#This Row],[التاريخ ]],"mmmm")</f>
        <v>November</v>
      </c>
      <c r="C42" s="123">
        <v>289</v>
      </c>
      <c r="D42" s="123" t="str">
        <f>+IFERROR(VLOOKUP(C:C,'[12]قاعدة بيانات  '!J:K,2,0),"")</f>
        <v>صبري عبد الهادي عبد الهادي</v>
      </c>
      <c r="E42" s="123" t="str">
        <f>IFERROR(VLOOKUP(C:C,'[12]قاعدة بيانات  '!J:O,4,0),"")</f>
        <v>خدمات معاونة</v>
      </c>
      <c r="F42" s="123" t="str">
        <f>IFERROR(VLOOKUP(C:C,'[12]قاعدة بيانات  '!J:P,5,0),"")</f>
        <v>التحصيل</v>
      </c>
      <c r="G42" s="123"/>
      <c r="H42" s="124">
        <v>200</v>
      </c>
      <c r="I42" s="123"/>
      <c r="K42" s="125"/>
    </row>
    <row r="43" spans="1:11" x14ac:dyDescent="0.25">
      <c r="A43" s="126">
        <v>45984</v>
      </c>
      <c r="B43" s="123" t="str">
        <f>TEXT(Table43[[#This Row],[التاريخ ]],"mmmm")</f>
        <v>November</v>
      </c>
      <c r="C43" s="123">
        <v>302</v>
      </c>
      <c r="D43" s="123" t="str">
        <f>+IFERROR(VLOOKUP(C:C,'[12]قاعدة بيانات  '!J:K,2,0),"")</f>
        <v>مي سيد إبراهيم</v>
      </c>
      <c r="E43" s="123" t="str">
        <f>IFERROR(VLOOKUP(C:C,'[12]قاعدة بيانات  '!J:O,4,0),"")</f>
        <v>وكيل تحصيل هاتفى</v>
      </c>
      <c r="F43" s="123" t="str">
        <f>IFERROR(VLOOKUP(C:C,'[12]قاعدة بيانات  '!J:P,5,0),"")</f>
        <v>التحصيل</v>
      </c>
      <c r="G43" s="123"/>
      <c r="H43" s="124">
        <v>300</v>
      </c>
      <c r="I43" s="123"/>
      <c r="K43" s="125"/>
    </row>
    <row r="44" spans="1:11" x14ac:dyDescent="0.25">
      <c r="A44" s="126">
        <v>45985</v>
      </c>
      <c r="B44" s="123" t="str">
        <f>TEXT(Table43[[#This Row],[التاريخ ]],"mmmm")</f>
        <v>November</v>
      </c>
      <c r="C44" s="123">
        <v>787</v>
      </c>
      <c r="D44" s="123" t="str">
        <f>+IFERROR(VLOOKUP(C:C,'[12]قاعدة بيانات  '!J:K,2,0),"")</f>
        <v xml:space="preserve">هبه عبدالبديع </v>
      </c>
      <c r="E44" s="123" t="str">
        <f>IFERROR(VLOOKUP(C:C,'[12]قاعدة بيانات  '!J:O,4,0),"")</f>
        <v xml:space="preserve">وكيل تحصيل ميداني </v>
      </c>
      <c r="F44" s="123" t="str">
        <f>IFERROR(VLOOKUP(C:C,'[12]قاعدة بيانات  '!J:P,5,0),"")</f>
        <v xml:space="preserve">التحصيل </v>
      </c>
      <c r="G44" s="123"/>
      <c r="H44" s="124">
        <v>300</v>
      </c>
      <c r="I44" s="123"/>
      <c r="K44" s="125"/>
    </row>
    <row r="45" spans="1:11" x14ac:dyDescent="0.25">
      <c r="A45" s="126">
        <v>45986</v>
      </c>
      <c r="B45" s="123" t="str">
        <f>TEXT(Table43[[#This Row],[التاريخ ]],"mmmm")</f>
        <v>November</v>
      </c>
      <c r="C45" s="123">
        <v>294</v>
      </c>
      <c r="D45" s="123" t="str">
        <f>+IFERROR(VLOOKUP(C:C,'[12]قاعدة بيانات  '!J:K,2,0),"")</f>
        <v>باسم ناجي سعد</v>
      </c>
      <c r="E45" s="123" t="str">
        <f>IFERROR(VLOOKUP(C:C,'[12]قاعدة بيانات  '!J:O,4,0),"")</f>
        <v>وكيل تحصيل</v>
      </c>
      <c r="F45" s="123" t="str">
        <f>IFERROR(VLOOKUP(C:C,'[12]قاعدة بيانات  '!J:P,5,0),"")</f>
        <v>المالية</v>
      </c>
      <c r="G45" s="123"/>
      <c r="H45" s="124">
        <v>300</v>
      </c>
      <c r="I45" s="123"/>
      <c r="K45" s="125"/>
    </row>
    <row r="46" spans="1:11" x14ac:dyDescent="0.25">
      <c r="A46" s="134">
        <v>45987</v>
      </c>
      <c r="B46" s="127" t="str">
        <f>TEXT(Table43[[#This Row],[التاريخ ]],"mmmm")</f>
        <v>November</v>
      </c>
      <c r="C46" s="127">
        <v>289</v>
      </c>
      <c r="D46" s="127" t="str">
        <f>+IFERROR(VLOOKUP(C:C,'[12]قاعدة بيانات  '!J:K,2,0),"")</f>
        <v>صبري عبد الهادي عبد الهادي</v>
      </c>
      <c r="E46" s="127" t="str">
        <f>IFERROR(VLOOKUP(C:C,'[12]قاعدة بيانات  '!J:O,4,0),"")</f>
        <v>خدمات معاونة</v>
      </c>
      <c r="F46" s="127" t="str">
        <f>IFERROR(VLOOKUP(C:C,'[12]قاعدة بيانات  '!J:P,5,0),"")</f>
        <v>التحصيل</v>
      </c>
      <c r="G46" s="127"/>
      <c r="H46" s="128">
        <v>300</v>
      </c>
      <c r="I46" s="127"/>
      <c r="K46" s="125"/>
    </row>
    <row r="47" spans="1:11" x14ac:dyDescent="0.25">
      <c r="A47" s="126">
        <v>45988</v>
      </c>
      <c r="B47" s="127" t="str">
        <f>TEXT(Table43[[#This Row],[التاريخ ]],"mmmm")</f>
        <v>November</v>
      </c>
      <c r="C47" s="123">
        <v>162</v>
      </c>
      <c r="D47" s="123" t="str">
        <f>+IFERROR(VLOOKUP(C:C,'[12]قاعدة بيانات  '!J:K,2,0),"")</f>
        <v>عمرو على سليم محمد السيد</v>
      </c>
      <c r="E47" s="123" t="str">
        <f>IFERROR(VLOOKUP(C:C,'[12]قاعدة بيانات  '!J:O,4,0),"")</f>
        <v>مشرف تحصيل</v>
      </c>
      <c r="F47" s="123" t="str">
        <f>IFERROR(VLOOKUP(C:C,'[12]قاعدة بيانات  '!J:P,5,0),"")</f>
        <v>التحصيل</v>
      </c>
      <c r="G47" s="123"/>
      <c r="H47" s="124">
        <v>500</v>
      </c>
      <c r="I47" s="123"/>
      <c r="K47" s="125"/>
    </row>
    <row r="48" spans="1:11" x14ac:dyDescent="0.25">
      <c r="A48" s="126">
        <v>45988</v>
      </c>
      <c r="B48" s="127" t="str">
        <f>TEXT(Table43[[#This Row],[التاريخ ]],"mmmm")</f>
        <v>November</v>
      </c>
      <c r="C48" s="123">
        <v>554</v>
      </c>
      <c r="D48" s="123" t="str">
        <f>+IFERROR(VLOOKUP(C:C,'[12]قاعدة بيانات  '!J:K,2,0),"")</f>
        <v xml:space="preserve">نيرة عادل محمد حسين </v>
      </c>
      <c r="E48" s="123" t="str">
        <f>IFERROR(VLOOKUP(C:C,'[12]قاعدة بيانات  '!J:O,4,0),"")</f>
        <v xml:space="preserve">وكيل تحصيل هاتفي </v>
      </c>
      <c r="F48" s="123" t="str">
        <f>IFERROR(VLOOKUP(C:C,'[12]قاعدة بيانات  '!J:P,5,0),"")</f>
        <v xml:space="preserve">التحصيل </v>
      </c>
      <c r="G48" s="123"/>
      <c r="H48" s="124">
        <v>200</v>
      </c>
      <c r="I48" s="123"/>
      <c r="K48" s="125"/>
    </row>
    <row r="49" spans="1:11" x14ac:dyDescent="0.25">
      <c r="A49" s="126"/>
      <c r="B49" s="127" t="str">
        <f>TEXT(Table43[[#This Row],[التاريخ ]],"mmmm")</f>
        <v>January</v>
      </c>
      <c r="C49" s="123"/>
      <c r="D49" s="123" t="str">
        <f>+IFERROR(VLOOKUP(C:C,'[12]قاعدة بيانات  '!J:K,2,0),"")</f>
        <v/>
      </c>
      <c r="E49" s="123" t="str">
        <f>IFERROR(VLOOKUP(C:C,'[12]قاعدة بيانات  '!J:O,4,0),"")</f>
        <v/>
      </c>
      <c r="F49" s="123" t="str">
        <f>IFERROR(VLOOKUP(C:C,'[12]قاعدة بيانات  '!J:P,5,0),"")</f>
        <v/>
      </c>
      <c r="G49" s="123"/>
      <c r="H49" s="124"/>
      <c r="I49" s="123"/>
      <c r="K49" s="125"/>
    </row>
    <row r="50" spans="1:11" x14ac:dyDescent="0.25">
      <c r="A50" s="126"/>
      <c r="B50" s="127" t="str">
        <f>TEXT(Table43[[#This Row],[التاريخ ]],"mmmm")</f>
        <v>January</v>
      </c>
      <c r="C50" s="123"/>
      <c r="D50" s="123" t="str">
        <f>+IFERROR(VLOOKUP(C:C,'[12]قاعدة بيانات  '!J:K,2,0),"")</f>
        <v/>
      </c>
      <c r="E50" s="123" t="str">
        <f>IFERROR(VLOOKUP(C:C,'[12]قاعدة بيانات  '!J:O,4,0),"")</f>
        <v/>
      </c>
      <c r="F50" s="123" t="str">
        <f>IFERROR(VLOOKUP(C:C,'[12]قاعدة بيانات  '!J:P,5,0),"")</f>
        <v/>
      </c>
      <c r="G50" s="123"/>
      <c r="H50" s="124"/>
      <c r="I50" s="123"/>
      <c r="K50" s="125"/>
    </row>
  </sheetData>
  <dataValidations count="1">
    <dataValidation type="list" allowBlank="1" showInputMessage="1" showErrorMessage="1" sqref="G3:G50" xr:uid="{9FFAFF74-4080-4548-81BA-F28545A6667D}">
      <formula1>$O$1:$O$2</formula1>
    </dataValidation>
  </dataValidations>
  <pageMargins left="0.7" right="0.7" top="0.75" bottom="0.75" header="0.3" footer="0.3"/>
  <pageSetup paperSize="9" scale="39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3</vt:i4>
      </vt:variant>
      <vt:variant>
        <vt:lpstr>النطاقات المسماة</vt:lpstr>
      </vt:variant>
      <vt:variant>
        <vt:i4>2</vt:i4>
      </vt:variant>
    </vt:vector>
  </HeadingPairs>
  <TitlesOfParts>
    <vt:vector size="5" baseType="lpstr">
      <vt:lpstr>11-2025</vt:lpstr>
      <vt:lpstr>خزينه السلف </vt:lpstr>
      <vt:lpstr>خزينه السلف  (2)</vt:lpstr>
      <vt:lpstr>'11-2025'!Print_Area</vt:lpstr>
      <vt:lpstr>'خزينه السلف '!Print_Area</vt:lpstr>
    </vt:vector>
  </TitlesOfParts>
  <Company>Royalprof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 ElBaset</dc:creator>
  <cp:lastModifiedBy>mohamedrradi@outlook.com</cp:lastModifiedBy>
  <dcterms:created xsi:type="dcterms:W3CDTF">2025-10-29T10:34:35Z</dcterms:created>
  <dcterms:modified xsi:type="dcterms:W3CDTF">2025-11-28T17:30:15Z</dcterms:modified>
</cp:coreProperties>
</file>